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trlProps/ctrlProp9.xml" ContentType="application/vnd.ms-excel.controlproperties+xml"/>
  <Override PartName="/xl/ctrlProps/ctrlProp10.xml" ContentType="application/vnd.ms-excel.controlproperties+xml"/>
  <Override PartName="/xl/ctrlProps/ctrlProp11.xml" ContentType="application/vnd.ms-excel.controlproperties+xml"/>
  <Override PartName="/xl/ctrlProps/ctrlProp12.xml" ContentType="application/vnd.ms-excel.controlproperties+xml"/>
  <Override PartName="/xl/drawings/drawing3.xml" ContentType="application/vnd.openxmlformats-officedocument.drawing+xml"/>
  <Override PartName="/xl/ctrlProps/ctrlProp13.xml" ContentType="application/vnd.ms-excel.controlproperties+xml"/>
  <Override PartName="/xl/ctrlProps/ctrlProp14.xml" ContentType="application/vnd.ms-excel.controlproperties+xml"/>
  <Override PartName="/xl/ctrlProps/ctrlProp15.xml" ContentType="application/vnd.ms-excel.controlproperties+xml"/>
  <Override PartName="/xl/ctrlProps/ctrlProp16.xml" ContentType="application/vnd.ms-excel.controlproperties+xml"/>
  <Override PartName="/xl/ctrlProps/ctrlProp17.xml" ContentType="application/vnd.ms-excel.controlproperties+xml"/>
  <Override PartName="/xl/ctrlProps/ctrlProp18.xml" ContentType="application/vnd.ms-excel.controlproperties+xml"/>
  <Override PartName="/xl/ctrlProps/ctrlProp19.xml" ContentType="application/vnd.ms-excel.controlproperties+xml"/>
  <Override PartName="/xl/ctrlProps/ctrlProp20.xml" ContentType="application/vnd.ms-excel.controlproperties+xml"/>
  <Override PartName="/xl/ctrlProps/ctrlProp21.xml" ContentType="application/vnd.ms-excel.controlproperties+xml"/>
  <Override PartName="/xl/ctrlProps/ctrlProp22.xml" ContentType="application/vnd.ms-excel.controlproperties+xml"/>
  <Override PartName="/xl/ctrlProps/ctrlProp23.xml" ContentType="application/vnd.ms-excel.controlproperties+xml"/>
  <Override PartName="/xl/ctrlProps/ctrlProp24.xml" ContentType="application/vnd.ms-excel.controlproperties+xml"/>
  <Override PartName="/xl/drawings/drawing4.xml" ContentType="application/vnd.openxmlformats-officedocument.drawing+xml"/>
  <Override PartName="/xl/ctrlProps/ctrlProp25.xml" ContentType="application/vnd.ms-excel.controlproperties+xml"/>
  <Override PartName="/xl/ctrlProps/ctrlProp26.xml" ContentType="application/vnd.ms-excel.controlproperties+xml"/>
  <Override PartName="/xl/ctrlProps/ctrlProp27.xml" ContentType="application/vnd.ms-excel.controlproperties+xml"/>
  <Override PartName="/xl/ctrlProps/ctrlProp28.xml" ContentType="application/vnd.ms-excel.controlproperties+xml"/>
  <Override PartName="/xl/ctrlProps/ctrlProp29.xml" ContentType="application/vnd.ms-excel.controlproperties+xml"/>
  <Override PartName="/xl/ctrlProps/ctrlProp30.xml" ContentType="application/vnd.ms-excel.controlproperties+xml"/>
  <Override PartName="/xl/ctrlProps/ctrlProp31.xml" ContentType="application/vnd.ms-excel.controlproperties+xml"/>
  <Override PartName="/xl/ctrlProps/ctrlProp32.xml" ContentType="application/vnd.ms-excel.controlproperties+xml"/>
  <Override PartName="/xl/ctrlProps/ctrlProp33.xml" ContentType="application/vnd.ms-excel.controlproperties+xml"/>
  <Override PartName="/xl/ctrlProps/ctrlProp34.xml" ContentType="application/vnd.ms-excel.controlproperties+xml"/>
  <Override PartName="/xl/ctrlProps/ctrlProp35.xml" ContentType="application/vnd.ms-excel.controlproperties+xml"/>
  <Override PartName="/xl/ctrlProps/ctrlProp36.xml" ContentType="application/vnd.ms-excel.controlproperties+xml"/>
  <Override PartName="/xl/drawings/drawing5.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726"/>
  <workbookPr showInkAnnotation="0" codeName="ThisWorkbook"/>
  <mc:AlternateContent xmlns:mc="http://schemas.openxmlformats.org/markup-compatibility/2006">
    <mc:Choice Requires="x15">
      <x15ac:absPath xmlns:x15ac="http://schemas.microsoft.com/office/spreadsheetml/2010/11/ac" url="D:\マイドキュメント\GitHub\YggXeno\sheet\"/>
    </mc:Choice>
  </mc:AlternateContent>
  <xr:revisionPtr revIDLastSave="0" documentId="13_ncr:1_{A3272364-74F1-46A2-936E-E4173E084C57}" xr6:coauthVersionLast="47" xr6:coauthVersionMax="47" xr10:uidLastSave="{00000000-0000-0000-0000-000000000000}"/>
  <bookViews>
    <workbookView xWindow="10710" yWindow="1245" windowWidth="16440" windowHeight="13965" tabRatio="500" firstSheet="1" activeTab="1" xr2:uid="{00000000-000D-0000-FFFF-FFFF00000000}"/>
  </bookViews>
  <sheets>
    <sheet name="リスト" sheetId="1" state="hidden" r:id="rId1"/>
    <sheet name="キャラシート" sheetId="4" r:id="rId2"/>
    <sheet name="応用技" sheetId="5" r:id="rId3"/>
    <sheet name="計算用" sheetId="22" state="hidden" r:id="rId4"/>
    <sheet name="クリーチャー" sheetId="6" r:id="rId5"/>
    <sheet name="クリーチャー_2" sheetId="7" r:id="rId6"/>
    <sheet name="クリーチャー_3" sheetId="8" r:id="rId7"/>
    <sheet name="進行表" sheetId="14" r:id="rId8"/>
    <sheet name="進行表(2)" sheetId="19" r:id="rId9"/>
    <sheet name="貼り付け用 " sheetId="15" r:id="rId10"/>
    <sheet name="チラ裏ZONE" sheetId="24" r:id="rId11"/>
    <sheet name="人物寸評(1)" sheetId="20" r:id="rId12"/>
    <sheet name="人物寸評 (2)" sheetId="25" r:id="rId13"/>
    <sheet name="コピペ用" sheetId="23" state="hidden" r:id="rId14"/>
  </sheets>
  <definedNames>
    <definedName name="_xlnm.Print_Area" localSheetId="10">チラ裏ZONE!$B$12:$AG$39</definedName>
    <definedName name="攻撃スタイル">リスト!$C$3:$C$5</definedName>
    <definedName name="身体タイプ">リスト!$F$3:$F$5</definedName>
    <definedName name="能力タイプ">リスト!$A$3:$A$8</definedName>
    <definedName name="能力分類">リスト!$A$3:$A$8</definedName>
  </definedNames>
  <calcPr calcId="191028"/>
</workbook>
</file>

<file path=xl/calcChain.xml><?xml version="1.0" encoding="utf-8"?>
<calcChain xmlns="http://schemas.openxmlformats.org/spreadsheetml/2006/main">
  <c r="Y58" i="4" l="1"/>
  <c r="AA58" i="4" s="1"/>
  <c r="Y50" i="4"/>
  <c r="Y18" i="4"/>
  <c r="V18" i="4"/>
  <c r="B7" i="15"/>
  <c r="Z10" i="4"/>
  <c r="Z14" i="4"/>
  <c r="Z15" i="4"/>
  <c r="Z13" i="4"/>
  <c r="Z12" i="4"/>
  <c r="Z11" i="4"/>
  <c r="X16" i="4"/>
  <c r="X15" i="4"/>
  <c r="X14" i="4"/>
  <c r="X13" i="4"/>
  <c r="X12" i="4"/>
  <c r="X11" i="4"/>
  <c r="X10" i="4"/>
  <c r="Z16" i="4" l="1"/>
  <c r="H6" i="19"/>
  <c r="AX58" i="22"/>
  <c r="AX60" i="22" s="1"/>
  <c r="AQ58" i="22"/>
  <c r="AQ60" i="22" s="1"/>
  <c r="AX46" i="22"/>
  <c r="AX48" i="22" s="1"/>
  <c r="AQ46" i="22"/>
  <c r="AQ48" i="22" s="1"/>
  <c r="AX34" i="22"/>
  <c r="AX36" i="22" s="1"/>
  <c r="AQ34" i="22"/>
  <c r="AQ36" i="22" s="1"/>
  <c r="AQ22" i="22"/>
  <c r="AQ24" i="22" s="1"/>
  <c r="AX22" i="22"/>
  <c r="AX24" i="22" s="1"/>
  <c r="AX10" i="22"/>
  <c r="AX12" i="22" s="1"/>
  <c r="AQ10" i="22"/>
  <c r="AQ12" i="22" s="1"/>
  <c r="AP11" i="22"/>
  <c r="AO3" i="22"/>
  <c r="AP3" i="22"/>
  <c r="AP4" i="22"/>
  <c r="AQ4" i="22"/>
  <c r="AQ6" i="22" s="1"/>
  <c r="AR4" i="22"/>
  <c r="AS4" i="22"/>
  <c r="AO5" i="22"/>
  <c r="AP5" i="22"/>
  <c r="AO9" i="22"/>
  <c r="AP9" i="22"/>
  <c r="AP10" i="22"/>
  <c r="AR10" i="22"/>
  <c r="AS10" i="22"/>
  <c r="AO11" i="22"/>
  <c r="AO15" i="22"/>
  <c r="AP15" i="22"/>
  <c r="AP16" i="22"/>
  <c r="AQ16" i="22"/>
  <c r="AQ18" i="22" s="1"/>
  <c r="AR16" i="22"/>
  <c r="AS16" i="22"/>
  <c r="AO17" i="22"/>
  <c r="AP17" i="22"/>
  <c r="AP18" i="22" s="1"/>
  <c r="AO21" i="22"/>
  <c r="AP21" i="22"/>
  <c r="AP22" i="22"/>
  <c r="AR22" i="22"/>
  <c r="AS22" i="22"/>
  <c r="AO23" i="22"/>
  <c r="AP23" i="22"/>
  <c r="AO27" i="22"/>
  <c r="AP27" i="22"/>
  <c r="AP28" i="22"/>
  <c r="AQ28" i="22"/>
  <c r="AR28" i="22"/>
  <c r="AS28" i="22"/>
  <c r="AO29" i="22"/>
  <c r="AP29" i="22"/>
  <c r="AP30" i="22" s="1"/>
  <c r="AQ30" i="22"/>
  <c r="AO33" i="22"/>
  <c r="AP33" i="22"/>
  <c r="AP34" i="22"/>
  <c r="AR34" i="22"/>
  <c r="AS34" i="22"/>
  <c r="AO35" i="22"/>
  <c r="AP35" i="22"/>
  <c r="AO39" i="22"/>
  <c r="AP39" i="22"/>
  <c r="AP40" i="22"/>
  <c r="AQ40" i="22"/>
  <c r="AQ42" i="22" s="1"/>
  <c r="AR40" i="22"/>
  <c r="AS40" i="22"/>
  <c r="AO41" i="22"/>
  <c r="AP41" i="22"/>
  <c r="AO45" i="22"/>
  <c r="AP45" i="22"/>
  <c r="AP46" i="22"/>
  <c r="AR46" i="22"/>
  <c r="AS46" i="22"/>
  <c r="AO47" i="22"/>
  <c r="AP47" i="22"/>
  <c r="AO51" i="22"/>
  <c r="AP51" i="22"/>
  <c r="AP52" i="22"/>
  <c r="AQ52" i="22"/>
  <c r="AQ54" i="22" s="1"/>
  <c r="AR52" i="22"/>
  <c r="AS52" i="22"/>
  <c r="AO53" i="22"/>
  <c r="AP53" i="22"/>
  <c r="AO57" i="22"/>
  <c r="AP57" i="22"/>
  <c r="AP58" i="22"/>
  <c r="AR58" i="22"/>
  <c r="AS58" i="22"/>
  <c r="AO59" i="22"/>
  <c r="AP59" i="22"/>
  <c r="AH59" i="22"/>
  <c r="AI59" i="22"/>
  <c r="AI58" i="22"/>
  <c r="AI60" i="22" s="1"/>
  <c r="X53" i="6" s="1"/>
  <c r="AJ58" i="22"/>
  <c r="AJ60" i="22" s="1"/>
  <c r="AJ46" i="22"/>
  <c r="AJ48" i="22" s="1"/>
  <c r="AJ34" i="22"/>
  <c r="AJ36" i="22" s="1"/>
  <c r="AJ22" i="22"/>
  <c r="AJ24" i="22" s="1"/>
  <c r="AJ10" i="22"/>
  <c r="AJ12" i="22" s="1"/>
  <c r="E88" i="22"/>
  <c r="E76" i="22"/>
  <c r="E78" i="22" s="1"/>
  <c r="E64" i="22"/>
  <c r="E66" i="22" s="1"/>
  <c r="AX52" i="22"/>
  <c r="AX54" i="22" s="1"/>
  <c r="AJ52" i="22"/>
  <c r="E52" i="22"/>
  <c r="AX40" i="22"/>
  <c r="AX42" i="22" s="1"/>
  <c r="AJ40" i="22"/>
  <c r="AJ42" i="22" s="1"/>
  <c r="E40" i="22"/>
  <c r="E42" i="22" s="1"/>
  <c r="AX28" i="22"/>
  <c r="AX30" i="22" s="1"/>
  <c r="AJ28" i="22"/>
  <c r="AJ30" i="22" s="1"/>
  <c r="E28" i="22"/>
  <c r="E30" i="22" s="1"/>
  <c r="AX16" i="22"/>
  <c r="AX18" i="22" s="1"/>
  <c r="AJ16" i="22"/>
  <c r="AJ18" i="22" s="1"/>
  <c r="E16" i="22"/>
  <c r="E18" i="22" s="1"/>
  <c r="AX4" i="22"/>
  <c r="AX6" i="22" s="1"/>
  <c r="AJ4" i="22"/>
  <c r="AJ6" i="22" s="1"/>
  <c r="E4" i="22"/>
  <c r="E6" i="22" s="1"/>
  <c r="C3" i="22"/>
  <c r="D3" i="22"/>
  <c r="D4" i="22"/>
  <c r="D5" i="22"/>
  <c r="C5" i="22"/>
  <c r="C11" i="22"/>
  <c r="D11" i="22"/>
  <c r="D10" i="22"/>
  <c r="C9" i="22"/>
  <c r="D9" i="22"/>
  <c r="E94" i="22"/>
  <c r="E96" i="22" s="1"/>
  <c r="E82" i="22"/>
  <c r="E84" i="22" s="1"/>
  <c r="E70" i="22"/>
  <c r="E72" i="22" s="1"/>
  <c r="E58" i="22"/>
  <c r="E60" i="22" s="1"/>
  <c r="E46" i="22"/>
  <c r="E48" i="22" s="1"/>
  <c r="E34" i="22"/>
  <c r="E36" i="22" s="1"/>
  <c r="E22" i="22"/>
  <c r="E24" i="22" s="1"/>
  <c r="E10" i="22"/>
  <c r="E12" i="22" s="1"/>
  <c r="L27" i="14"/>
  <c r="H7" i="19"/>
  <c r="B11" i="15"/>
  <c r="B9" i="15"/>
  <c r="H5" i="15"/>
  <c r="F5" i="15"/>
  <c r="D5" i="15"/>
  <c r="B5" i="15"/>
  <c r="J31" i="24"/>
  <c r="D17" i="24"/>
  <c r="G16" i="24"/>
  <c r="E16" i="24"/>
  <c r="C16" i="24"/>
  <c r="E14" i="24"/>
  <c r="C14" i="24"/>
  <c r="T13" i="24"/>
  <c r="T12" i="24"/>
  <c r="D12" i="24"/>
  <c r="AH57" i="22"/>
  <c r="AH53" i="22"/>
  <c r="AH51" i="22"/>
  <c r="AH47" i="22"/>
  <c r="AH45" i="22"/>
  <c r="AH41" i="22"/>
  <c r="AH39" i="22"/>
  <c r="AH35" i="22"/>
  <c r="AH33" i="22"/>
  <c r="AH29" i="22"/>
  <c r="AH27" i="22"/>
  <c r="AH23" i="22"/>
  <c r="AH21" i="22"/>
  <c r="AH17" i="22"/>
  <c r="AH15" i="22"/>
  <c r="AH11" i="22"/>
  <c r="AH9" i="22"/>
  <c r="AH5" i="22"/>
  <c r="AH3" i="22"/>
  <c r="AV3" i="22"/>
  <c r="AV5" i="22"/>
  <c r="AV9" i="22"/>
  <c r="AV11" i="22"/>
  <c r="AV15" i="22"/>
  <c r="AV17" i="22"/>
  <c r="AV21" i="22"/>
  <c r="AV23" i="22"/>
  <c r="AV27" i="22"/>
  <c r="AV29" i="22"/>
  <c r="AV33" i="22"/>
  <c r="AV35" i="22"/>
  <c r="AV39" i="22"/>
  <c r="AV41" i="22"/>
  <c r="AV45" i="22"/>
  <c r="AV47" i="22"/>
  <c r="AV51" i="22"/>
  <c r="AV53" i="22"/>
  <c r="AV57" i="22"/>
  <c r="AV59" i="22"/>
  <c r="AL58" i="22"/>
  <c r="AK58" i="22"/>
  <c r="AI57" i="22"/>
  <c r="AI53" i="22"/>
  <c r="AL52" i="22"/>
  <c r="AK52" i="22"/>
  <c r="AH52" i="22" s="1" a="1"/>
  <c r="AH52" i="22" s="1"/>
  <c r="AH54" i="22" s="1" a="1"/>
  <c r="AH54" i="22" s="1"/>
  <c r="AI52" i="22"/>
  <c r="AI51" i="22"/>
  <c r="AI47" i="22"/>
  <c r="AL46" i="22"/>
  <c r="AK46" i="22"/>
  <c r="AI46" i="22"/>
  <c r="AI45" i="22"/>
  <c r="AI41" i="22"/>
  <c r="AL40" i="22"/>
  <c r="AK40" i="22"/>
  <c r="AH40" i="22" s="1" a="1"/>
  <c r="AH40" i="22" s="1"/>
  <c r="AI40" i="22"/>
  <c r="AI39" i="22"/>
  <c r="AI35" i="22"/>
  <c r="AL34" i="22"/>
  <c r="AK34" i="22"/>
  <c r="AI34" i="22"/>
  <c r="AI33" i="22"/>
  <c r="AI29" i="22"/>
  <c r="AL28" i="22"/>
  <c r="AK28" i="22"/>
  <c r="AH28" i="22" s="1" a="1"/>
  <c r="AH28" i="22" s="1"/>
  <c r="AI28" i="22"/>
  <c r="AI27" i="22"/>
  <c r="AI23" i="22"/>
  <c r="AL22" i="22"/>
  <c r="AK22" i="22"/>
  <c r="AI22" i="22"/>
  <c r="AI21" i="22"/>
  <c r="AI17" i="22"/>
  <c r="AL16" i="22"/>
  <c r="AK16" i="22"/>
  <c r="AH16" i="22" s="1" a="1"/>
  <c r="AH16" i="22" s="1"/>
  <c r="AI16" i="22"/>
  <c r="AI15" i="22"/>
  <c r="AI11" i="22"/>
  <c r="AL10" i="22"/>
  <c r="AK10" i="22"/>
  <c r="AI10" i="22"/>
  <c r="AI9" i="22"/>
  <c r="AI5" i="22"/>
  <c r="AL4" i="22"/>
  <c r="AK4" i="22"/>
  <c r="AH4" i="22" s="1" a="1"/>
  <c r="AH4" i="22" s="1"/>
  <c r="AI4" i="22"/>
  <c r="AI3" i="22"/>
  <c r="AW3" i="22"/>
  <c r="AW4" i="22"/>
  <c r="AY4" i="22"/>
  <c r="AZ4" i="22"/>
  <c r="AW5" i="22"/>
  <c r="AW9" i="22"/>
  <c r="AW10" i="22"/>
  <c r="AY10" i="22"/>
  <c r="AZ10" i="22"/>
  <c r="AW11" i="22"/>
  <c r="AW15" i="22"/>
  <c r="AW16" i="22"/>
  <c r="AY16" i="22"/>
  <c r="AZ16" i="22"/>
  <c r="AW17" i="22"/>
  <c r="AW21" i="22"/>
  <c r="AW22" i="22"/>
  <c r="AY22" i="22"/>
  <c r="AZ22" i="22"/>
  <c r="AW23" i="22"/>
  <c r="AW27" i="22"/>
  <c r="AW28" i="22"/>
  <c r="AY28" i="22"/>
  <c r="AZ28" i="22"/>
  <c r="AW29" i="22"/>
  <c r="AW33" i="22"/>
  <c r="AW34" i="22"/>
  <c r="AY34" i="22"/>
  <c r="AZ34" i="22"/>
  <c r="AW35" i="22"/>
  <c r="AW39" i="22"/>
  <c r="AW40" i="22"/>
  <c r="AY40" i="22"/>
  <c r="AZ40" i="22"/>
  <c r="AW41" i="22"/>
  <c r="AW45" i="22"/>
  <c r="AW46" i="22"/>
  <c r="AY46" i="22"/>
  <c r="AZ46" i="22"/>
  <c r="AW47" i="22"/>
  <c r="AW51" i="22"/>
  <c r="AW52" i="22"/>
  <c r="AY52" i="22"/>
  <c r="AZ52" i="22"/>
  <c r="AW53" i="22"/>
  <c r="AW57" i="22"/>
  <c r="AW58" i="22"/>
  <c r="AY58" i="22"/>
  <c r="AZ58" i="22"/>
  <c r="AW59" i="22"/>
  <c r="C32" i="23"/>
  <c r="C31" i="23"/>
  <c r="C30" i="23"/>
  <c r="D11" i="19"/>
  <c r="H11" i="19"/>
  <c r="P10" i="19"/>
  <c r="D10" i="19"/>
  <c r="H10" i="19" s="1"/>
  <c r="P9" i="19"/>
  <c r="M9" i="19"/>
  <c r="F9" i="19"/>
  <c r="G3" i="19"/>
  <c r="S9" i="19" s="1"/>
  <c r="E3" i="19"/>
  <c r="C3" i="19"/>
  <c r="D95" i="22"/>
  <c r="C95" i="22"/>
  <c r="G94" i="22"/>
  <c r="F94" i="22"/>
  <c r="D94" i="22"/>
  <c r="D93" i="22"/>
  <c r="C93" i="22"/>
  <c r="D89" i="22"/>
  <c r="C89" i="22"/>
  <c r="G88" i="22"/>
  <c r="F88" i="22"/>
  <c r="D88" i="22"/>
  <c r="D87" i="22"/>
  <c r="C87" i="22"/>
  <c r="D83" i="22"/>
  <c r="C83" i="22"/>
  <c r="G82" i="22"/>
  <c r="F82" i="22"/>
  <c r="D82" i="22"/>
  <c r="D81" i="22"/>
  <c r="C81" i="22"/>
  <c r="D77" i="22"/>
  <c r="C77" i="22"/>
  <c r="G76" i="22"/>
  <c r="F76" i="22"/>
  <c r="C76" i="22" s="1" a="1"/>
  <c r="C76" i="22" s="1"/>
  <c r="D76" i="22"/>
  <c r="D75" i="22"/>
  <c r="C75" i="22"/>
  <c r="D71" i="22"/>
  <c r="C71" i="22"/>
  <c r="G70" i="22"/>
  <c r="F70" i="22"/>
  <c r="D70" i="22"/>
  <c r="D69" i="22"/>
  <c r="C69" i="22"/>
  <c r="D65" i="22"/>
  <c r="C65" i="22"/>
  <c r="G64" i="22"/>
  <c r="F64" i="22"/>
  <c r="C64" i="22" s="1" a="1"/>
  <c r="C64" i="22" s="1"/>
  <c r="D64" i="22"/>
  <c r="D63" i="22"/>
  <c r="C63" i="22"/>
  <c r="D59" i="22"/>
  <c r="C59" i="22"/>
  <c r="G58" i="22"/>
  <c r="F58" i="22"/>
  <c r="D58" i="22"/>
  <c r="D57" i="22"/>
  <c r="C57" i="22"/>
  <c r="D53" i="22"/>
  <c r="C53" i="22"/>
  <c r="G52" i="22"/>
  <c r="F52" i="22"/>
  <c r="C52" i="22" s="1" a="1"/>
  <c r="C52" i="22" s="1"/>
  <c r="D52" i="22"/>
  <c r="D51" i="22"/>
  <c r="C51" i="22"/>
  <c r="D47" i="22"/>
  <c r="C47" i="22"/>
  <c r="G46" i="22"/>
  <c r="F46" i="22"/>
  <c r="D46" i="22"/>
  <c r="D45" i="22"/>
  <c r="C45" i="22"/>
  <c r="D41" i="22"/>
  <c r="C41" i="22"/>
  <c r="G40" i="22"/>
  <c r="F40" i="22"/>
  <c r="C40" i="22" s="1" a="1"/>
  <c r="C40" i="22" s="1"/>
  <c r="D40" i="22"/>
  <c r="D39" i="22"/>
  <c r="C39" i="22"/>
  <c r="D35" i="22"/>
  <c r="C35" i="22"/>
  <c r="G34" i="22"/>
  <c r="F34" i="22"/>
  <c r="D34" i="22"/>
  <c r="D33" i="22"/>
  <c r="C33" i="22"/>
  <c r="D29" i="22"/>
  <c r="C29" i="22"/>
  <c r="G28" i="22"/>
  <c r="F28" i="22"/>
  <c r="D28" i="22"/>
  <c r="D27" i="22"/>
  <c r="C27" i="22"/>
  <c r="D23" i="22"/>
  <c r="C23" i="22"/>
  <c r="G22" i="22"/>
  <c r="F22" i="22"/>
  <c r="D22" i="22"/>
  <c r="D21" i="22"/>
  <c r="C21" i="22"/>
  <c r="D17" i="22"/>
  <c r="C17" i="22"/>
  <c r="G16" i="22"/>
  <c r="F16" i="22"/>
  <c r="D16" i="22"/>
  <c r="D15" i="22"/>
  <c r="C15" i="22"/>
  <c r="G10" i="22"/>
  <c r="F10" i="22"/>
  <c r="G4" i="22"/>
  <c r="F4" i="22"/>
  <c r="F7" i="19"/>
  <c r="F8" i="19" s="1"/>
  <c r="E90" i="22"/>
  <c r="AJ54" i="22"/>
  <c r="E54" i="22"/>
  <c r="X20" i="4"/>
  <c r="Y17" i="4"/>
  <c r="V17" i="4"/>
  <c r="U17" i="4"/>
  <c r="U18" i="4" s="1"/>
  <c r="W16" i="4"/>
  <c r="W15" i="4"/>
  <c r="W14" i="4"/>
  <c r="W13" i="4"/>
  <c r="W12" i="4"/>
  <c r="W11" i="4"/>
  <c r="W10" i="4"/>
  <c r="Z7" i="4"/>
  <c r="V7" i="4"/>
  <c r="D22" i="14"/>
  <c r="C22" i="14"/>
  <c r="H2" i="15"/>
  <c r="F2" i="15"/>
  <c r="D2" i="15"/>
  <c r="B2" i="15"/>
  <c r="L61" i="14"/>
  <c r="J61" i="14"/>
  <c r="J60" i="14"/>
  <c r="A55" i="14"/>
  <c r="L52" i="14"/>
  <c r="J52" i="14"/>
  <c r="J51" i="14"/>
  <c r="B50" i="14"/>
  <c r="A50" i="14"/>
  <c r="A46" i="14"/>
  <c r="A37" i="14"/>
  <c r="G32" i="14"/>
  <c r="G31" i="14"/>
  <c r="I22" i="14"/>
  <c r="G22" i="14"/>
  <c r="G20" i="14"/>
  <c r="H32" i="14" s="1"/>
  <c r="G18" i="14"/>
  <c r="F27" i="14" s="1"/>
  <c r="E18" i="14"/>
  <c r="A18" i="14"/>
  <c r="L144" i="14"/>
  <c r="F144" i="14"/>
  <c r="C143" i="14"/>
  <c r="F140" i="14"/>
  <c r="C140" i="14"/>
  <c r="C139" i="14"/>
  <c r="D139" i="14"/>
  <c r="F137" i="14"/>
  <c r="E139" i="14"/>
  <c r="E137" i="14"/>
  <c r="D137" i="14"/>
  <c r="C137" i="14"/>
  <c r="B137" i="14"/>
  <c r="A137" i="14"/>
  <c r="K139" i="14"/>
  <c r="L130" i="14"/>
  <c r="F130" i="14"/>
  <c r="C129" i="14"/>
  <c r="F126" i="14"/>
  <c r="C126" i="14"/>
  <c r="D125" i="14"/>
  <c r="C125" i="14"/>
  <c r="E123" i="14"/>
  <c r="F123" i="14"/>
  <c r="D123" i="14"/>
  <c r="C123" i="14"/>
  <c r="B123" i="14"/>
  <c r="A123" i="14"/>
  <c r="L116" i="14"/>
  <c r="E109" i="14"/>
  <c r="F109" i="14"/>
  <c r="F116" i="14"/>
  <c r="C115" i="14"/>
  <c r="F112" i="14"/>
  <c r="C112" i="14"/>
  <c r="D111" i="14"/>
  <c r="C111" i="14"/>
  <c r="D109" i="14"/>
  <c r="C109" i="14"/>
  <c r="B109" i="14"/>
  <c r="A109" i="14"/>
  <c r="L102" i="14"/>
  <c r="F102" i="14"/>
  <c r="C101" i="14"/>
  <c r="F98" i="14"/>
  <c r="C98" i="14"/>
  <c r="C97" i="14"/>
  <c r="D97" i="14"/>
  <c r="F95" i="14"/>
  <c r="E97" i="14"/>
  <c r="E95" i="14"/>
  <c r="D95" i="14"/>
  <c r="C95" i="14"/>
  <c r="B95" i="14"/>
  <c r="A95" i="14"/>
  <c r="K97" i="14"/>
  <c r="L88" i="14"/>
  <c r="F88" i="14"/>
  <c r="C87" i="14"/>
  <c r="F84" i="14"/>
  <c r="C84" i="14"/>
  <c r="D83" i="14"/>
  <c r="C83" i="14"/>
  <c r="E81" i="14"/>
  <c r="F81" i="14"/>
  <c r="D81" i="14"/>
  <c r="C81" i="14"/>
  <c r="B81" i="14"/>
  <c r="A81" i="14"/>
  <c r="L74" i="14"/>
  <c r="E67" i="14"/>
  <c r="F67" i="14"/>
  <c r="F74" i="14"/>
  <c r="C73" i="14"/>
  <c r="F70" i="14"/>
  <c r="C70" i="14"/>
  <c r="D69" i="14"/>
  <c r="C69" i="14"/>
  <c r="D67" i="14"/>
  <c r="C67" i="14"/>
  <c r="B67" i="14"/>
  <c r="A67" i="14"/>
  <c r="B59" i="14"/>
  <c r="A59" i="14"/>
  <c r="E111" i="14"/>
  <c r="E110" i="14"/>
  <c r="E124" i="14"/>
  <c r="E125" i="14"/>
  <c r="K125" i="14"/>
  <c r="E69" i="14"/>
  <c r="E68" i="14"/>
  <c r="K111" i="14"/>
  <c r="K69" i="14"/>
  <c r="E83" i="14"/>
  <c r="E82" i="14"/>
  <c r="K83" i="14"/>
  <c r="E96" i="14"/>
  <c r="E138" i="14"/>
  <c r="AA22" i="4"/>
  <c r="T24" i="4"/>
  <c r="AA24" i="4"/>
  <c r="T25" i="4"/>
  <c r="AA25" i="4"/>
  <c r="T26" i="4"/>
  <c r="AA26" i="4"/>
  <c r="T27" i="4"/>
  <c r="AA27" i="4"/>
  <c r="O28" i="4"/>
  <c r="T28" i="4"/>
  <c r="AA28" i="4"/>
  <c r="O29" i="4"/>
  <c r="T29" i="4"/>
  <c r="AA29" i="4"/>
  <c r="O30" i="4"/>
  <c r="T30" i="4"/>
  <c r="AA30" i="4"/>
  <c r="H31" i="4"/>
  <c r="O31" i="4"/>
  <c r="U31" i="4"/>
  <c r="AA31" i="4" s="1"/>
  <c r="V31" i="4"/>
  <c r="W31" i="4"/>
  <c r="X31" i="4"/>
  <c r="Y31" i="4"/>
  <c r="Z31" i="4"/>
  <c r="O32" i="4"/>
  <c r="H33" i="4"/>
  <c r="O33" i="4"/>
  <c r="H35" i="4"/>
  <c r="C19" i="6" s="1"/>
  <c r="AA38" i="4"/>
  <c r="X44" i="4" s="1"/>
  <c r="X45" i="4" s="1"/>
  <c r="AA39" i="4"/>
  <c r="Y44" i="4" s="1"/>
  <c r="Y45" i="4" s="1"/>
  <c r="AA40" i="4"/>
  <c r="Z44" i="4"/>
  <c r="Z45" i="4"/>
  <c r="Y59" i="4"/>
  <c r="I5" i="6"/>
  <c r="C10" i="6"/>
  <c r="J42" i="14"/>
  <c r="B41" i="14"/>
  <c r="A41" i="14"/>
  <c r="C11" i="6"/>
  <c r="C12" i="6"/>
  <c r="B42" i="14"/>
  <c r="C13" i="6"/>
  <c r="D42" i="14"/>
  <c r="C14" i="6"/>
  <c r="B43" i="14" s="1"/>
  <c r="C15" i="6"/>
  <c r="D43" i="14" s="1"/>
  <c r="C16" i="6"/>
  <c r="D40" i="14"/>
  <c r="D19" i="6"/>
  <c r="F19" i="6"/>
  <c r="F36" i="14"/>
  <c r="G19" i="6"/>
  <c r="F38" i="14"/>
  <c r="I5" i="7"/>
  <c r="C10" i="7"/>
  <c r="C11" i="7"/>
  <c r="F51" i="14"/>
  <c r="C12" i="7"/>
  <c r="B51" i="14"/>
  <c r="C13" i="7"/>
  <c r="D51" i="14"/>
  <c r="C14" i="7"/>
  <c r="B52" i="14" s="1"/>
  <c r="C15" i="7"/>
  <c r="D52" i="14" s="1"/>
  <c r="C16" i="7"/>
  <c r="D49" i="14"/>
  <c r="D19" i="7"/>
  <c r="F19" i="7"/>
  <c r="F45" i="14"/>
  <c r="G19" i="7"/>
  <c r="F47" i="14"/>
  <c r="I5" i="8"/>
  <c r="C10" i="8"/>
  <c r="C11" i="8"/>
  <c r="C12" i="8"/>
  <c r="B60" i="14"/>
  <c r="C13" i="8"/>
  <c r="D60" i="14"/>
  <c r="C14" i="8"/>
  <c r="B61" i="14" s="1"/>
  <c r="C15" i="8"/>
  <c r="D61" i="14" s="1"/>
  <c r="C16" i="8"/>
  <c r="D58" i="14"/>
  <c r="C19" i="8"/>
  <c r="D19" i="8"/>
  <c r="F19" i="8"/>
  <c r="F54" i="14"/>
  <c r="G19" i="8"/>
  <c r="F56" i="14"/>
  <c r="F60" i="14"/>
  <c r="F42" i="14"/>
  <c r="H31" i="14" l="1"/>
  <c r="Q9" i="19"/>
  <c r="Q10" i="19"/>
  <c r="C10" i="22" a="1"/>
  <c r="C10" i="22" s="1"/>
  <c r="AA15" i="4"/>
  <c r="Z54" i="4" s="1"/>
  <c r="AI6" i="22"/>
  <c r="AI30" i="22"/>
  <c r="AI54" i="22"/>
  <c r="AH6" i="22" a="1"/>
  <c r="AH6" i="22" s="1"/>
  <c r="D90" i="22"/>
  <c r="AW42" i="22"/>
  <c r="AH10" i="22" a="1"/>
  <c r="AH10" i="22" s="1"/>
  <c r="AH12" i="22" s="1" a="1"/>
  <c r="AH12" i="22" s="1"/>
  <c r="W9" i="6" s="1"/>
  <c r="AH34" i="22" a="1"/>
  <c r="AH34" i="22" s="1"/>
  <c r="AH36" i="22" s="1" a="1"/>
  <c r="AH36" i="22" s="1"/>
  <c r="W31" i="6" s="1"/>
  <c r="AI12" i="22"/>
  <c r="X9" i="6" s="1"/>
  <c r="D30" i="22"/>
  <c r="C82" i="22" a="1"/>
  <c r="C82" i="22" s="1"/>
  <c r="C84" i="22" s="1" a="1"/>
  <c r="C84" i="22" s="1"/>
  <c r="I75" i="5" s="1"/>
  <c r="AH22" i="22" a="1"/>
  <c r="AH22" i="22" s="1"/>
  <c r="AH24" i="22" s="1" a="1"/>
  <c r="AH24" i="22" s="1"/>
  <c r="W20" i="6" s="1"/>
  <c r="AH46" i="22" a="1"/>
  <c r="AH46" i="22" s="1"/>
  <c r="AH48" i="22" s="1" a="1"/>
  <c r="AH48" i="22" s="1"/>
  <c r="W42" i="6" s="1"/>
  <c r="C34" i="22" a="1"/>
  <c r="C34" i="22" s="1"/>
  <c r="C36" i="22" s="1" a="1"/>
  <c r="C36" i="22" s="1"/>
  <c r="I31" i="5" s="1"/>
  <c r="C88" i="22" a="1"/>
  <c r="C88" i="22" s="1"/>
  <c r="C90" i="22" s="1" a="1"/>
  <c r="C90" i="22" s="1"/>
  <c r="D42" i="22"/>
  <c r="D78" i="22"/>
  <c r="AO4" i="22" a="1"/>
  <c r="AO4" i="22" s="1"/>
  <c r="D54" i="22"/>
  <c r="AO40" i="22" a="1"/>
  <c r="AO40" i="22" s="1"/>
  <c r="C58" i="22" a="1"/>
  <c r="C58" i="22" s="1"/>
  <c r="C60" i="22" s="1" a="1"/>
  <c r="C60" i="22" s="1"/>
  <c r="I53" i="5" s="1"/>
  <c r="D96" i="22"/>
  <c r="J86" i="5" s="1"/>
  <c r="AH58" i="22" a="1"/>
  <c r="AH58" i="22" s="1"/>
  <c r="AH60" i="22" s="1" a="1"/>
  <c r="AH60" i="22" s="1"/>
  <c r="W53" i="6" s="1"/>
  <c r="D84" i="22"/>
  <c r="J75" i="5" s="1"/>
  <c r="C46" i="22" a="1"/>
  <c r="C46" i="22" s="1"/>
  <c r="C48" i="22" s="1" a="1"/>
  <c r="C48" i="22" s="1"/>
  <c r="I42" i="5" s="1"/>
  <c r="AP54" i="22"/>
  <c r="AO22" i="22" a="1"/>
  <c r="AO22" i="22" s="1"/>
  <c r="AO24" i="22" s="1" a="1"/>
  <c r="AO24" i="22" s="1"/>
  <c r="W20" i="7" s="1"/>
  <c r="AW30" i="22"/>
  <c r="C54" i="22" a="1"/>
  <c r="C54" i="22" s="1"/>
  <c r="AV58" i="22" a="1"/>
  <c r="AV58" i="22" s="1"/>
  <c r="AV60" i="22" s="1" a="1"/>
  <c r="AV60" i="22" s="1"/>
  <c r="W53" i="8" s="1"/>
  <c r="AO34" i="22" a="1"/>
  <c r="AO34" i="22" s="1"/>
  <c r="AO36" i="22" s="1" a="1"/>
  <c r="AO36" i="22" s="1"/>
  <c r="W31" i="7" s="1"/>
  <c r="D66" i="22"/>
  <c r="D18" i="22"/>
  <c r="AW36" i="22"/>
  <c r="X31" i="8" s="1"/>
  <c r="C28" i="22" a="1"/>
  <c r="C28" i="22" s="1"/>
  <c r="C30" i="22" s="1" a="1"/>
  <c r="C30" i="22" s="1"/>
  <c r="AV46" i="22" a="1"/>
  <c r="AV46" i="22" s="1"/>
  <c r="AV48" i="22" s="1" a="1"/>
  <c r="AV48" i="22" s="1"/>
  <c r="W42" i="8" s="1"/>
  <c r="C94" i="22" a="1"/>
  <c r="C94" i="22" s="1"/>
  <c r="C96" i="22" s="1" a="1"/>
  <c r="C96" i="22" s="1"/>
  <c r="I86" i="5" s="1"/>
  <c r="AV16" i="22" a="1"/>
  <c r="AV16" i="22" s="1"/>
  <c r="AV18" i="22" s="1" a="1"/>
  <c r="AV18" i="22" s="1"/>
  <c r="D12" i="22"/>
  <c r="AO10" i="22" a="1"/>
  <c r="AO10" i="22" s="1"/>
  <c r="AO12" i="22" s="1" a="1"/>
  <c r="AO12" i="22" s="1"/>
  <c r="W9" i="7" s="1"/>
  <c r="C70" i="22" a="1"/>
  <c r="C70" i="22" s="1"/>
  <c r="C72" i="22" s="1" a="1"/>
  <c r="C72" i="22" s="1"/>
  <c r="I64" i="5" s="1"/>
  <c r="C22" i="22" a="1"/>
  <c r="C22" i="22" s="1"/>
  <c r="C24" i="22" s="1" a="1"/>
  <c r="C24" i="22" s="1"/>
  <c r="I20" i="5" s="1"/>
  <c r="AW24" i="22"/>
  <c r="X20" i="8" s="1"/>
  <c r="AV40" i="22" a="1"/>
  <c r="AV40" i="22" s="1"/>
  <c r="AV42" i="22" s="1" a="1"/>
  <c r="AV42" i="22" s="1"/>
  <c r="AH30" i="22" a="1"/>
  <c r="AH30" i="22" s="1"/>
  <c r="C4" i="22" a="1"/>
  <c r="C4" i="22" s="1"/>
  <c r="C6" i="22" s="1" a="1"/>
  <c r="C6" i="22" s="1"/>
  <c r="AV22" i="22" a="1"/>
  <c r="AV22" i="22" s="1"/>
  <c r="AV24" i="22" s="1" a="1"/>
  <c r="AV24" i="22" s="1"/>
  <c r="W20" i="8" s="1"/>
  <c r="AH42" i="22" a="1"/>
  <c r="AH42" i="22" s="1"/>
  <c r="AO42" i="22" a="1"/>
  <c r="AO42" i="22" s="1"/>
  <c r="AP6" i="22"/>
  <c r="AO28" i="22" a="1"/>
  <c r="AO28" i="22" s="1"/>
  <c r="AO30" i="22" s="1" a="1"/>
  <c r="AO30" i="22" s="1"/>
  <c r="D72" i="22"/>
  <c r="J64" i="5" s="1"/>
  <c r="AW6" i="22"/>
  <c r="C78" i="22" a="1"/>
  <c r="C78" i="22" s="1"/>
  <c r="C66" i="22" a="1"/>
  <c r="C66" i="22" s="1"/>
  <c r="AW18" i="22"/>
  <c r="AI36" i="22"/>
  <c r="X31" i="6" s="1"/>
  <c r="AV34" i="22" a="1"/>
  <c r="AV34" i="22" s="1"/>
  <c r="AV36" i="22" s="1" a="1"/>
  <c r="AV36" i="22" s="1"/>
  <c r="W31" i="8" s="1"/>
  <c r="AI42" i="22"/>
  <c r="AV52" i="22" a="1"/>
  <c r="AV52" i="22" s="1"/>
  <c r="AV54" i="22" s="1" a="1"/>
  <c r="AV54" i="22" s="1"/>
  <c r="AW12" i="22"/>
  <c r="X9" i="8" s="1"/>
  <c r="AI18" i="22"/>
  <c r="AO16" i="22" a="1"/>
  <c r="AO16" i="22" s="1"/>
  <c r="AO18" i="22" s="1" a="1"/>
  <c r="AO18" i="22" s="1"/>
  <c r="AH18" i="22" a="1"/>
  <c r="AH18" i="22" s="1"/>
  <c r="AO6" i="22" a="1"/>
  <c r="AO6" i="22" s="1"/>
  <c r="AV4" i="22" a="1"/>
  <c r="AV4" i="22" s="1"/>
  <c r="AV6" i="22" s="1" a="1"/>
  <c r="AV6" i="22" s="1"/>
  <c r="AI24" i="22"/>
  <c r="X20" i="6" s="1"/>
  <c r="AV10" i="22" a="1"/>
  <c r="AV10" i="22" s="1"/>
  <c r="AV12" i="22" s="1" a="1"/>
  <c r="AV12" i="22" s="1"/>
  <c r="W9" i="8" s="1"/>
  <c r="D36" i="22"/>
  <c r="J31" i="5" s="1"/>
  <c r="C16" i="22" a="1"/>
  <c r="C16" i="22" s="1"/>
  <c r="C18" i="22" s="1" a="1"/>
  <c r="C18" i="22" s="1"/>
  <c r="AW54" i="22"/>
  <c r="AV28" i="22" a="1"/>
  <c r="AV28" i="22" s="1"/>
  <c r="AV30" i="22" s="1" a="1"/>
  <c r="AV30" i="22" s="1"/>
  <c r="D60" i="22"/>
  <c r="J53" i="5" s="1"/>
  <c r="AW48" i="22"/>
  <c r="X42" i="8" s="1"/>
  <c r="AP60" i="22"/>
  <c r="X53" i="7" s="1"/>
  <c r="D48" i="22"/>
  <c r="J42" i="5" s="1"/>
  <c r="AP48" i="22"/>
  <c r="X42" i="7" s="1"/>
  <c r="AW60" i="22"/>
  <c r="X53" i="8" s="1"/>
  <c r="AI48" i="22"/>
  <c r="X42" i="6" s="1"/>
  <c r="D24" i="22"/>
  <c r="J20" i="5" s="1"/>
  <c r="C12" i="22" a="1"/>
  <c r="C12" i="22" s="1"/>
  <c r="C42" i="22" a="1"/>
  <c r="C42" i="22" s="1"/>
  <c r="AO52" i="22" a="1"/>
  <c r="AO52" i="22" s="1"/>
  <c r="AO54" i="22" s="1" a="1"/>
  <c r="AO54" i="22" s="1"/>
  <c r="AP42" i="22"/>
  <c r="AP12" i="22"/>
  <c r="X9" i="7" s="1"/>
  <c r="AP36" i="22"/>
  <c r="X31" i="7" s="1"/>
  <c r="AP24" i="22"/>
  <c r="X20" i="7" s="1"/>
  <c r="AO46" i="22" a="1"/>
  <c r="AO46" i="22" s="1"/>
  <c r="AO48" i="22" s="1" a="1"/>
  <c r="AO48" i="22" s="1"/>
  <c r="W42" i="7" s="1"/>
  <c r="AO58" i="22" a="1"/>
  <c r="AO58" i="22" s="1"/>
  <c r="AO60" i="22" s="1" a="1"/>
  <c r="AO60" i="22" s="1"/>
  <c r="W53" i="7" s="1"/>
  <c r="AA32" i="4"/>
  <c r="C19" i="7"/>
  <c r="W17" i="4"/>
  <c r="AI5" i="4"/>
  <c r="H22" i="4"/>
  <c r="AA13" i="4"/>
  <c r="U53" i="4" s="1"/>
  <c r="AA53" i="4" s="1"/>
  <c r="D25" i="4" s="1"/>
  <c r="AA11" i="4"/>
  <c r="Q35" i="4" s="1"/>
  <c r="AA16" i="4"/>
  <c r="AF4" i="4" s="1"/>
  <c r="C23" i="14"/>
  <c r="F23" i="14"/>
  <c r="C26" i="14"/>
  <c r="G34" i="14"/>
  <c r="H34" i="14" s="1"/>
  <c r="AA10" i="4"/>
  <c r="Z17" i="4"/>
  <c r="Z18" i="4" s="1"/>
  <c r="AA14" i="4"/>
  <c r="AA12" i="4"/>
  <c r="U54" i="4" s="1"/>
  <c r="X17" i="4"/>
  <c r="X18" i="4" s="1"/>
  <c r="D6" i="22"/>
  <c r="E98" i="22"/>
  <c r="E99" i="22"/>
  <c r="J9" i="5" l="1"/>
  <c r="I9" i="5"/>
  <c r="H18" i="4"/>
  <c r="X50" i="4" s="1"/>
  <c r="U52" i="4"/>
  <c r="Z56" i="4"/>
  <c r="Z57" i="4"/>
  <c r="C104" i="22"/>
  <c r="T5" i="19" s="1"/>
  <c r="C103" i="22"/>
  <c r="N3" i="19" s="1"/>
  <c r="C102" i="22"/>
  <c r="C105" i="22"/>
  <c r="C107" i="22"/>
  <c r="C106" i="22"/>
  <c r="D5" i="5"/>
  <c r="D9" i="19" s="1"/>
  <c r="U55" i="4"/>
  <c r="AA55" i="4" s="1"/>
  <c r="W65" i="4" s="1"/>
  <c r="AF9" i="4"/>
  <c r="P20" i="4" s="1"/>
  <c r="P8" i="19" s="1"/>
  <c r="H20" i="4"/>
  <c r="X56" i="4" s="1"/>
  <c r="U56" i="4"/>
  <c r="U59" i="4"/>
  <c r="G33" i="4"/>
  <c r="G31" i="4"/>
  <c r="G35" i="4"/>
  <c r="AE4" i="4"/>
  <c r="P15" i="4" s="1"/>
  <c r="B29" i="14" s="1"/>
  <c r="C29" i="14" s="1"/>
  <c r="AE9" i="4"/>
  <c r="Q36" i="4"/>
  <c r="AA17" i="4"/>
  <c r="AA18" i="4" s="1"/>
  <c r="AF5" i="4"/>
  <c r="H23" i="4"/>
  <c r="AJ9" i="4"/>
  <c r="AF8" i="4"/>
  <c r="W63" i="4"/>
  <c r="AI9" i="4"/>
  <c r="AJ5" i="4"/>
  <c r="P22" i="4" s="1"/>
  <c r="E30" i="14" s="1"/>
  <c r="F30" i="14" s="1"/>
  <c r="D35" i="4"/>
  <c r="AF6" i="4"/>
  <c r="AJ8" i="4"/>
  <c r="AJ6" i="4"/>
  <c r="V64" i="4"/>
  <c r="Z64" i="4" s="1"/>
  <c r="Y37" i="4" s="1"/>
  <c r="U58" i="4"/>
  <c r="V65" i="4" s="1"/>
  <c r="D31" i="4"/>
  <c r="AJ4" i="4"/>
  <c r="AJ7" i="4"/>
  <c r="V63" i="4"/>
  <c r="U50" i="4"/>
  <c r="D33" i="4"/>
  <c r="AF7" i="4"/>
  <c r="H19" i="4"/>
  <c r="H21" i="4"/>
  <c r="U57" i="4"/>
  <c r="AI6" i="4"/>
  <c r="AE8" i="4"/>
  <c r="AI4" i="4"/>
  <c r="AA54" i="4"/>
  <c r="D27" i="4" s="1"/>
  <c r="AE5" i="4"/>
  <c r="H17" i="4"/>
  <c r="X52" i="4" s="1"/>
  <c r="U49" i="4"/>
  <c r="AA49" i="4" s="1"/>
  <c r="D17" i="4" s="1"/>
  <c r="J24" i="14" s="1"/>
  <c r="B20" i="14" s="1"/>
  <c r="A20" i="14" s="1"/>
  <c r="B27" i="14"/>
  <c r="L4" i="19"/>
  <c r="AA52" i="4" l="1"/>
  <c r="D23" i="4" s="1"/>
  <c r="AE7" i="4"/>
  <c r="P18" i="4" s="1"/>
  <c r="P6" i="19" s="1"/>
  <c r="P23" i="4"/>
  <c r="E31" i="14" s="1"/>
  <c r="F31" i="14" s="1"/>
  <c r="P19" i="4"/>
  <c r="P7" i="19" s="1"/>
  <c r="X57" i="4"/>
  <c r="AA57" i="4" s="1"/>
  <c r="C35" i="4" s="1"/>
  <c r="B25" i="14" s="1"/>
  <c r="AI7" i="4"/>
  <c r="P24" i="4" s="1"/>
  <c r="S6" i="19" s="1"/>
  <c r="C31" i="4"/>
  <c r="B23" i="14" s="1"/>
  <c r="AI8" i="4"/>
  <c r="P25" i="4" s="1"/>
  <c r="S7" i="19" s="1"/>
  <c r="Z63" i="4"/>
  <c r="X37" i="4" s="1"/>
  <c r="Q4" i="19"/>
  <c r="D7" i="19"/>
  <c r="Q6" i="19"/>
  <c r="T8" i="19"/>
  <c r="Q5" i="19"/>
  <c r="T4" i="19"/>
  <c r="Q7" i="19"/>
  <c r="L7" i="19"/>
  <c r="J5" i="19"/>
  <c r="Q8" i="19"/>
  <c r="T3" i="19"/>
  <c r="J3" i="19"/>
  <c r="Q3" i="19"/>
  <c r="L3" i="19"/>
  <c r="T6" i="19"/>
  <c r="T7" i="19"/>
  <c r="J7" i="19"/>
  <c r="L5" i="19"/>
  <c r="N7" i="19"/>
  <c r="AE6" i="4"/>
  <c r="P17" i="4" s="1"/>
  <c r="P5" i="19" s="1"/>
  <c r="P21" i="4"/>
  <c r="S3" i="19" s="1"/>
  <c r="H25" i="4"/>
  <c r="L6" i="19"/>
  <c r="E24" i="14"/>
  <c r="B19" i="6"/>
  <c r="H43" i="14" s="1"/>
  <c r="N6" i="19"/>
  <c r="B19" i="8"/>
  <c r="H61" i="14" s="1"/>
  <c r="B19" i="7"/>
  <c r="H52" i="14" s="1"/>
  <c r="E25" i="14"/>
  <c r="E23" i="14"/>
  <c r="J6" i="19"/>
  <c r="AA56" i="4"/>
  <c r="C33" i="4" s="1"/>
  <c r="S4" i="19"/>
  <c r="Z65" i="4"/>
  <c r="Z37" i="4" s="1"/>
  <c r="B21" i="14"/>
  <c r="P16" i="4"/>
  <c r="B30" i="14" s="1"/>
  <c r="C30" i="14" s="1"/>
  <c r="P26" i="4"/>
  <c r="D5" i="19"/>
  <c r="C5" i="19" s="1"/>
  <c r="P3" i="19"/>
  <c r="AA50" i="4"/>
  <c r="D19" i="4" s="1"/>
  <c r="J26" i="14" s="1"/>
  <c r="D20" i="14" s="1"/>
  <c r="C20" i="14" s="1"/>
  <c r="B34" i="14"/>
  <c r="C34" i="14" s="1"/>
  <c r="X59" i="4"/>
  <c r="AA59" i="4" s="1"/>
  <c r="H27" i="4" s="1"/>
  <c r="F23" i="8" s="1"/>
  <c r="B33" i="14"/>
  <c r="C33" i="14" s="1"/>
  <c r="J4" i="19"/>
  <c r="B26" i="14"/>
  <c r="C23" i="7" l="1"/>
  <c r="C23" i="8"/>
  <c r="C23" i="6"/>
  <c r="G4" i="5"/>
  <c r="H5" i="6"/>
  <c r="F40" i="14" s="1"/>
  <c r="S5" i="19"/>
  <c r="E33" i="14"/>
  <c r="F33" i="14" s="1"/>
  <c r="B32" i="14"/>
  <c r="C32" i="14" s="1"/>
  <c r="E32" i="14"/>
  <c r="F32" i="14" s="1"/>
  <c r="J2" i="19"/>
  <c r="B31" i="14"/>
  <c r="C31" i="14" s="1"/>
  <c r="U4" i="7"/>
  <c r="J4" i="5"/>
  <c r="N4" i="19"/>
  <c r="E26" i="14"/>
  <c r="X4" i="8"/>
  <c r="E29" i="14"/>
  <c r="F29" i="14" s="1"/>
  <c r="U51" i="4"/>
  <c r="AA51" i="4" s="1"/>
  <c r="D21" i="4" s="1"/>
  <c r="P4" i="19"/>
  <c r="N2" i="19"/>
  <c r="L2" i="19"/>
  <c r="B24" i="14"/>
  <c r="D11" i="15" s="1"/>
  <c r="E34" i="14"/>
  <c r="F34" i="14" s="1"/>
  <c r="S8" i="19"/>
  <c r="F23" i="7"/>
  <c r="R4" i="7" s="1"/>
  <c r="G10" i="8"/>
  <c r="R4" i="8"/>
  <c r="F23" i="6"/>
  <c r="D8" i="19"/>
  <c r="D4" i="5"/>
  <c r="E27" i="14"/>
  <c r="F5" i="19"/>
  <c r="E5" i="19" s="1"/>
  <c r="X4" i="6"/>
  <c r="J43" i="14"/>
  <c r="U4" i="6" l="1"/>
  <c r="H5" i="8"/>
  <c r="F58" i="14" s="1"/>
  <c r="U4" i="8"/>
  <c r="H3" i="15"/>
  <c r="H5" i="7"/>
  <c r="F49" i="14" s="1"/>
  <c r="X4" i="7"/>
  <c r="D9" i="15"/>
  <c r="G10" i="7"/>
  <c r="G5" i="19"/>
  <c r="H5" i="19" s="1"/>
  <c r="G8" i="19" s="1"/>
  <c r="J27" i="14"/>
  <c r="E20" i="14" s="1"/>
  <c r="F20" i="14" s="1"/>
  <c r="K22" i="14" s="1"/>
  <c r="F3" i="15"/>
  <c r="G10" i="6"/>
  <c r="R4" i="6"/>
  <c r="L43" i="14"/>
  <c r="D3" i="15"/>
  <c r="E22" i="14" l="1"/>
  <c r="I32" i="14"/>
  <c r="G9" i="19"/>
  <c r="Q11" i="19"/>
  <c r="M11" i="19"/>
  <c r="E21" i="14"/>
  <c r="B3" i="15"/>
</calcChain>
</file>

<file path=xl/metadata.xml><?xml version="1.0" encoding="utf-8"?>
<metadata xmlns="http://schemas.openxmlformats.org/spreadsheetml/2006/main">
  <metadataTypes count="1">
    <metadataType name="XLDAPR" minSupportedVersion="120000" copy="1" pasteAll="1" pasteValues="1" merge="1" splitFirst="1" rowColShift="1" clearFormats="1" clearComments="1" assign="1" coerce="1" cellMeta="1"/>
  </metadataTypes>
  <futureMetadata name="XLDAPR" count="1">
    <bk>
      <extLst>
        <ext xmlns:xda="http://schemas.microsoft.com/office/spreadsheetml/2017/dynamicarray"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<sst xmlns="http://schemas.openxmlformats.org/spreadsheetml/2006/main" count="4018" uniqueCount="1314">
  <si>
    <t>能力タイプ</t>
  </si>
  <si>
    <t>活性タイプ</t>
  </si>
  <si>
    <t>身体タイプ</t>
  </si>
  <si>
    <t>在住エリア</t>
  </si>
  <si>
    <t>ＳＰＥ</t>
  </si>
  <si>
    <t>所属</t>
  </si>
  <si>
    <t>判定ダイス</t>
  </si>
  <si>
    <t>幸運ボーナス</t>
  </si>
  <si>
    <t>容姿</t>
  </si>
  <si>
    <t>発動系統</t>
  </si>
  <si>
    <t>付加効果</t>
  </si>
  <si>
    <t>ＳＥ</t>
  </si>
  <si>
    <t>特殊武装</t>
  </si>
  <si>
    <t>ライフ＆ライフ</t>
  </si>
  <si>
    <t>スタンス＆トゥルー</t>
  </si>
  <si>
    <t>カルマ</t>
  </si>
  <si>
    <t>崩壊症状</t>
  </si>
  <si>
    <t>消費アイテム</t>
  </si>
  <si>
    <t>－</t>
  </si>
  <si>
    <t>１Ｄ６</t>
  </si>
  <si>
    <t>ノーマル</t>
  </si>
  <si>
    <t>覚醒型</t>
  </si>
  <si>
    <t>増強型</t>
  </si>
  <si>
    <t>ナチュラル</t>
  </si>
  <si>
    <t>上層【アースガルズ】</t>
  </si>
  <si>
    <t>奇跡</t>
  </si>
  <si>
    <t>司法機関グングニル</t>
  </si>
  <si>
    <t>２Ｄ６</t>
  </si>
  <si>
    <t>Ｓ</t>
  </si>
  <si>
    <t>攻撃発動</t>
  </si>
  <si>
    <t>強化【行】</t>
  </si>
  <si>
    <t>トラップ</t>
  </si>
  <si>
    <t>攻撃型</t>
  </si>
  <si>
    <t>力技</t>
  </si>
  <si>
    <t>アタッチメント【スペック－０】</t>
  </si>
  <si>
    <t>異形</t>
  </si>
  <si>
    <t>正義</t>
  </si>
  <si>
    <t>昇華者【リバーサー】</t>
  </si>
  <si>
    <t>聴覚崩壊</t>
  </si>
  <si>
    <t>マグタフ　【因子１】</t>
  </si>
  <si>
    <t>行為発動</t>
  </si>
  <si>
    <t>サイキッカー</t>
  </si>
  <si>
    <t>反応型</t>
  </si>
  <si>
    <t>コーディネーター</t>
  </si>
  <si>
    <t>中層【ミズガルズ】</t>
  </si>
  <si>
    <t>悪運</t>
  </si>
  <si>
    <t>民主機構オルレアン</t>
  </si>
  <si>
    <t>３Ｄ６</t>
  </si>
  <si>
    <t>Ａ</t>
  </si>
  <si>
    <t>精神発動</t>
  </si>
  <si>
    <t>強化【攻】</t>
  </si>
  <si>
    <t>チャージ</t>
  </si>
  <si>
    <t>速度型</t>
  </si>
  <si>
    <t>ロケットランチャー【スペック－４】</t>
  </si>
  <si>
    <t>暴走</t>
  </si>
  <si>
    <t>中庸</t>
  </si>
  <si>
    <t>駆け出し【ルーキー】</t>
  </si>
  <si>
    <t>視覚崩壊</t>
  </si>
  <si>
    <t>マグタフＥＸ　【因子１】</t>
  </si>
  <si>
    <t>チェイン発動</t>
  </si>
  <si>
    <t>エスパー</t>
  </si>
  <si>
    <t>感覚型</t>
  </si>
  <si>
    <t>サイボーグ</t>
  </si>
  <si>
    <t>下層【ヘルヘイム】</t>
  </si>
  <si>
    <t>闘志</t>
  </si>
  <si>
    <t>抑制機構テセウス</t>
  </si>
  <si>
    <t>Ｂ</t>
  </si>
  <si>
    <t>防御発動</t>
  </si>
  <si>
    <t>強化【防】</t>
  </si>
  <si>
    <t>ドレイン</t>
  </si>
  <si>
    <t>探索型</t>
  </si>
  <si>
    <t>パイルバンカー【スペック－３】</t>
  </si>
  <si>
    <t>崩壊</t>
  </si>
  <si>
    <t>悪徳</t>
  </si>
  <si>
    <t>新鋭【ニューフェイス】</t>
  </si>
  <si>
    <t>言語崩壊</t>
  </si>
  <si>
    <t>マグタフＺ　【因子２】</t>
  </si>
  <si>
    <t>トランサー</t>
  </si>
  <si>
    <t>回復型</t>
  </si>
  <si>
    <t>ハイブリッド</t>
  </si>
  <si>
    <t>不明</t>
  </si>
  <si>
    <t>リベンジ</t>
  </si>
  <si>
    <t>ルーン企業連</t>
  </si>
  <si>
    <t>Ｃ</t>
  </si>
  <si>
    <t>付加発動</t>
  </si>
  <si>
    <t>強化【抵】</t>
  </si>
  <si>
    <t>ブレイク</t>
  </si>
  <si>
    <t>威圧</t>
  </si>
  <si>
    <t>荷電粒子砲【スペック－３】</t>
  </si>
  <si>
    <t>恩恵</t>
  </si>
  <si>
    <t>優柔不断</t>
  </si>
  <si>
    <t>初心【ビギナーズラック】</t>
  </si>
  <si>
    <t>身体崩壊</t>
  </si>
  <si>
    <t>トランス　【因子１】</t>
  </si>
  <si>
    <t>クリエイター</t>
  </si>
  <si>
    <t>アンドロイド</t>
  </si>
  <si>
    <t>リテイク</t>
  </si>
  <si>
    <t>チーム世紀末覇者</t>
  </si>
  <si>
    <t>Ｄ</t>
  </si>
  <si>
    <t>強化【命】</t>
  </si>
  <si>
    <t>ペネトレイション</t>
  </si>
  <si>
    <t>手榴弾【スペック－３】</t>
  </si>
  <si>
    <t>実験</t>
  </si>
  <si>
    <t>唯我独尊</t>
  </si>
  <si>
    <t>失敗談【ミステイク】</t>
  </si>
  <si>
    <t>精神崩壊</t>
  </si>
  <si>
    <t>ライズ　【因子２】</t>
  </si>
  <si>
    <t>アンノウン</t>
  </si>
  <si>
    <t>ロボット</t>
  </si>
  <si>
    <t>逆転</t>
  </si>
  <si>
    <t>スヴァルトアルフ</t>
  </si>
  <si>
    <t>Ｅ</t>
  </si>
  <si>
    <t>ＡＥ【重撃】</t>
  </si>
  <si>
    <t>強化【回】</t>
  </si>
  <si>
    <t>オールレンジ</t>
  </si>
  <si>
    <t>トラップボム【スペック－３】</t>
  </si>
  <si>
    <t>才能</t>
  </si>
  <si>
    <t>天真爛漫</t>
  </si>
  <si>
    <t>伏兵【ダークホース】</t>
  </si>
  <si>
    <t>記憶崩壊</t>
  </si>
  <si>
    <t>ネクスト　【因子３】</t>
  </si>
  <si>
    <t>絆</t>
  </si>
  <si>
    <t>フリーランス</t>
  </si>
  <si>
    <t>強化【技】</t>
  </si>
  <si>
    <t>コンティニュー</t>
  </si>
  <si>
    <t>観察眼</t>
  </si>
  <si>
    <t>レールガン【スペック－３】</t>
  </si>
  <si>
    <t>喪失</t>
  </si>
  <si>
    <t>家族</t>
  </si>
  <si>
    <t>調律者【バランサー】</t>
  </si>
  <si>
    <t>ユートピア　【因子１】</t>
  </si>
  <si>
    <t>激励</t>
  </si>
  <si>
    <t>特殊技</t>
  </si>
  <si>
    <t>強化【解】</t>
  </si>
  <si>
    <t>テリトリー</t>
  </si>
  <si>
    <t>ドリル【スペック－３】</t>
  </si>
  <si>
    <t>復讐</t>
  </si>
  <si>
    <t>友情</t>
  </si>
  <si>
    <t>崩壊者【ディケイド】</t>
  </si>
  <si>
    <t>パンドラ　【因子１】</t>
  </si>
  <si>
    <t>活性</t>
  </si>
  <si>
    <t>不屈</t>
  </si>
  <si>
    <t>減衰【行】</t>
  </si>
  <si>
    <t>リスク</t>
  </si>
  <si>
    <t>ブラスター【スペック－２】</t>
  </si>
  <si>
    <t>逃亡</t>
  </si>
  <si>
    <t>愛</t>
  </si>
  <si>
    <t>喪失者【ミッシング】</t>
  </si>
  <si>
    <t>マグタフ黒　【因子４】</t>
  </si>
  <si>
    <t>暴走症状</t>
  </si>
  <si>
    <t>次回追加</t>
  </si>
  <si>
    <t>瞑想</t>
  </si>
  <si>
    <t>減衰【攻】</t>
  </si>
  <si>
    <t>オート</t>
  </si>
  <si>
    <t>察知</t>
  </si>
  <si>
    <t>高周波ブレード【スペック－２】</t>
  </si>
  <si>
    <t>傷病</t>
  </si>
  <si>
    <t>仁義</t>
  </si>
  <si>
    <t>突然変異【アナザー】</t>
  </si>
  <si>
    <t>使い捨てランチャー　【因子１０】</t>
  </si>
  <si>
    <t>＋１</t>
  </si>
  <si>
    <t>鎮静</t>
  </si>
  <si>
    <t>減衰【防】</t>
  </si>
  <si>
    <t>セミオート</t>
  </si>
  <si>
    <t>火炎放射器【スペック－２】</t>
  </si>
  <si>
    <t>贖罪</t>
  </si>
  <si>
    <t>礼節</t>
  </si>
  <si>
    <t>覚醒者【アクトレイザー】</t>
  </si>
  <si>
    <t>違法グレネード　【因子４】</t>
  </si>
  <si>
    <t>制御異常</t>
  </si>
  <si>
    <t>生還者（補正なし）</t>
  </si>
  <si>
    <t>＋２</t>
  </si>
  <si>
    <t>精神凌駕</t>
  </si>
  <si>
    <t>減衰【抵】</t>
  </si>
  <si>
    <t>リフレクション</t>
  </si>
  <si>
    <t>電子ドラッグ【スペック－２】</t>
  </si>
  <si>
    <t>裏切り</t>
  </si>
  <si>
    <t>誇り</t>
  </si>
  <si>
    <t>探索者【シャープネス】</t>
  </si>
  <si>
    <t>ＥＣＭ【Ｐ】　【因子４】</t>
  </si>
  <si>
    <t>過負荷</t>
  </si>
  <si>
    <t>初期暴走率＋５％</t>
  </si>
  <si>
    <t>＋３</t>
  </si>
  <si>
    <t>減衰【命】</t>
  </si>
  <si>
    <t>パーフェクト</t>
  </si>
  <si>
    <t>知識</t>
  </si>
  <si>
    <t>スタンガン【スペック－１】</t>
  </si>
  <si>
    <t>名声</t>
  </si>
  <si>
    <t>男性的</t>
  </si>
  <si>
    <t>修羅【アタッカー】</t>
  </si>
  <si>
    <t>ＥＣＭ【Ｅ】　【因子４】</t>
  </si>
  <si>
    <t>聴覚異常</t>
  </si>
  <si>
    <t>初期暴走率＋１０％</t>
  </si>
  <si>
    <t>瞬動</t>
  </si>
  <si>
    <t>減衰【回】</t>
  </si>
  <si>
    <t>ワイヤートラップ【スペック－１】</t>
  </si>
  <si>
    <t>悪名</t>
  </si>
  <si>
    <t>中性的</t>
  </si>
  <si>
    <t>寵愛【アイドル】</t>
  </si>
  <si>
    <t>ＥＣＭ【Ｔ】　【因子４】</t>
  </si>
  <si>
    <t>視覚異常</t>
  </si>
  <si>
    <t>初期暴走率＋１５％</t>
  </si>
  <si>
    <t>限界突破</t>
  </si>
  <si>
    <t>減衰【技】</t>
  </si>
  <si>
    <t>フラッシュガン【スペック－２】</t>
  </si>
  <si>
    <t>孤独</t>
  </si>
  <si>
    <t>女性的</t>
  </si>
  <si>
    <t>英雄【ブレイブ】</t>
  </si>
  <si>
    <t>ＥＣＭ【Ｃ】　【因子４】</t>
  </si>
  <si>
    <t>身体異常</t>
  </si>
  <si>
    <t>初期暴走率＋２０％</t>
  </si>
  <si>
    <t>防衛本能</t>
  </si>
  <si>
    <t>減衰【解】</t>
  </si>
  <si>
    <t>技術</t>
  </si>
  <si>
    <t>増強アンプル【スペック－1】</t>
  </si>
  <si>
    <t>義理の家族</t>
  </si>
  <si>
    <t>一途</t>
  </si>
  <si>
    <t>凡骨【ナチュラルボーン】</t>
  </si>
  <si>
    <t>パイル予備弾　【因子２】</t>
  </si>
  <si>
    <t>能力異常</t>
  </si>
  <si>
    <t>暴走崩壊者</t>
  </si>
  <si>
    <t>共鳴</t>
  </si>
  <si>
    <t>回復</t>
  </si>
  <si>
    <t>強化シナプス【スペック－1】</t>
  </si>
  <si>
    <t>機械化</t>
  </si>
  <si>
    <t>好色</t>
  </si>
  <si>
    <t>殺し屋【ザ・キラー】</t>
  </si>
  <si>
    <t>荷電粒子予備弾　【因子２】</t>
  </si>
  <si>
    <t>言語異常</t>
  </si>
  <si>
    <t>パージ</t>
  </si>
  <si>
    <t>拡張</t>
  </si>
  <si>
    <t>スモーク【スペック－1】</t>
  </si>
  <si>
    <t>被害者</t>
  </si>
  <si>
    <t>同性愛</t>
  </si>
  <si>
    <t>武器屋【マスター】</t>
  </si>
  <si>
    <t>スタン予備弾　【因子２】</t>
  </si>
  <si>
    <t>記憶異常</t>
  </si>
  <si>
    <t>持ち越し抑制ダイス</t>
  </si>
  <si>
    <t>奥義</t>
  </si>
  <si>
    <t>制限</t>
  </si>
  <si>
    <t>隠密</t>
  </si>
  <si>
    <t>サイキックジャミング【スペック－1】</t>
  </si>
  <si>
    <t>成功</t>
  </si>
  <si>
    <t>倹約</t>
  </si>
  <si>
    <t>守護者【イージス】</t>
  </si>
  <si>
    <t>フラッシュ予備弾　【因子２】</t>
  </si>
  <si>
    <t>精神異常</t>
  </si>
  <si>
    <t>大器</t>
  </si>
  <si>
    <t>幸運</t>
  </si>
  <si>
    <t>神経ジャマー【スペック－1】</t>
  </si>
  <si>
    <t>没落</t>
  </si>
  <si>
    <t>几帳面</t>
  </si>
  <si>
    <t>反撃者【リベリオン】</t>
  </si>
  <si>
    <t>バーサーカー　【因子１】</t>
  </si>
  <si>
    <t>忘我</t>
  </si>
  <si>
    <t>熟練</t>
  </si>
  <si>
    <t>追加【命】</t>
  </si>
  <si>
    <t>トランスキャンセラー【スペック－1】</t>
  </si>
  <si>
    <t>権力</t>
  </si>
  <si>
    <t>独立</t>
  </si>
  <si>
    <t>影の者【アサシン】</t>
  </si>
  <si>
    <t>ハイウェイ 　【因子１】</t>
  </si>
  <si>
    <t>エキスパート</t>
  </si>
  <si>
    <t>追加【回】</t>
  </si>
  <si>
    <t>俊敏</t>
  </si>
  <si>
    <t>クリエイトノイザー【スペック－1】</t>
  </si>
  <si>
    <t>勤労</t>
  </si>
  <si>
    <t>物欲</t>
  </si>
  <si>
    <t>癒し手【ヒーラー】</t>
  </si>
  <si>
    <t>煙幕 　【因子１】</t>
  </si>
  <si>
    <t>技系統</t>
  </si>
  <si>
    <t>追加【技】</t>
  </si>
  <si>
    <t>アーマー【スペック－1】</t>
  </si>
  <si>
    <t>無名</t>
  </si>
  <si>
    <t>リーダーシップ</t>
  </si>
  <si>
    <t>使役者【ブリーダー】</t>
  </si>
  <si>
    <t>追加【解】</t>
  </si>
  <si>
    <t>ブラックボックス【スペック－1】</t>
  </si>
  <si>
    <t>裏社会</t>
  </si>
  <si>
    <t>慎重</t>
  </si>
  <si>
    <t>不幸【アンラッキー】</t>
  </si>
  <si>
    <t>攻撃</t>
  </si>
  <si>
    <t>混乱</t>
  </si>
  <si>
    <t>話術</t>
  </si>
  <si>
    <t>パワードスーツ【スペック－1】</t>
  </si>
  <si>
    <t>平凡</t>
  </si>
  <si>
    <t>豪胆</t>
  </si>
  <si>
    <t>複製</t>
  </si>
  <si>
    <t>スキャンスコープ【スペック－1】</t>
  </si>
  <si>
    <t>商人</t>
  </si>
  <si>
    <t>ポジティブ</t>
  </si>
  <si>
    <t>愚者【トラブルメイカー】</t>
  </si>
  <si>
    <t>-</t>
  </si>
  <si>
    <t>防御</t>
  </si>
  <si>
    <t>制止</t>
  </si>
  <si>
    <t>高感度センサー【スペック－1】</t>
  </si>
  <si>
    <t>犯罪</t>
  </si>
  <si>
    <t>自由</t>
  </si>
  <si>
    <t>不死身【アンデッド】</t>
  </si>
  <si>
    <t>ＰＣ</t>
  </si>
  <si>
    <t>補正</t>
  </si>
  <si>
    <t>継続</t>
  </si>
  <si>
    <t>読心</t>
  </si>
  <si>
    <t>高演算電脳【スペック－1】</t>
  </si>
  <si>
    <t>技術者</t>
  </si>
  <si>
    <t>お人好し</t>
  </si>
  <si>
    <t>奉仕者【トレーダー】</t>
  </si>
  <si>
    <t>ＮＰＣ</t>
  </si>
  <si>
    <t>状態異常</t>
  </si>
  <si>
    <t>離脱</t>
  </si>
  <si>
    <t>操作</t>
  </si>
  <si>
    <t>宗教</t>
  </si>
  <si>
    <t>目立ちたがり</t>
  </si>
  <si>
    <t>闇商人【ディーラー】</t>
  </si>
  <si>
    <t>親愛</t>
  </si>
  <si>
    <t>他に代えがたいほど友情を感じている。最早家族のような存在である。</t>
  </si>
  <si>
    <t>創造</t>
  </si>
  <si>
    <t>芸術</t>
  </si>
  <si>
    <t>友好</t>
  </si>
  <si>
    <t>破壊者【デストロイヤー】</t>
  </si>
  <si>
    <t>敬愛</t>
  </si>
  <si>
    <t>ただ仲が良いということではなく、一人の人間として敬意を払っている。</t>
  </si>
  <si>
    <t>その他</t>
  </si>
  <si>
    <t>性質【威力】</t>
  </si>
  <si>
    <t>閃き</t>
  </si>
  <si>
    <t>忠誠</t>
  </si>
  <si>
    <t>臆病</t>
  </si>
  <si>
    <t>職人【プロフェッショナル】</t>
  </si>
  <si>
    <t>友人</t>
  </si>
  <si>
    <t>知り合いの中でも特に仲が良い。友達。</t>
  </si>
  <si>
    <t>性質【反応】</t>
  </si>
  <si>
    <t>心拍スカウター【スペック－1】</t>
  </si>
  <si>
    <t>野心</t>
  </si>
  <si>
    <t>ネガティブ</t>
  </si>
  <si>
    <t>鷹の目【ホークアイ】</t>
  </si>
  <si>
    <t>好感</t>
  </si>
  <si>
    <t>性質【耐性】</t>
  </si>
  <si>
    <t>秘密</t>
  </si>
  <si>
    <t>寂しがり屋</t>
  </si>
  <si>
    <t>幻影【ファントム】</t>
  </si>
  <si>
    <t>普通</t>
  </si>
  <si>
    <t>知り合い。顔見知り。</t>
  </si>
  <si>
    <t>性質【感覚】</t>
  </si>
  <si>
    <t>探求</t>
  </si>
  <si>
    <t>嫉妬</t>
  </si>
  <si>
    <t>無血開城【ピースメイカー】</t>
  </si>
  <si>
    <t>反感</t>
  </si>
  <si>
    <t>性質【幸運】</t>
  </si>
  <si>
    <t>武道</t>
  </si>
  <si>
    <t>疑心</t>
  </si>
  <si>
    <t>人外【レジェンド】</t>
  </si>
  <si>
    <t>嫌悪</t>
  </si>
  <si>
    <t>正直、あまり一緒にいたくはない。</t>
  </si>
  <si>
    <t>限定耐性</t>
  </si>
  <si>
    <t>研究</t>
  </si>
  <si>
    <t>虚偽</t>
  </si>
  <si>
    <t>希少種【レア】</t>
  </si>
  <si>
    <t>憎悪</t>
  </si>
  <si>
    <t>敵対的な心理を明確に抱いている。</t>
  </si>
  <si>
    <t>限定無効</t>
  </si>
  <si>
    <t>温厚</t>
  </si>
  <si>
    <t>勇猛【ベルセルク】</t>
  </si>
  <si>
    <t>殺意</t>
  </si>
  <si>
    <t>殺したいほど憎い相手。</t>
  </si>
  <si>
    <t>限定吸収</t>
  </si>
  <si>
    <t>慈愛</t>
  </si>
  <si>
    <t>魔性【フェロモン】</t>
  </si>
  <si>
    <t>貫通無効</t>
  </si>
  <si>
    <t>奉仕</t>
  </si>
  <si>
    <t>下心【セクシゃル】</t>
  </si>
  <si>
    <t>領域無効</t>
  </si>
  <si>
    <t>平和主義</t>
  </si>
  <si>
    <t>献身【サクリファイス】</t>
  </si>
  <si>
    <t>影響無効</t>
  </si>
  <si>
    <t>マイペース</t>
  </si>
  <si>
    <t>孤高【ロンリーウルフ】</t>
  </si>
  <si>
    <t>精神無効</t>
  </si>
  <si>
    <t>八方美人</t>
  </si>
  <si>
    <t>恋愛【ラバーズ】</t>
  </si>
  <si>
    <t>物理無効</t>
  </si>
  <si>
    <t>厳格</t>
  </si>
  <si>
    <t>交渉人【ネゴシエイター】</t>
  </si>
  <si>
    <t>守護</t>
  </si>
  <si>
    <t>系統無効</t>
  </si>
  <si>
    <t>頑固</t>
  </si>
  <si>
    <t>二枚舌【ライアー】</t>
  </si>
  <si>
    <t>激情</t>
  </si>
  <si>
    <t>魔術師【プロフェッサー】</t>
  </si>
  <si>
    <t>好戦的</t>
  </si>
  <si>
    <t>道化師【トリックスター】</t>
  </si>
  <si>
    <t>反発</t>
  </si>
  <si>
    <t>狂人【マッドネス】</t>
  </si>
  <si>
    <t>騒然</t>
  </si>
  <si>
    <t>風雲児【ヒーロー】</t>
  </si>
  <si>
    <t>単純</t>
  </si>
  <si>
    <t>無頼漢【フーリガン】</t>
  </si>
  <si>
    <t>自信家</t>
  </si>
  <si>
    <t>小心翼翼【チキンハート】</t>
  </si>
  <si>
    <t>無鉄砲</t>
  </si>
  <si>
    <t>芸人【エンターテイナー】</t>
  </si>
  <si>
    <t>気分屋</t>
  </si>
  <si>
    <t>泥酔【ドランカー】</t>
  </si>
  <si>
    <t>努力家</t>
  </si>
  <si>
    <t>自己愛【ナルシスト】</t>
  </si>
  <si>
    <t>敏感</t>
  </si>
  <si>
    <t>演技派【プレゼンター】</t>
  </si>
  <si>
    <t>寡黙</t>
  </si>
  <si>
    <t>中二病【ファイナルジャッジメント】</t>
  </si>
  <si>
    <t>一匹狼</t>
  </si>
  <si>
    <t>ダイスの女神様【フォーチュン】</t>
  </si>
  <si>
    <t>冷徹</t>
  </si>
  <si>
    <t>静観</t>
  </si>
  <si>
    <t>怠け者</t>
  </si>
  <si>
    <t>鈍感</t>
  </si>
  <si>
    <t>常識</t>
  </si>
  <si>
    <t>愚直</t>
  </si>
  <si>
    <t>規律</t>
  </si>
  <si>
    <t>気品</t>
  </si>
  <si>
    <t>現実主義</t>
  </si>
  <si>
    <t>誠実</t>
  </si>
  <si>
    <t>偏屈</t>
  </si>
  <si>
    <t>依存</t>
  </si>
  <si>
    <t>ズボラ</t>
  </si>
  <si>
    <t>下賤</t>
  </si>
  <si>
    <t>ロマンティスト</t>
  </si>
  <si>
    <t>浪費</t>
  </si>
  <si>
    <t>恋愛</t>
  </si>
  <si>
    <t>復活バースト</t>
  </si>
  <si>
    <t>ダメージバースト</t>
  </si>
  <si>
    <t>抑制バースト</t>
  </si>
  <si>
    <t>発動バースト</t>
  </si>
  <si>
    <t>暴走バースト</t>
  </si>
  <si>
    <t>解除バースト</t>
  </si>
  <si>
    <t>連携バースト</t>
  </si>
  <si>
    <t>判定バースト</t>
  </si>
  <si>
    <t>キャラクター名</t>
  </si>
  <si>
    <t>パラメーター</t>
  </si>
  <si>
    <t>攻撃力</t>
  </si>
  <si>
    <t>HP</t>
  </si>
  <si>
    <t>ＳＳ</t>
  </si>
  <si>
    <t>格闘</t>
  </si>
  <si>
    <t>PP</t>
  </si>
  <si>
    <t>命中</t>
  </si>
  <si>
    <t>武器</t>
  </si>
  <si>
    <t>抵抗</t>
  </si>
  <si>
    <t>回避</t>
  </si>
  <si>
    <t>能力</t>
  </si>
  <si>
    <t>行動値</t>
  </si>
  <si>
    <t>能力精度</t>
  </si>
  <si>
    <t>スペック</t>
  </si>
  <si>
    <t>技名</t>
  </si>
  <si>
    <t>創造タイプ</t>
  </si>
  <si>
    <t>★貼り付け用シート　移植のしかた★
◎移植したいキャラシートとこのキャラシテンプレはあらかじめ開いておく。
　①左下のタブの「貼り付け用」を右クリックして「シートの移動またはコピー」を選択し、
左下の「コピーを作成する」にチェックを入れ、移動先を移植したいキャラシートにする。
（体裁を気にしない人、自分で調節する人はこの工程はやらなくてもよい。）
②上のバーに表示された計算式をコピーして、同じく上のバーにペーストしていく。
うまくいかなかったら同じフォルダに計算式を同封しておくので、
それをコピーして上のバーにペーストしていけば大丈夫だと思います。</t>
  </si>
  <si>
    <t>ＰＬ名</t>
  </si>
  <si>
    <t>次回セッション</t>
  </si>
  <si>
    <t>※先にこちらの欄を入力する事で左欄にある程度数値が自動反映されます</t>
  </si>
  <si>
    <t>次回状態</t>
  </si>
  <si>
    <t>基礎技能値</t>
  </si>
  <si>
    <t>運ボーナス</t>
  </si>
  <si>
    <t>持ち越し因子ダイス</t>
  </si>
  <si>
    <t>→手入力</t>
  </si>
  <si>
    <t>→選択入力</t>
  </si>
  <si>
    <t>→自動反映</t>
  </si>
  <si>
    <t>→反映結果</t>
  </si>
  <si>
    <t>性別</t>
  </si>
  <si>
    <t>年齢</t>
  </si>
  <si>
    <t>身長</t>
  </si>
  <si>
    <t>崩壊深度</t>
  </si>
  <si>
    <t>後遺症</t>
  </si>
  <si>
    <t>▼ステータス計算</t>
  </si>
  <si>
    <t>職業</t>
  </si>
  <si>
    <t>基礎パラメーター</t>
  </si>
  <si>
    <t>総パラ</t>
  </si>
  <si>
    <t>基礎pt</t>
  </si>
  <si>
    <t>フリーpt</t>
  </si>
  <si>
    <t>計①</t>
  </si>
  <si>
    <t>①＋②</t>
  </si>
  <si>
    <t>ライフパス</t>
  </si>
  <si>
    <t>筋力</t>
  </si>
  <si>
    <t>スタンス</t>
  </si>
  <si>
    <t>耐久</t>
  </si>
  <si>
    <t>トゥルー</t>
  </si>
  <si>
    <t>知力</t>
  </si>
  <si>
    <t>パラメーター基準値</t>
  </si>
  <si>
    <t>キャライメージ</t>
  </si>
  <si>
    <t>エキスパ</t>
  </si>
  <si>
    <t>精神</t>
  </si>
  <si>
    <t>無能</t>
  </si>
  <si>
    <t>貧弱</t>
  </si>
  <si>
    <t>常人</t>
  </si>
  <si>
    <t>秀才</t>
  </si>
  <si>
    <t>達人</t>
  </si>
  <si>
    <t>天才</t>
  </si>
  <si>
    <t>探索技能</t>
  </si>
  <si>
    <t>ＳＰＥ補正</t>
  </si>
  <si>
    <t>器用</t>
  </si>
  <si>
    <t>1～２</t>
  </si>
  <si>
    <t>３～４</t>
  </si>
  <si>
    <t>５～９</t>
  </si>
  <si>
    <t>１０～１３</t>
  </si>
  <si>
    <t>１４～１７</t>
  </si>
  <si>
    <t>１８～</t>
  </si>
  <si>
    <t>敏捷</t>
  </si>
  <si>
    <t>ステータス</t>
  </si>
  <si>
    <t>運</t>
  </si>
  <si>
    <t>計</t>
  </si>
  <si>
    <t>運１～２</t>
  </si>
  <si>
    <t>―</t>
  </si>
  <si>
    <t>基礎技能値－２</t>
  </si>
  <si>
    <t>↑フリーpt入力計↑
計①がゼロ以下はＮＧ</t>
  </si>
  <si>
    <t>運３～４</t>
  </si>
  <si>
    <t>基礎技能値－１</t>
  </si>
  <si>
    <t>運５～９</t>
  </si>
  <si>
    <t>暴走率</t>
  </si>
  <si>
    <t>運１０～１３</t>
  </si>
  <si>
    <t>基礎技能値+１</t>
  </si>
  <si>
    <t>キャラ特性付与パラメーター</t>
  </si>
  <si>
    <t>キャラpt</t>
  </si>
  <si>
    <t>運１４～１７</t>
  </si>
  <si>
    <t>命中・回避判定ダイス＋１Ｄ６</t>
  </si>
  <si>
    <t>基礎技能値+２</t>
  </si>
  <si>
    <t>防御力</t>
  </si>
  <si>
    <t>キャラ特性</t>
  </si>
  <si>
    <t>計②</t>
  </si>
  <si>
    <t>運１８～２０</t>
  </si>
  <si>
    <t>基礎技能値+３</t>
  </si>
  <si>
    <t>精神抵抗</t>
  </si>
  <si>
    <t>発動スペック</t>
  </si>
  <si>
    <t>◆　探索技能補足説明　◆</t>
  </si>
  <si>
    <t>技能名</t>
  </si>
  <si>
    <t>説明</t>
  </si>
  <si>
    <t>命中・回避</t>
  </si>
  <si>
    <t>物を動かす、ドアを破るなど、力で物事を突破する際に必要な判定技能。</t>
  </si>
  <si>
    <t>消費pt</t>
  </si>
  <si>
    <t>物事・現場を観察し、何かに気づけるかどうかの判定技能。</t>
  </si>
  <si>
    <t>推理・考察時に何かを思い付けるかどうかの判定技能。</t>
  </si>
  <si>
    <t>命中力</t>
  </si>
  <si>
    <t>突然の出来事・気配等に反応できるか・気づけるかどうかの判定技能。</t>
  </si>
  <si>
    <t>アライメント</t>
  </si>
  <si>
    <t>睡眠回復量</t>
  </si>
  <si>
    <t>物事・情報・使用方法などについて知っているかどうかの判定技能。</t>
  </si>
  <si>
    <t>回避力</t>
  </si>
  <si>
    <t>ＨＰ＆ＰＰ回復量</t>
  </si>
  <si>
    <t>取得結果</t>
  </si>
  <si>
    <t>取得点</t>
  </si>
  <si>
    <t>機械を修理する、鍵開けを行うなど、技術を要求される場合の判定技能。</t>
  </si>
  <si>
    <t>暴走率回復量</t>
  </si>
  <si>
    <t>格闘点</t>
  </si>
  <si>
    <t>武器点</t>
  </si>
  <si>
    <t>能力点</t>
  </si>
  <si>
    <t>身を隠す、対象を追跡する、物を隠す際の判定技能。</t>
  </si>
  <si>
    <t>取得ダイス</t>
  </si>
  <si>
    <t>取得固定値</t>
  </si>
  <si>
    <t>移行結果</t>
  </si>
  <si>
    <t>逃げる、対象を追いかける、高所からの着地ができるかなどの判定技能。</t>
  </si>
  <si>
    <t>アイテム</t>
  </si>
  <si>
    <t>能力名</t>
  </si>
  <si>
    <t>格闘攻撃</t>
  </si>
  <si>
    <t>強制的に対象を従わせる、威嚇などで黙らせるなどに必要な判定技能。</t>
  </si>
  <si>
    <t>消費アイテム／アタッチメント</t>
  </si>
  <si>
    <t>所持品</t>
  </si>
  <si>
    <t>武器攻撃</t>
  </si>
  <si>
    <t>説得・言いくるめ・交渉など、話術が必要な際の判定技能。</t>
  </si>
  <si>
    <t>能力攻撃</t>
  </si>
  <si>
    <t>対象が嘘をついているかなど、相手の心情を察する判定技能。</t>
  </si>
  <si>
    <t>▼　　　▼　　　▼　　　▼</t>
  </si>
  <si>
    <t>運が試される際の判定技能。</t>
  </si>
  <si>
    <t>能力説明</t>
  </si>
  <si>
    <t>↓　移行取得結果　↓</t>
  </si>
  <si>
    <t>■　技能判定 目安表　■</t>
  </si>
  <si>
    <t>技能判定値</t>
  </si>
  <si>
    <t>技能ランク</t>
  </si>
  <si>
    <t>難易度</t>
  </si>
  <si>
    <t>Ｎ</t>
  </si>
  <si>
    <t>Ｈ</t>
  </si>
  <si>
    <t>残り点</t>
  </si>
  <si>
    <t>ＡＥなし
ノーマル目標</t>
  </si>
  <si>
    <t>コンセLv.5
難易度ハード</t>
  </si>
  <si>
    <t>コンセLv.10
スーパーハード</t>
  </si>
  <si>
    <t>【　無能レベル　】誰もができて当然</t>
  </si>
  <si>
    <t>４～５</t>
  </si>
  <si>
    <t>９～１０</t>
  </si>
  <si>
    <t>１４～１５</t>
  </si>
  <si>
    <t>パラ依存</t>
  </si>
  <si>
    <t>コンディション</t>
  </si>
  <si>
    <t>特化補正</t>
  </si>
  <si>
    <t>その他補正</t>
  </si>
  <si>
    <t>【　貧弱レベル　】簡単にできる範囲</t>
  </si>
  <si>
    <t>６～７</t>
  </si>
  <si>
    <t>１１～１２</t>
  </si>
  <si>
    <t>１６～１７</t>
  </si>
  <si>
    <t>５～８</t>
  </si>
  <si>
    <t>【　常人レベル　】普通の人なら可能</t>
  </si>
  <si>
    <t>８～１１</t>
  </si>
  <si>
    <t>１３～１６</t>
  </si>
  <si>
    <t>１８～２１</t>
  </si>
  <si>
    <t>９～１１</t>
  </si>
  <si>
    <t>【　秀才レベル　】得意な人の範囲</t>
  </si>
  <si>
    <t>１２～１４</t>
  </si>
  <si>
    <t>１７～１９</t>
  </si>
  <si>
    <t>２２～２４</t>
  </si>
  <si>
    <t>【　達人レベル　】プロレベル　</t>
  </si>
  <si>
    <t>１５～１７</t>
  </si>
  <si>
    <t>２０～２２</t>
  </si>
  <si>
    <t>２５～２７</t>
  </si>
  <si>
    <t>キャラクター説明・補足</t>
  </si>
  <si>
    <t>１５～</t>
  </si>
  <si>
    <t>【　天才レベル　】常人では達成困難</t>
  </si>
  <si>
    <t>２３～</t>
  </si>
  <si>
    <t>２８～</t>
  </si>
  <si>
    <t>キャラのセリフをお好みでこの欄に入れて下さい。</t>
  </si>
  <si>
    <t>SS</t>
  </si>
  <si>
    <t>攻撃力取得点</t>
  </si>
  <si>
    <t>主攻撃値</t>
  </si>
  <si>
    <t>補助攻撃値</t>
  </si>
  <si>
    <t>能力ボーナス</t>
  </si>
  <si>
    <t>格闘取得点</t>
  </si>
  <si>
    <t>+１Ｄ６</t>
  </si>
  <si>
    <t>武器取得点</t>
  </si>
  <si>
    <t>能力取得点</t>
  </si>
  <si>
    <t>防御発動量</t>
  </si>
  <si>
    <t>付加補正量</t>
  </si>
  <si>
    <t>射程</t>
  </si>
  <si>
    <t>消費</t>
  </si>
  <si>
    <t>必要スペック</t>
  </si>
  <si>
    <t>演出</t>
  </si>
  <si>
    <t>効果補足</t>
  </si>
  <si>
    <t>※この行には具体的な補正量やトリガー条件などをお書き下さい。</t>
  </si>
  <si>
    <t>※この行には具体的な効果やチェイン発動の組合せをお書き下さい。</t>
  </si>
  <si>
    <t>クリーチャー名</t>
  </si>
  <si>
    <t>使用PP</t>
  </si>
  <si>
    <t>クリーチャー判定値</t>
  </si>
  <si>
    <t>クリーチャー能力タイプ</t>
  </si>
  <si>
    <t>取得探索技能</t>
  </si>
  <si>
    <t>クリーチャーイメージ</t>
  </si>
  <si>
    <t>変動値</t>
  </si>
  <si>
    <t>取得可能数</t>
  </si>
  <si>
    <t>ダメージボーナス</t>
  </si>
  <si>
    <t>命中回避ダイス</t>
  </si>
  <si>
    <t>クリーチャー説明</t>
  </si>
  <si>
    <t>●補正部分は【　活性タイプ　】を選択したら、暴走率によって自動反映します。</t>
  </si>
  <si>
    <t>●ＳＳ・命中・回避の入力は【　2桁以上の数字　】を入力する事で自動変換の入力補助になってます。</t>
  </si>
  <si>
    <t>※「101」と入力したら「10＋1D6」と反映。下1桁がダイス数扱いとなる。</t>
  </si>
  <si>
    <t>●上記同様に攻撃力の入力は【　3桁の数字　】を入力する事で自動変換の入力補助になってます。</t>
  </si>
  <si>
    <t>※「101」と入力したら「1D6+１」と反映。仮に4桁の「1011」と入力したら「10D6+11」と反映される。</t>
  </si>
  <si>
    <t>共有メモ</t>
  </si>
  <si>
    <t>メモ欄</t>
  </si>
  <si>
    <t>→</t>
  </si>
  <si>
    <t>→ＨＰ結果</t>
  </si>
  <si>
    <t>→ＰＰ結果</t>
  </si>
  <si>
    <t>→暴走率結果</t>
  </si>
  <si>
    <t>持ち越し</t>
  </si>
  <si>
    <t>cond
振り直し</t>
  </si>
  <si>
    <t>ＨＰ</t>
  </si>
  <si>
    <t>70%発症</t>
  </si>
  <si>
    <t>90%発症</t>
  </si>
  <si>
    <t>総消費PP</t>
  </si>
  <si>
    <t>因子Ｄ</t>
  </si>
  <si>
    <t>性質系</t>
  </si>
  <si>
    <t>因子Ｄ増減欄⇒</t>
  </si>
  <si>
    <t>condition</t>
  </si>
  <si>
    <t>±入力</t>
  </si>
  <si>
    <t>ＨＰ変動欄⇒</t>
  </si>
  <si>
    <t>素HP</t>
  </si>
  <si>
    <t>追加HP</t>
  </si>
  <si>
    <t>消費ＰＰ欄⇒</t>
  </si>
  <si>
    <t>プラス入力のみ</t>
  </si>
  <si>
    <t>精度</t>
  </si>
  <si>
    <t>回復ＰＰ欄⇒</t>
  </si>
  <si>
    <t>素PP</t>
  </si>
  <si>
    <t>追加PP</t>
  </si>
  <si>
    <t>暴走率変動欄⇒</t>
  </si>
  <si>
    <t>素暴走</t>
  </si>
  <si>
    <t>追加暴走</t>
  </si>
  <si>
    <t>技能</t>
  </si>
  <si>
    <t>基礎</t>
  </si>
  <si>
    <t>判定</t>
  </si>
  <si>
    <t>ＳＰＥチェック欄⇒</t>
  </si>
  <si>
    <t>残</t>
  </si>
  <si>
    <t>カルマチェック欄⇒</t>
  </si>
  <si>
    <t>エキスパート補正</t>
  </si>
  <si>
    <t>↑最大使用回数は手動入力↑</t>
  </si>
  <si>
    <t>申告用キャラ状態まとめ↓</t>
  </si>
  <si>
    <t>感覚型活性</t>
  </si>
  <si>
    <t>命中回避
ダイス</t>
  </si>
  <si>
    <t>取得技能</t>
  </si>
  <si>
    <t>探索
ダイス</t>
  </si>
  <si>
    <t>判定値</t>
  </si>
  <si>
    <t>次回持ち越し</t>
  </si>
  <si>
    <t>参加したシナリオ</t>
  </si>
  <si>
    <t>人物寸評</t>
  </si>
  <si>
    <t>卓名</t>
  </si>
  <si>
    <t>取得カルマ</t>
  </si>
  <si>
    <t>賞授与</t>
  </si>
  <si>
    <t>名前</t>
  </si>
  <si>
    <t>関連卓</t>
  </si>
  <si>
    <t>感情</t>
  </si>
  <si>
    <t>分類</t>
  </si>
  <si>
    <t>感想</t>
  </si>
  <si>
    <t>在住エリア</t>
    <rPh sb="0" eb="2">
      <t>ザイジュウ</t>
    </rPh>
    <phoneticPr fontId="50"/>
  </si>
  <si>
    <t>所属</t>
    <rPh sb="0" eb="2">
      <t>ショゾク</t>
    </rPh>
    <phoneticPr fontId="50"/>
  </si>
  <si>
    <t>能力説明</t>
    <rPh sb="0" eb="2">
      <t>ノウリョク</t>
    </rPh>
    <rPh sb="2" eb="4">
      <t>セツメイ</t>
    </rPh>
    <phoneticPr fontId="50"/>
  </si>
  <si>
    <t>年齢</t>
    <rPh sb="0" eb="2">
      <t>ネンレイ</t>
    </rPh>
    <phoneticPr fontId="50"/>
  </si>
  <si>
    <t>身長</t>
    <rPh sb="0" eb="2">
      <t>シンチョウ</t>
    </rPh>
    <phoneticPr fontId="50"/>
  </si>
  <si>
    <t>性別</t>
    <rPh sb="0" eb="2">
      <t>セイベツ</t>
    </rPh>
    <phoneticPr fontId="50"/>
  </si>
  <si>
    <t>職業</t>
    <rPh sb="0" eb="2">
      <t>ショクギョウ</t>
    </rPh>
    <phoneticPr fontId="50"/>
  </si>
  <si>
    <t>アライメント</t>
    <phoneticPr fontId="50"/>
  </si>
  <si>
    <t xml:space="preserve">　　　　　 　 　　　*　　　　　　*
　　　　　　　＊　　　　　＋　　このページは
　　 　　　　　　n ∧＿∧　n　　別に読まなくても
　 　　　　＋　(ﾖ（* ´∀｀）E)　　　良いです
　　　　　　　 　 Y 　　　 Y　　　　＊ </t>
    <phoneticPr fontId="50"/>
  </si>
  <si>
    <t>↑数値のみ入力でＯＫ</t>
    <phoneticPr fontId="50"/>
  </si>
  <si>
    <r>
      <t xml:space="preserve">攻撃力取得
</t>
    </r>
    <r>
      <rPr>
        <sz val="10"/>
        <color theme="4" tint="-0.499984740745262"/>
        <rFont val="ＭＳ Ｐゴシック"/>
        <family val="3"/>
        <charset val="128"/>
      </rPr>
      <t>1D6/3点　固定値１/1点　点移行/2点</t>
    </r>
    <phoneticPr fontId="50"/>
  </si>
  <si>
    <r>
      <t xml:space="preserve">能力応用技 
</t>
    </r>
    <r>
      <rPr>
        <sz val="10"/>
        <color theme="5" tint="-0.499984740745262"/>
        <rFont val="ＭＳ Ｐゴシック"/>
        <family val="3"/>
        <charset val="128"/>
      </rPr>
      <t>※応用技は最大８個まで</t>
    </r>
    <phoneticPr fontId="50"/>
  </si>
  <si>
    <r>
      <t xml:space="preserve">行為発動・特殊技
</t>
    </r>
    <r>
      <rPr>
        <sz val="10"/>
        <color theme="5" tint="-0.499984740745262"/>
        <rFont val="ＭＳ Ｐゴシック"/>
        <family val="3"/>
        <charset val="128"/>
      </rPr>
      <t>※フレーバーの行為発動や、技組合せのチェイン発動、
ＡＥ・ＳＰＥを演出の特殊技、特殊武装などをフレーバー技として明記したい場合に入力下さい。</t>
    </r>
    <phoneticPr fontId="50"/>
  </si>
  <si>
    <r>
      <rPr>
        <b/>
        <sz val="12"/>
        <rFont val="ＭＳ Ｐゴシック"/>
        <family val="3"/>
        <charset val="128"/>
      </rPr>
      <t xml:space="preserve">能力応用技 
</t>
    </r>
    <r>
      <rPr>
        <sz val="10"/>
        <color indexed="20"/>
        <rFont val="ＭＳ Ｐゴシック"/>
        <family val="3"/>
        <charset val="128"/>
      </rPr>
      <t>※応用技は最大８個まで</t>
    </r>
    <phoneticPr fontId="50"/>
  </si>
  <si>
    <t>ＨＰ+</t>
    <phoneticPr fontId="50"/>
  </si>
  <si>
    <t>ＨＰ-</t>
    <phoneticPr fontId="50"/>
  </si>
  <si>
    <t>ＰＰ+</t>
    <phoneticPr fontId="50"/>
  </si>
  <si>
    <t>PP-</t>
    <phoneticPr fontId="50"/>
  </si>
  <si>
    <t>暴走率+</t>
    <phoneticPr fontId="50"/>
  </si>
  <si>
    <t>暴走率-</t>
    <phoneticPr fontId="50"/>
  </si>
  <si>
    <t>ＳＰＥ-</t>
    <phoneticPr fontId="50"/>
  </si>
  <si>
    <t>カルマ-</t>
    <phoneticPr fontId="50"/>
  </si>
  <si>
    <t>メモラン</t>
    <phoneticPr fontId="50"/>
  </si>
  <si>
    <t>行動</t>
    <rPh sb="0" eb="2">
      <t>コウドウ</t>
    </rPh>
    <phoneticPr fontId="50"/>
  </si>
  <si>
    <t>因子Ｄ+-</t>
    <phoneticPr fontId="50"/>
  </si>
  <si>
    <t>-</t>
    <phoneticPr fontId="50"/>
  </si>
  <si>
    <t>シンクロニティ</t>
  </si>
  <si>
    <t>環境</t>
    <rPh sb="0" eb="2">
      <t>カンキョウ</t>
    </rPh>
    <phoneticPr fontId="50"/>
  </si>
  <si>
    <t>蟹</t>
  </si>
  <si>
    <t>↑身体・能力タイプｐｔ↑</t>
  </si>
  <si>
    <t>スペック圧迫分</t>
  </si>
  <si>
    <t>応用技</t>
    <rPh sb="0" eb="3">
      <t>オウヨウワザ</t>
    </rPh>
    <phoneticPr fontId="50"/>
  </si>
  <si>
    <t>クリーチャー＿１</t>
  </si>
  <si>
    <t>クリーチャー＿２</t>
  </si>
  <si>
    <t>クリーチャー＿３</t>
  </si>
  <si>
    <t>技１</t>
  </si>
  <si>
    <t>圧迫</t>
  </si>
  <si>
    <t>強化変数</t>
  </si>
  <si>
    <t>減衰変数</t>
  </si>
  <si>
    <t>バニラ表</t>
  </si>
  <si>
    <t>カニ表</t>
  </si>
  <si>
    <t>SE</t>
  </si>
  <si>
    <t>名称</t>
  </si>
  <si>
    <t>特殊</t>
  </si>
  <si>
    <t>合計</t>
  </si>
  <si>
    <t>強化系</t>
  </si>
  <si>
    <t>技１（蟹）</t>
  </si>
  <si>
    <t>技2</t>
  </si>
  <si>
    <t>減衰系</t>
  </si>
  <si>
    <t>技2（蟹）</t>
  </si>
  <si>
    <t>技3</t>
  </si>
  <si>
    <t>技3（蟹）</t>
  </si>
  <si>
    <t>創造系</t>
  </si>
  <si>
    <t>性質【増強】</t>
    <rPh sb="3" eb="5">
      <t>ゾウキョウ</t>
    </rPh>
    <phoneticPr fontId="50"/>
  </si>
  <si>
    <t>技4</t>
  </si>
  <si>
    <t>限定系</t>
  </si>
  <si>
    <t>技4（蟹）</t>
  </si>
  <si>
    <t>技5</t>
  </si>
  <si>
    <t>技5（蟹）</t>
  </si>
  <si>
    <t>技6</t>
  </si>
  <si>
    <t>技6（蟹）</t>
  </si>
  <si>
    <t>技7</t>
  </si>
  <si>
    <t>技7（蟹）</t>
  </si>
  <si>
    <t>技8</t>
  </si>
  <si>
    <t>技8（蟹）</t>
  </si>
  <si>
    <t>圧迫合計</t>
  </si>
  <si>
    <t>圧迫合計蟹</t>
  </si>
  <si>
    <t>性質センサ</t>
    <rPh sb="0" eb="2">
      <t>セイシツ</t>
    </rPh>
    <phoneticPr fontId="50"/>
  </si>
  <si>
    <t>性質【威力】</t>
    <rPh sb="3" eb="5">
      <t>イリョク</t>
    </rPh>
    <phoneticPr fontId="50"/>
  </si>
  <si>
    <t>性質【耐性】</t>
    <rPh sb="3" eb="5">
      <t>タイセイ</t>
    </rPh>
    <phoneticPr fontId="50"/>
  </si>
  <si>
    <t>持越暴走</t>
  </si>
  <si>
    <t>持越因子</t>
  </si>
  <si>
    <t>エキ
スパ</t>
  </si>
  <si>
    <t>感覚
活性</t>
  </si>
  <si>
    <t>申告用</t>
  </si>
  <si>
    <t>ナルシスト</t>
  </si>
  <si>
    <t>劣等感</t>
  </si>
  <si>
    <t>謙虚</t>
  </si>
  <si>
    <t>付和雷同</t>
  </si>
  <si>
    <t>捨て身</t>
  </si>
  <si>
    <t>生存</t>
  </si>
  <si>
    <t>自罰的</t>
  </si>
  <si>
    <t>他罰的</t>
  </si>
  <si>
    <t>秩序</t>
  </si>
  <si>
    <t>無法</t>
  </si>
  <si>
    <t>禁欲</t>
  </si>
  <si>
    <t>利己</t>
  </si>
  <si>
    <t>暴食</t>
  </si>
  <si>
    <t>好奇心</t>
  </si>
  <si>
    <t>マゾヒスト</t>
  </si>
  <si>
    <t>サディスト</t>
  </si>
  <si>
    <t>求道</t>
  </si>
  <si>
    <t>執念</t>
  </si>
  <si>
    <t>無感動</t>
  </si>
  <si>
    <t>呑気</t>
  </si>
  <si>
    <t>欠落</t>
  </si>
  <si>
    <t>生意気</t>
  </si>
  <si>
    <t>皮肉屋</t>
  </si>
  <si>
    <t>冷静</t>
  </si>
  <si>
    <t>冗長</t>
  </si>
  <si>
    <t>単騎</t>
  </si>
  <si>
    <t>明朗</t>
  </si>
  <si>
    <t>負けず嫌い</t>
  </si>
  <si>
    <t>照れ屋</t>
  </si>
  <si>
    <t>熱血</t>
  </si>
  <si>
    <t>強引</t>
  </si>
  <si>
    <t>差別的</t>
  </si>
  <si>
    <t>破綻</t>
  </si>
  <si>
    <t>幼稚</t>
  </si>
  <si>
    <t>破壊</t>
  </si>
  <si>
    <t>幽閉</t>
  </si>
  <si>
    <t>無実</t>
  </si>
  <si>
    <t>迫害</t>
  </si>
  <si>
    <t>後輩</t>
  </si>
  <si>
    <t>外界</t>
  </si>
  <si>
    <t>古参</t>
  </si>
  <si>
    <t>新参</t>
  </si>
  <si>
    <t>賛美</t>
  </si>
  <si>
    <t>帝王【プライド】</t>
    <rPh sb="0" eb="2">
      <t>テイオウ</t>
    </rPh>
    <phoneticPr fontId="50"/>
  </si>
  <si>
    <t>越境者【オーバード】</t>
    <rPh sb="0" eb="3">
      <t>エッキョウシャ</t>
    </rPh>
    <phoneticPr fontId="50"/>
  </si>
  <si>
    <t>有能</t>
  </si>
  <si>
    <t>拷問師【トーチャー】</t>
    <rPh sb="0" eb="2">
      <t>ゴウモン</t>
    </rPh>
    <rPh sb="2" eb="3">
      <t>シ</t>
    </rPh>
    <phoneticPr fontId="50"/>
  </si>
  <si>
    <t>漠然</t>
  </si>
  <si>
    <t>怠惰【スロース】</t>
    <rPh sb="0" eb="2">
      <t>タイダ</t>
    </rPh>
    <phoneticPr fontId="50"/>
  </si>
  <si>
    <t>啓蒙</t>
  </si>
  <si>
    <t>厨二病【ファイナルジャッジメント】</t>
    <rPh sb="0" eb="1">
      <t>チュウ</t>
    </rPh>
    <rPh sb="1" eb="2">
      <t>フタ</t>
    </rPh>
    <phoneticPr fontId="50"/>
  </si>
  <si>
    <t>立身</t>
  </si>
  <si>
    <t>殺人者【ザ・キラー】</t>
    <rPh sb="0" eb="3">
      <t>サツジンシャ</t>
    </rPh>
    <phoneticPr fontId="50"/>
  </si>
  <si>
    <t>執着</t>
  </si>
  <si>
    <t>再生</t>
  </si>
  <si>
    <t>臨死</t>
  </si>
  <si>
    <t>自殺</t>
  </si>
  <si>
    <t>殺人</t>
  </si>
  <si>
    <t>救済</t>
  </si>
  <si>
    <t>親子</t>
  </si>
  <si>
    <t>短命</t>
  </si>
  <si>
    <t>放浪</t>
  </si>
  <si>
    <t>成金</t>
  </si>
  <si>
    <t>略奪</t>
  </si>
  <si>
    <t>兵士</t>
  </si>
  <si>
    <t>貧乏</t>
  </si>
  <si>
    <t>裕福</t>
  </si>
  <si>
    <t>邂逅</t>
  </si>
  <si>
    <t>隠匿</t>
  </si>
  <si>
    <t>尊敬</t>
  </si>
  <si>
    <t>師匠</t>
  </si>
  <si>
    <t>毒電波発生装置（蟹）【スペック－２】</t>
    <rPh sb="0" eb="7">
      <t>ドクデンパハッセイソウチ</t>
    </rPh>
    <rPh sb="8" eb="9">
      <t>カニ</t>
    </rPh>
    <phoneticPr fontId="50"/>
  </si>
  <si>
    <t>ジェットハンマー（蟹）【スペック－４】</t>
    <rPh sb="9" eb="10">
      <t>カニ</t>
    </rPh>
    <phoneticPr fontId="50"/>
  </si>
  <si>
    <t>性質【幸運】</t>
    <phoneticPr fontId="50"/>
  </si>
  <si>
    <t>世界樹の朝露（蟹）【因子10】</t>
    <rPh sb="0" eb="3">
      <t>セカイジュ</t>
    </rPh>
    <rPh sb="4" eb="6">
      <t>アサツユ</t>
    </rPh>
    <rPh sb="7" eb="8">
      <t>カニ</t>
    </rPh>
    <rPh sb="10" eb="12">
      <t>インシ</t>
    </rPh>
    <phoneticPr fontId="50"/>
  </si>
  <si>
    <t>マキシマム（蟹）【因子４】</t>
    <rPh sb="6" eb="7">
      <t>カニ</t>
    </rPh>
    <rPh sb="9" eb="11">
      <t>インシ</t>
    </rPh>
    <phoneticPr fontId="50"/>
  </si>
  <si>
    <t>切札</t>
  </si>
  <si>
    <t>使い捨てランチャー（蟹）　【因子７】</t>
    <rPh sb="10" eb="11">
      <t>カニ</t>
    </rPh>
    <phoneticPr fontId="50"/>
  </si>
  <si>
    <t>使用回数（蟹）</t>
    <rPh sb="0" eb="4">
      <t>シヨウカイスウ</t>
    </rPh>
    <rPh sb="5" eb="6">
      <t>カニ</t>
    </rPh>
    <phoneticPr fontId="50"/>
  </si>
  <si>
    <t>使用回数</t>
  </si>
  <si>
    <t>探索判定ダイス</t>
    <phoneticPr fontId="50"/>
  </si>
  <si>
    <t>セル名</t>
    <rPh sb="2" eb="3">
      <t>メイ</t>
    </rPh>
    <phoneticPr fontId="50"/>
  </si>
  <si>
    <t>番地</t>
    <rPh sb="0" eb="2">
      <t>バンチ</t>
    </rPh>
    <phoneticPr fontId="50"/>
  </si>
  <si>
    <t>名前</t>
    <rPh sb="0" eb="2">
      <t>ナマエ</t>
    </rPh>
    <phoneticPr fontId="50"/>
  </si>
  <si>
    <t>容姿</t>
    <rPh sb="0" eb="2">
      <t>ヨウシ</t>
    </rPh>
    <phoneticPr fontId="50"/>
  </si>
  <si>
    <t>能力タイプ</t>
    <rPh sb="0" eb="2">
      <t>ノウリョク</t>
    </rPh>
    <phoneticPr fontId="50"/>
  </si>
  <si>
    <t>身体タイプ</t>
    <rPh sb="0" eb="2">
      <t>シンタイ</t>
    </rPh>
    <phoneticPr fontId="50"/>
  </si>
  <si>
    <t>SPE</t>
    <phoneticPr fontId="50"/>
  </si>
  <si>
    <t>活性タイプ</t>
    <rPh sb="0" eb="2">
      <t>カッセイ</t>
    </rPh>
    <phoneticPr fontId="50"/>
  </si>
  <si>
    <t>PL名</t>
    <rPh sb="2" eb="3">
      <t>メイ</t>
    </rPh>
    <phoneticPr fontId="50"/>
  </si>
  <si>
    <t>ライフ１</t>
    <phoneticPr fontId="50"/>
  </si>
  <si>
    <t>ライフ２</t>
    <phoneticPr fontId="50"/>
  </si>
  <si>
    <t>スタンス</t>
    <phoneticPr fontId="50"/>
  </si>
  <si>
    <t>トゥルー</t>
    <phoneticPr fontId="50"/>
  </si>
  <si>
    <t>エキスパ１</t>
    <phoneticPr fontId="50"/>
  </si>
  <si>
    <t>エキスパ２</t>
    <phoneticPr fontId="50"/>
  </si>
  <si>
    <t>B3</t>
  </si>
  <si>
    <t>B6</t>
  </si>
  <si>
    <t>D6</t>
  </si>
  <si>
    <t>F6</t>
  </si>
  <si>
    <t>H6</t>
  </si>
  <si>
    <t>D7</t>
    <phoneticPr fontId="79"/>
  </si>
  <si>
    <t>K7</t>
    <phoneticPr fontId="79"/>
  </si>
  <si>
    <t>K8</t>
    <phoneticPr fontId="79"/>
  </si>
  <si>
    <t>C10</t>
    <phoneticPr fontId="79"/>
  </si>
  <si>
    <t>C13</t>
    <phoneticPr fontId="79"/>
  </si>
  <si>
    <t>F10</t>
    <phoneticPr fontId="79"/>
  </si>
  <si>
    <t>F13</t>
    <phoneticPr fontId="79"/>
  </si>
  <si>
    <t>J3</t>
    <phoneticPr fontId="79"/>
  </si>
  <si>
    <t>J35</t>
    <phoneticPr fontId="79"/>
  </si>
  <si>
    <t>J39</t>
    <phoneticPr fontId="79"/>
  </si>
  <si>
    <t>能力名</t>
    <rPh sb="0" eb="3">
      <t>ノウリョクメイ</t>
    </rPh>
    <phoneticPr fontId="50"/>
  </si>
  <si>
    <t>カルマ</t>
    <phoneticPr fontId="50"/>
  </si>
  <si>
    <t>J6</t>
    <phoneticPr fontId="50"/>
  </si>
  <si>
    <t>次回状態</t>
    <rPh sb="0" eb="4">
      <t>ジカイジョウタイ</t>
    </rPh>
    <phoneticPr fontId="50"/>
  </si>
  <si>
    <t>持ち越し</t>
    <rPh sb="0" eb="1">
      <t>モ</t>
    </rPh>
    <rPh sb="2" eb="3">
      <t>コ</t>
    </rPh>
    <phoneticPr fontId="50"/>
  </si>
  <si>
    <t>崩壊深度</t>
    <rPh sb="0" eb="2">
      <t>ホウカイ</t>
    </rPh>
    <rPh sb="2" eb="4">
      <t>シンド</t>
    </rPh>
    <phoneticPr fontId="50"/>
  </si>
  <si>
    <t>後遺症１</t>
    <rPh sb="0" eb="3">
      <t>コウイショウ</t>
    </rPh>
    <phoneticPr fontId="50"/>
  </si>
  <si>
    <t>後遺症２</t>
    <rPh sb="0" eb="3">
      <t>コウイショウ</t>
    </rPh>
    <phoneticPr fontId="50"/>
  </si>
  <si>
    <t>後遺症３</t>
    <rPh sb="0" eb="3">
      <t>コウイショウ</t>
    </rPh>
    <phoneticPr fontId="50"/>
  </si>
  <si>
    <t>後遺症４</t>
    <rPh sb="0" eb="3">
      <t>コウイショウ</t>
    </rPh>
    <phoneticPr fontId="50"/>
  </si>
  <si>
    <t>後遺症５</t>
    <rPh sb="0" eb="3">
      <t>コウイショウ</t>
    </rPh>
    <phoneticPr fontId="50"/>
  </si>
  <si>
    <t>P3</t>
    <phoneticPr fontId="50"/>
  </si>
  <si>
    <t>P4</t>
    <phoneticPr fontId="50"/>
  </si>
  <si>
    <t>P5</t>
    <phoneticPr fontId="50"/>
  </si>
  <si>
    <t>P6</t>
  </si>
  <si>
    <t>P7</t>
  </si>
  <si>
    <t>P8</t>
  </si>
  <si>
    <t>N7</t>
    <phoneticPr fontId="50"/>
  </si>
  <si>
    <t>N8</t>
    <phoneticPr fontId="50"/>
  </si>
  <si>
    <t>L11</t>
    <phoneticPr fontId="50"/>
  </si>
  <si>
    <t>L12</t>
    <phoneticPr fontId="50"/>
  </si>
  <si>
    <t>P11</t>
    <phoneticPr fontId="50"/>
  </si>
  <si>
    <t>P12</t>
    <phoneticPr fontId="50"/>
  </si>
  <si>
    <t>P13</t>
    <phoneticPr fontId="50"/>
  </si>
  <si>
    <t>Q13</t>
    <phoneticPr fontId="50"/>
  </si>
  <si>
    <t>所持品１</t>
    <rPh sb="0" eb="3">
      <t>ショジヒン</t>
    </rPh>
    <phoneticPr fontId="50"/>
  </si>
  <si>
    <t>J43</t>
    <phoneticPr fontId="50"/>
  </si>
  <si>
    <t>B53</t>
    <phoneticPr fontId="50"/>
  </si>
  <si>
    <t>キャラセリフ</t>
    <phoneticPr fontId="50"/>
  </si>
  <si>
    <t>B56</t>
    <phoneticPr fontId="50"/>
  </si>
  <si>
    <t>キャラ設定</t>
    <rPh sb="3" eb="5">
      <t>セッテイ</t>
    </rPh>
    <phoneticPr fontId="50"/>
  </si>
  <si>
    <t>フリーPt１</t>
    <phoneticPr fontId="50"/>
  </si>
  <si>
    <t>キャラ特性１</t>
    <rPh sb="3" eb="5">
      <t>トクセイ</t>
    </rPh>
    <phoneticPr fontId="50"/>
  </si>
  <si>
    <t>付与パラメータ</t>
    <rPh sb="0" eb="2">
      <t>フヨ</t>
    </rPh>
    <phoneticPr fontId="50"/>
  </si>
  <si>
    <t>U24：Z30</t>
    <phoneticPr fontId="50"/>
  </si>
  <si>
    <t>V38：W40</t>
    <phoneticPr fontId="50"/>
  </si>
  <si>
    <t>X38：Z40</t>
    <phoneticPr fontId="50"/>
  </si>
  <si>
    <t>取得結果</t>
    <rPh sb="0" eb="4">
      <t>シュトクケッカ</t>
    </rPh>
    <phoneticPr fontId="50"/>
  </si>
  <si>
    <t>B40：B51</t>
    <phoneticPr fontId="50"/>
  </si>
  <si>
    <t>E40：E49</t>
    <phoneticPr fontId="50"/>
  </si>
  <si>
    <t>特殊武装</t>
    <rPh sb="0" eb="4">
      <t>トクシュブソウ</t>
    </rPh>
    <phoneticPr fontId="50"/>
  </si>
  <si>
    <t>消費アイテム</t>
    <rPh sb="0" eb="2">
      <t>ショウヒ</t>
    </rPh>
    <phoneticPr fontId="50"/>
  </si>
  <si>
    <t>H40：H51</t>
    <phoneticPr fontId="50"/>
  </si>
  <si>
    <t xml:space="preserve">V10：V16 </t>
    <phoneticPr fontId="50"/>
  </si>
  <si>
    <t>U23：Z23</t>
    <phoneticPr fontId="50"/>
  </si>
  <si>
    <t>取得点</t>
    <rPh sb="0" eb="3">
      <t>シュトクテン</t>
    </rPh>
    <phoneticPr fontId="50"/>
  </si>
  <si>
    <t>－</t>
    <phoneticPr fontId="50"/>
  </si>
  <si>
    <t>技名１</t>
    <rPh sb="0" eb="2">
      <t>ワザメイ</t>
    </rPh>
    <phoneticPr fontId="50"/>
  </si>
  <si>
    <t>B9：H9</t>
  </si>
  <si>
    <t>B12：J13</t>
  </si>
  <si>
    <t>技構成１</t>
    <rPh sb="0" eb="3">
      <t>ワザコウセイ</t>
    </rPh>
    <phoneticPr fontId="50"/>
  </si>
  <si>
    <t>B15：B17</t>
  </si>
  <si>
    <t>効果補足１</t>
    <rPh sb="0" eb="4">
      <t>コウカホソク</t>
    </rPh>
    <phoneticPr fontId="50"/>
  </si>
  <si>
    <t>B20：H20</t>
  </si>
  <si>
    <t>B23：J24</t>
  </si>
  <si>
    <t>B26：B28</t>
  </si>
  <si>
    <t>技名２</t>
    <rPh sb="0" eb="2">
      <t>ワザメイ</t>
    </rPh>
    <phoneticPr fontId="50"/>
  </si>
  <si>
    <t>技構成２</t>
    <rPh sb="0" eb="3">
      <t>ワザコウセイ</t>
    </rPh>
    <phoneticPr fontId="50"/>
  </si>
  <si>
    <t>効果補足２</t>
    <rPh sb="0" eb="4">
      <t>コウカホソク</t>
    </rPh>
    <phoneticPr fontId="50"/>
  </si>
  <si>
    <t>技名３</t>
    <rPh sb="0" eb="2">
      <t>ワザメイ</t>
    </rPh>
    <phoneticPr fontId="50"/>
  </si>
  <si>
    <t>技構成３</t>
    <rPh sb="0" eb="3">
      <t>ワザコウセイ</t>
    </rPh>
    <phoneticPr fontId="50"/>
  </si>
  <si>
    <t>効果補足３</t>
    <rPh sb="0" eb="4">
      <t>コウカホソク</t>
    </rPh>
    <phoneticPr fontId="50"/>
  </si>
  <si>
    <t>技名４</t>
    <rPh sb="0" eb="2">
      <t>ワザメイ</t>
    </rPh>
    <phoneticPr fontId="50"/>
  </si>
  <si>
    <t>技構成４</t>
    <rPh sb="0" eb="3">
      <t>ワザコウセイ</t>
    </rPh>
    <phoneticPr fontId="50"/>
  </si>
  <si>
    <t>効果補足４</t>
    <rPh sb="0" eb="4">
      <t>コウカホソク</t>
    </rPh>
    <phoneticPr fontId="50"/>
  </si>
  <si>
    <t>技名５</t>
    <rPh sb="0" eb="2">
      <t>ワザメイ</t>
    </rPh>
    <phoneticPr fontId="50"/>
  </si>
  <si>
    <t>技構成５</t>
    <rPh sb="0" eb="3">
      <t>ワザコウセイ</t>
    </rPh>
    <phoneticPr fontId="50"/>
  </si>
  <si>
    <t>効果補足５</t>
    <rPh sb="0" eb="4">
      <t>コウカホソク</t>
    </rPh>
    <phoneticPr fontId="50"/>
  </si>
  <si>
    <t>技名６</t>
    <rPh sb="0" eb="2">
      <t>ワザメイ</t>
    </rPh>
    <phoneticPr fontId="50"/>
  </si>
  <si>
    <t>技構成６</t>
    <rPh sb="0" eb="3">
      <t>ワザコウセイ</t>
    </rPh>
    <phoneticPr fontId="50"/>
  </si>
  <si>
    <t>効果補足６</t>
    <rPh sb="0" eb="4">
      <t>コウカホソク</t>
    </rPh>
    <phoneticPr fontId="50"/>
  </si>
  <si>
    <t>技名７</t>
    <rPh sb="0" eb="2">
      <t>ワザメイ</t>
    </rPh>
    <phoneticPr fontId="50"/>
  </si>
  <si>
    <t>技構成７</t>
    <rPh sb="0" eb="3">
      <t>ワザコウセイ</t>
    </rPh>
    <phoneticPr fontId="50"/>
  </si>
  <si>
    <t>効果補足７</t>
    <rPh sb="0" eb="4">
      <t>コウカホソク</t>
    </rPh>
    <phoneticPr fontId="50"/>
  </si>
  <si>
    <t>技名８</t>
    <rPh sb="0" eb="2">
      <t>ワザメイ</t>
    </rPh>
    <phoneticPr fontId="50"/>
  </si>
  <si>
    <t>技構成８</t>
    <rPh sb="0" eb="3">
      <t>ワザコウセイ</t>
    </rPh>
    <phoneticPr fontId="50"/>
  </si>
  <si>
    <t>効果補足８</t>
    <rPh sb="0" eb="4">
      <t>コウカホソク</t>
    </rPh>
    <phoneticPr fontId="50"/>
  </si>
  <si>
    <t>B53：H53</t>
  </si>
  <si>
    <t>B56：J57</t>
  </si>
  <si>
    <t>B59：B61</t>
  </si>
  <si>
    <t>B31：H31</t>
  </si>
  <si>
    <t>B34：J35</t>
  </si>
  <si>
    <t>B37：B39</t>
  </si>
  <si>
    <t>B42：H42</t>
  </si>
  <si>
    <t>B45：J46</t>
  </si>
  <si>
    <t>B48：B50</t>
  </si>
  <si>
    <t>B64：H64</t>
  </si>
  <si>
    <t>B67：J68</t>
  </si>
  <si>
    <t>B70：B72</t>
  </si>
  <si>
    <t>B75：H75</t>
  </si>
  <si>
    <t>B78：J79</t>
  </si>
  <si>
    <t>B81：B83</t>
  </si>
  <si>
    <t>B86：H86</t>
  </si>
  <si>
    <t>B89：J90</t>
  </si>
  <si>
    <t>B92：B94</t>
  </si>
  <si>
    <t>M8：U94</t>
    <phoneticPr fontId="50"/>
  </si>
  <si>
    <t>行為発動</t>
    <rPh sb="0" eb="4">
      <t>コウイハツドウ</t>
    </rPh>
    <phoneticPr fontId="50"/>
  </si>
  <si>
    <t>クリーチャー名</t>
    <rPh sb="6" eb="7">
      <t>メイ</t>
    </rPh>
    <phoneticPr fontId="50"/>
  </si>
  <si>
    <t>創造タイプ</t>
    <rPh sb="0" eb="2">
      <t>ソウゾウ</t>
    </rPh>
    <phoneticPr fontId="50"/>
  </si>
  <si>
    <t>使用PP</t>
    <rPh sb="0" eb="2">
      <t>シヨウ</t>
    </rPh>
    <phoneticPr fontId="50"/>
  </si>
  <si>
    <t>クリーチャー能力タイプ</t>
    <rPh sb="6" eb="8">
      <t>ノウリョク</t>
    </rPh>
    <phoneticPr fontId="50"/>
  </si>
  <si>
    <t>ステータス変動値</t>
    <rPh sb="5" eb="7">
      <t>ヘンドウ</t>
    </rPh>
    <rPh sb="7" eb="8">
      <t>チ</t>
    </rPh>
    <phoneticPr fontId="50"/>
  </si>
  <si>
    <t>能力説明</t>
    <rPh sb="0" eb="4">
      <t>ノウリョ</t>
    </rPh>
    <phoneticPr fontId="50"/>
  </si>
  <si>
    <t>クリーチャー説明</t>
    <rPh sb="6" eb="8">
      <t>セツメイ</t>
    </rPh>
    <phoneticPr fontId="50"/>
  </si>
  <si>
    <t>D2</t>
    <phoneticPr fontId="50"/>
  </si>
  <si>
    <t>K2</t>
    <phoneticPr fontId="50"/>
  </si>
  <si>
    <t>D5</t>
    <phoneticPr fontId="50"/>
  </si>
  <si>
    <t>L5</t>
    <phoneticPr fontId="50"/>
  </si>
  <si>
    <t>D11：D16</t>
    <phoneticPr fontId="50"/>
  </si>
  <si>
    <t>C21</t>
    <phoneticPr fontId="50"/>
  </si>
  <si>
    <t>B25</t>
    <phoneticPr fontId="50"/>
  </si>
  <si>
    <t>B32</t>
    <phoneticPr fontId="50"/>
  </si>
  <si>
    <t>P15：P17</t>
  </si>
  <si>
    <t>P26：P28</t>
  </si>
  <si>
    <t>P37：P39</t>
  </si>
  <si>
    <t>P48：P50</t>
  </si>
  <si>
    <t>P59：P61</t>
  </si>
  <si>
    <t>P9：V9</t>
  </si>
  <si>
    <t>P20：V20</t>
  </si>
  <si>
    <t>P31：V31</t>
  </si>
  <si>
    <t>P42：V42</t>
  </si>
  <si>
    <t>P53：V53</t>
  </si>
  <si>
    <t>P12：X13</t>
  </si>
  <si>
    <t>P23：X24</t>
  </si>
  <si>
    <t>P34：X35</t>
  </si>
  <si>
    <t>P45：X46</t>
  </si>
  <si>
    <t>P56：X57</t>
  </si>
  <si>
    <t>B6：H55</t>
    <phoneticPr fontId="50"/>
  </si>
  <si>
    <t>参加シナリオ</t>
    <rPh sb="0" eb="2">
      <t>サンカ</t>
    </rPh>
    <phoneticPr fontId="50"/>
  </si>
  <si>
    <t>J5：AB58</t>
    <phoneticPr fontId="50"/>
  </si>
  <si>
    <t>人物寸評</t>
    <rPh sb="0" eb="4">
      <t>ジンブツスンピョウ</t>
    </rPh>
    <phoneticPr fontId="50"/>
  </si>
  <si>
    <t>除外</t>
    <phoneticPr fontId="50"/>
  </si>
  <si>
    <t>Q01</t>
    <phoneticPr fontId="50"/>
  </si>
  <si>
    <t>あなたはどこで生まれたの？</t>
    <phoneticPr fontId="50"/>
  </si>
  <si>
    <t>Q02</t>
    <phoneticPr fontId="50"/>
  </si>
  <si>
    <t>あなたはどうやって育ったの？</t>
    <phoneticPr fontId="50"/>
  </si>
  <si>
    <t>Q03</t>
    <phoneticPr fontId="50"/>
  </si>
  <si>
    <t>あなたのお仕事は？</t>
    <phoneticPr fontId="50"/>
  </si>
  <si>
    <t>Q04</t>
    <phoneticPr fontId="50"/>
  </si>
  <si>
    <t>どうしてそのお仕事をしようと思ったの？</t>
    <phoneticPr fontId="50"/>
  </si>
  <si>
    <t>Q05</t>
    <phoneticPr fontId="50"/>
  </si>
  <si>
    <t>あなたの将来の夢って？</t>
    <phoneticPr fontId="50"/>
  </si>
  <si>
    <t>Q06</t>
    <phoneticPr fontId="50"/>
  </si>
  <si>
    <t>あなたはいつ、何故その能力を手に入れたの？</t>
    <phoneticPr fontId="50"/>
  </si>
  <si>
    <t>Q07</t>
    <phoneticPr fontId="50"/>
  </si>
  <si>
    <t>初めて能力使った時のシチュエーション教えて！</t>
    <phoneticPr fontId="50"/>
  </si>
  <si>
    <t>Q08</t>
    <phoneticPr fontId="50"/>
  </si>
  <si>
    <t>ズバリ、その能力って何の役に立ってる？</t>
    <phoneticPr fontId="50"/>
  </si>
  <si>
    <t>Q09</t>
    <phoneticPr fontId="50"/>
  </si>
  <si>
    <t>じゃあ逆に、不満点とかある？</t>
    <phoneticPr fontId="50"/>
  </si>
  <si>
    <t>Q10</t>
    <phoneticPr fontId="50"/>
  </si>
  <si>
    <t>もし、あなたが能力を持っていないとしたら？</t>
    <phoneticPr fontId="50"/>
  </si>
  <si>
    <t>自分がノーマルである事について、どう思う？</t>
    <phoneticPr fontId="50"/>
  </si>
  <si>
    <t>能力者の存在を知った時、どう思った？</t>
    <phoneticPr fontId="50"/>
  </si>
  <si>
    <t>自分に能力が発現しないのはなぜだと思う？</t>
    <phoneticPr fontId="50"/>
  </si>
  <si>
    <t>正直、能力って欲しい？</t>
    <phoneticPr fontId="50"/>
  </si>
  <si>
    <t>じゃああなたにとって、「能力者」ってなに？</t>
    <phoneticPr fontId="50"/>
  </si>
  <si>
    <t>Q11</t>
    <phoneticPr fontId="50"/>
  </si>
  <si>
    <t>趣味とかあるなら教えてほしいな。</t>
    <phoneticPr fontId="50"/>
  </si>
  <si>
    <t>Q12</t>
    <phoneticPr fontId="50"/>
  </si>
  <si>
    <t>好きなものはなに？</t>
    <phoneticPr fontId="50"/>
  </si>
  <si>
    <t>嫌いなものも教えて！</t>
    <phoneticPr fontId="50"/>
  </si>
  <si>
    <t>Q14</t>
    <phoneticPr fontId="50"/>
  </si>
  <si>
    <t>誰にも言えない秘密とか、ある？</t>
    <phoneticPr fontId="50"/>
  </si>
  <si>
    <t>Q15</t>
    <phoneticPr fontId="50"/>
  </si>
  <si>
    <t>あなたの大切なものって、何？</t>
    <phoneticPr fontId="50"/>
  </si>
  <si>
    <t>Q16</t>
    <phoneticPr fontId="50"/>
  </si>
  <si>
    <t>あなたが喜ぶとすれば、それは何故？</t>
    <phoneticPr fontId="50"/>
  </si>
  <si>
    <t>Q17</t>
    <phoneticPr fontId="50"/>
  </si>
  <si>
    <t>あなたが怒るとすれば、それは何故？</t>
    <phoneticPr fontId="50"/>
  </si>
  <si>
    <t>Q18</t>
    <phoneticPr fontId="50"/>
  </si>
  <si>
    <t>あなたが悲しむとすれば、それは何故？</t>
    <phoneticPr fontId="50"/>
  </si>
  <si>
    <t>Q19</t>
    <phoneticPr fontId="50"/>
  </si>
  <si>
    <t>あなたが楽しいとすれば、それは何故？</t>
    <phoneticPr fontId="50"/>
  </si>
  <si>
    <t>Q20</t>
    <phoneticPr fontId="50"/>
  </si>
  <si>
    <t>回答おつかれさま。何か一言！</t>
    <phoneticPr fontId="50"/>
  </si>
  <si>
    <t>キャライメージ出典：</t>
  </si>
  <si>
    <t>キャラクター名：</t>
  </si>
  <si>
    <t>補足：</t>
  </si>
  <si>
    <t>だらしない</t>
  </si>
  <si>
    <t>きれい好き</t>
  </si>
  <si>
    <t>キャラクター身辺調査書</t>
  </si>
  <si>
    <t>誕生日</t>
  </si>
  <si>
    <t>内気</t>
  </si>
  <si>
    <t>社交的</t>
  </si>
  <si>
    <t>活発</t>
  </si>
  <si>
    <t>体重</t>
  </si>
  <si>
    <t>まじめ</t>
  </si>
  <si>
    <t>遊び好き</t>
  </si>
  <si>
    <t>気難しい</t>
  </si>
  <si>
    <t>快活</t>
  </si>
  <si>
    <t>性格</t>
  </si>
  <si>
    <t>能力構成</t>
  </si>
  <si>
    <t>経歴</t>
  </si>
  <si>
    <t>自宅</t>
  </si>
  <si>
    <t>休日の
過ごし方</t>
  </si>
  <si>
    <t>好きな場所</t>
  </si>
  <si>
    <t>嫌いな場所</t>
  </si>
  <si>
    <t>温度</t>
  </si>
  <si>
    <t>手癖</t>
  </si>
  <si>
    <t>強み</t>
  </si>
  <si>
    <t>好みの
タイプ</t>
  </si>
  <si>
    <t>音楽</t>
  </si>
  <si>
    <t>利き手</t>
  </si>
  <si>
    <t>弱点</t>
  </si>
  <si>
    <t>嫌いな
タイプ</t>
  </si>
  <si>
    <t>口調</t>
  </si>
  <si>
    <t>悩み</t>
  </si>
  <si>
    <t>セクシャ
リティ</t>
  </si>
  <si>
    <t>文学</t>
  </si>
  <si>
    <t>声</t>
  </si>
  <si>
    <t>夢</t>
  </si>
  <si>
    <t>フェチ</t>
  </si>
  <si>
    <t>コレク
ション</t>
  </si>
  <si>
    <t>一人称</t>
  </si>
  <si>
    <t>優先事項</t>
  </si>
  <si>
    <t>恋愛観</t>
  </si>
  <si>
    <t>好き</t>
  </si>
  <si>
    <t>二人称</t>
  </si>
  <si>
    <t>嫌い</t>
  </si>
  <si>
    <t>出身</t>
  </si>
  <si>
    <t>主な食性</t>
  </si>
  <si>
    <t>愛用品</t>
  </si>
  <si>
    <t>家系</t>
  </si>
  <si>
    <t>間食</t>
  </si>
  <si>
    <t>アクセサリー</t>
  </si>
  <si>
    <t>好きな言葉</t>
  </si>
  <si>
    <t>飲酒</t>
  </si>
  <si>
    <t>私服</t>
  </si>
  <si>
    <t>トラウマ</t>
  </si>
  <si>
    <t>喫煙</t>
  </si>
  <si>
    <t>好きな
食べ物</t>
  </si>
  <si>
    <t>よく着る
服の色</t>
  </si>
  <si>
    <t>病気</t>
  </si>
  <si>
    <t>苦手な
食べ物</t>
  </si>
  <si>
    <t>部屋着</t>
  </si>
  <si>
    <r>
      <t xml:space="preserve">夢を見ている。
透き通った海の中を漂うような、奇妙な浮遊感の中。あなたの脳内に、幼い子供の声が響くのだ。
</t>
    </r>
    <r>
      <rPr>
        <sz val="10"/>
        <color theme="3" tint="0.39997558519241921"/>
        <rFont val="HGP明朝B"/>
        <family val="1"/>
        <charset val="128"/>
      </rPr>
      <t>「あなたの事、知りたいな」</t>
    </r>
    <r>
      <rPr>
        <sz val="10"/>
        <rFont val="HGP明朝B"/>
        <family val="1"/>
        <charset val="128"/>
      </rPr>
      <t xml:space="preserve">
――あなたは、この質問に答えなければならない。
嘘をつくかどうかは自由だ。だが本当の事を言っても不都合はない。ただ思うままに、答えていくといい。</t>
    </r>
    <phoneticPr fontId="50"/>
  </si>
  <si>
    <t>基礎構成：　特性：</t>
    <phoneticPr fontId="50"/>
  </si>
  <si>
    <t>出演回数</t>
    <rPh sb="0" eb="4">
      <t>シュツエンカイスウ</t>
    </rPh>
    <phoneticPr fontId="50"/>
  </si>
  <si>
    <t>Better Parameter</t>
    <phoneticPr fontId="50"/>
  </si>
  <si>
    <t>ON</t>
  </si>
  <si>
    <t>人種</t>
    <rPh sb="0" eb="2">
      <t>ジンシュ</t>
    </rPh>
    <phoneticPr fontId="49"/>
  </si>
  <si>
    <t>体格</t>
    <rPh sb="0" eb="2">
      <t>タイカク</t>
    </rPh>
    <phoneticPr fontId="49"/>
  </si>
  <si>
    <t>髪型</t>
    <rPh sb="0" eb="2">
      <t>カミガタ</t>
    </rPh>
    <phoneticPr fontId="49"/>
  </si>
  <si>
    <t>容姿</t>
    <rPh sb="0" eb="2">
      <t>ヨウシ</t>
    </rPh>
    <phoneticPr fontId="49"/>
  </si>
  <si>
    <t>姿勢</t>
    <rPh sb="0" eb="2">
      <t>シセイ</t>
    </rPh>
    <phoneticPr fontId="49"/>
  </si>
  <si>
    <t>その他
身体的特徴</t>
    <rPh sb="2" eb="3">
      <t>タ</t>
    </rPh>
    <rPh sb="4" eb="9">
      <t>シンタイテキトクチョウ</t>
    </rPh>
    <phoneticPr fontId="49"/>
  </si>
  <si>
    <t>性格詳細</t>
    <rPh sb="0" eb="4">
      <t>セイカクショウサイ</t>
    </rPh>
    <phoneticPr fontId="50"/>
  </si>
  <si>
    <t>晩成【増強】</t>
    <rPh sb="3" eb="5">
      <t>ゾウキョウ</t>
    </rPh>
    <phoneticPr fontId="50"/>
  </si>
  <si>
    <t>晩成【反応】</t>
    <rPh sb="3" eb="5">
      <t>ハンノウ</t>
    </rPh>
    <phoneticPr fontId="50"/>
  </si>
  <si>
    <t>晩成【感覚】</t>
    <rPh sb="3" eb="5">
      <t>カンカク</t>
    </rPh>
    <phoneticPr fontId="50"/>
  </si>
  <si>
    <t>晩成【幸運】</t>
    <rPh sb="3" eb="5">
      <t>コウウン</t>
    </rPh>
    <phoneticPr fontId="50"/>
  </si>
  <si>
    <t>敵視</t>
    <rPh sb="0" eb="2">
      <t>テキシ</t>
    </rPh>
    <phoneticPr fontId="50"/>
  </si>
  <si>
    <t>縮小</t>
    <rPh sb="0" eb="2">
      <t>シュクショウ</t>
    </rPh>
    <phoneticPr fontId="50"/>
  </si>
  <si>
    <t>喚装系</t>
    <phoneticPr fontId="50"/>
  </si>
  <si>
    <t>喚装</t>
  </si>
  <si>
    <t>喚装</t>
    <phoneticPr fontId="50"/>
  </si>
  <si>
    <t>↑マイナス入力もOK！↑</t>
    <rPh sb="5" eb="7">
      <t>ニュウリョク</t>
    </rPh>
    <phoneticPr fontId="50"/>
  </si>
  <si>
    <t>能力者付与pt</t>
    <phoneticPr fontId="50"/>
  </si>
  <si>
    <t>身体付与pt</t>
    <phoneticPr fontId="50"/>
  </si>
  <si>
    <t>ミュータント</t>
    <phoneticPr fontId="50"/>
  </si>
  <si>
    <t>除外</t>
  </si>
  <si>
    <t>ショックバトン（蟹）【スペック－２】</t>
    <rPh sb="8" eb="9">
      <t>カニ</t>
    </rPh>
    <phoneticPr fontId="50"/>
  </si>
  <si>
    <t>擬態ホログラム（蟹）【スペック－１】</t>
    <rPh sb="0" eb="2">
      <t>ギタイ</t>
    </rPh>
    <rPh sb="8" eb="9">
      <t>カニ</t>
    </rPh>
    <phoneticPr fontId="50"/>
  </si>
  <si>
    <t>逆位相発生装置（蟹）【スペック－１】</t>
    <rPh sb="0" eb="3">
      <t>ギャクイソウ</t>
    </rPh>
    <rPh sb="3" eb="7">
      <t>ハッセイソウチ</t>
    </rPh>
    <rPh sb="8" eb="9">
      <t>カニ</t>
    </rPh>
    <phoneticPr fontId="50"/>
  </si>
  <si>
    <t>ＡＩナビゲーション（蟹）【スペック－１】</t>
    <rPh sb="10" eb="11">
      <t>カニ</t>
    </rPh>
    <phoneticPr fontId="50"/>
  </si>
  <si>
    <t>薬物インジェクター（蟹）【スペック－１】</t>
    <rPh sb="0" eb="2">
      <t>ヤクブツ</t>
    </rPh>
    <rPh sb="10" eb="11">
      <t>カニ</t>
    </rPh>
    <phoneticPr fontId="50"/>
  </si>
  <si>
    <t>確率変動試作機（蟹）【スペック－１】</t>
    <rPh sb="0" eb="7">
      <t>カクリツヘンドウシサクキ</t>
    </rPh>
    <rPh sb="8" eb="9">
      <t>カニ</t>
    </rPh>
    <phoneticPr fontId="50"/>
  </si>
  <si>
    <t>ＥＣＭ【U】　【因子４】</t>
    <phoneticPr fontId="50"/>
  </si>
  <si>
    <t>ネクスト（蟹）　【因子２】</t>
    <rPh sb="5" eb="6">
      <t>カニ</t>
    </rPh>
    <phoneticPr fontId="50"/>
  </si>
  <si>
    <t>キャラ特性</t>
    <phoneticPr fontId="50"/>
  </si>
  <si>
    <t>オリジナル特性</t>
    <rPh sb="5" eb="7">
      <t>トクセイ</t>
    </rPh>
    <phoneticPr fontId="50"/>
  </si>
  <si>
    <t>抗体【ワクチン】</t>
  </si>
  <si>
    <t>餓狼【アンダードッグ】</t>
    <rPh sb="0" eb="2">
      <t>ガロウ</t>
    </rPh>
    <phoneticPr fontId="50"/>
  </si>
  <si>
    <t>プラス入力のみ</t>
    <phoneticPr fontId="50"/>
  </si>
  <si>
    <t>SPE/奇跡</t>
    <phoneticPr fontId="50"/>
  </si>
  <si>
    <t>SPE/悪運</t>
    <phoneticPr fontId="50"/>
  </si>
  <si>
    <t>SPE/闘志</t>
    <phoneticPr fontId="50"/>
  </si>
  <si>
    <t>SPE/リテイク</t>
    <phoneticPr fontId="50"/>
  </si>
  <si>
    <t>SPE/リベンジ</t>
    <phoneticPr fontId="50"/>
  </si>
  <si>
    <t>SPE/逆転</t>
    <phoneticPr fontId="50"/>
  </si>
  <si>
    <t>SPE/絆</t>
    <phoneticPr fontId="50"/>
  </si>
  <si>
    <t>SPE/激励</t>
    <phoneticPr fontId="50"/>
  </si>
  <si>
    <t>SPE/不屈</t>
    <phoneticPr fontId="50"/>
  </si>
  <si>
    <t>SPE/瞑想</t>
    <phoneticPr fontId="50"/>
  </si>
  <si>
    <t>SPE/鎮静</t>
    <phoneticPr fontId="50"/>
  </si>
  <si>
    <t>SPE/精神凌駕</t>
    <phoneticPr fontId="50"/>
  </si>
  <si>
    <t>SPE/愛</t>
    <phoneticPr fontId="50"/>
  </si>
  <si>
    <t>SPE/瞬動</t>
    <phoneticPr fontId="50"/>
  </si>
  <si>
    <t>SPE/限界突破</t>
    <phoneticPr fontId="50"/>
  </si>
  <si>
    <t>SPE/防衛本能</t>
    <phoneticPr fontId="50"/>
  </si>
  <si>
    <t>SPE/共鳴</t>
    <phoneticPr fontId="50"/>
  </si>
  <si>
    <t>SPE/パージ</t>
    <phoneticPr fontId="50"/>
  </si>
  <si>
    <t>SPE/奥義</t>
    <phoneticPr fontId="50"/>
  </si>
  <si>
    <t>SPE/大器</t>
    <phoneticPr fontId="50"/>
  </si>
  <si>
    <t>SPE/熟練</t>
    <phoneticPr fontId="50"/>
  </si>
  <si>
    <t>SPE/エキスパート</t>
    <phoneticPr fontId="50"/>
  </si>
  <si>
    <t>SPE/切り札</t>
    <rPh sb="4" eb="5">
      <t>キ</t>
    </rPh>
    <rPh sb="6" eb="7">
      <t>フダ</t>
    </rPh>
    <phoneticPr fontId="50"/>
  </si>
  <si>
    <t>K/昇華者</t>
    <phoneticPr fontId="50"/>
  </si>
  <si>
    <t>K/駆け出し</t>
    <phoneticPr fontId="50"/>
  </si>
  <si>
    <t>K/新鋭</t>
    <phoneticPr fontId="50"/>
  </si>
  <si>
    <t>K/初心</t>
    <phoneticPr fontId="50"/>
  </si>
  <si>
    <t>K/失敗談</t>
    <phoneticPr fontId="50"/>
  </si>
  <si>
    <t>K/崩壊者</t>
    <phoneticPr fontId="50"/>
  </si>
  <si>
    <t>K/伏兵</t>
    <phoneticPr fontId="50"/>
  </si>
  <si>
    <t>K/調律者</t>
    <phoneticPr fontId="50"/>
  </si>
  <si>
    <t>K/喪失者</t>
    <phoneticPr fontId="50"/>
  </si>
  <si>
    <t>K/突然変異</t>
    <phoneticPr fontId="50"/>
  </si>
  <si>
    <t>K/覚醒者</t>
    <phoneticPr fontId="50"/>
  </si>
  <si>
    <t>K/探索者</t>
    <phoneticPr fontId="50"/>
  </si>
  <si>
    <t>K/帝王</t>
    <rPh sb="2" eb="4">
      <t>テイオウ</t>
    </rPh>
    <phoneticPr fontId="50"/>
  </si>
  <si>
    <t>K/餓狼</t>
    <rPh sb="2" eb="4">
      <t>ガロウ</t>
    </rPh>
    <phoneticPr fontId="50"/>
  </si>
  <si>
    <t>K/越境者</t>
    <rPh sb="2" eb="5">
      <t>エッキョウシャ</t>
    </rPh>
    <phoneticPr fontId="50"/>
  </si>
  <si>
    <t>K/拷問師</t>
    <rPh sb="2" eb="4">
      <t>ゴウモン</t>
    </rPh>
    <rPh sb="4" eb="5">
      <t>シ</t>
    </rPh>
    <phoneticPr fontId="50"/>
  </si>
  <si>
    <t>K/怠惰</t>
    <rPh sb="2" eb="4">
      <t>タイダ</t>
    </rPh>
    <phoneticPr fontId="50"/>
  </si>
  <si>
    <t>K/厨二病</t>
    <rPh sb="2" eb="3">
      <t>チュウ</t>
    </rPh>
    <rPh sb="3" eb="4">
      <t>フタ</t>
    </rPh>
    <phoneticPr fontId="50"/>
  </si>
  <si>
    <t>K/殺人者</t>
    <rPh sb="2" eb="5">
      <t>サツジンシャ</t>
    </rPh>
    <phoneticPr fontId="50"/>
  </si>
  <si>
    <t>K/ダイスの女神様</t>
    <phoneticPr fontId="50"/>
  </si>
  <si>
    <t>K/演技派</t>
    <phoneticPr fontId="50"/>
  </si>
  <si>
    <t>K/中二病</t>
    <phoneticPr fontId="50"/>
  </si>
  <si>
    <t>K/自己愛</t>
    <phoneticPr fontId="50"/>
  </si>
  <si>
    <t>K/泥酔</t>
    <phoneticPr fontId="50"/>
  </si>
  <si>
    <t>K/小心翼翼</t>
    <phoneticPr fontId="50"/>
  </si>
  <si>
    <t>K/芸人</t>
    <phoneticPr fontId="50"/>
  </si>
  <si>
    <t>K/無頼漢</t>
    <phoneticPr fontId="50"/>
  </si>
  <si>
    <t>K/風雲児</t>
    <phoneticPr fontId="50"/>
  </si>
  <si>
    <t>K/修羅</t>
    <phoneticPr fontId="50"/>
  </si>
  <si>
    <t>K/寵愛</t>
    <phoneticPr fontId="50"/>
  </si>
  <si>
    <t>K/献身</t>
    <phoneticPr fontId="50"/>
  </si>
  <si>
    <t>K/恋愛</t>
    <phoneticPr fontId="50"/>
  </si>
  <si>
    <t>K/孤高</t>
    <phoneticPr fontId="50"/>
  </si>
  <si>
    <t>K/交渉人</t>
    <phoneticPr fontId="50"/>
  </si>
  <si>
    <t>K/二枚舌</t>
    <phoneticPr fontId="50"/>
  </si>
  <si>
    <t>K/魔術師</t>
    <phoneticPr fontId="50"/>
  </si>
  <si>
    <t>K/道化師</t>
    <phoneticPr fontId="50"/>
  </si>
  <si>
    <t>K/狂人</t>
    <phoneticPr fontId="50"/>
  </si>
  <si>
    <t>K/下心</t>
    <phoneticPr fontId="50"/>
  </si>
  <si>
    <t>K/魔性</t>
    <phoneticPr fontId="50"/>
  </si>
  <si>
    <t>K/勇猛</t>
    <phoneticPr fontId="50"/>
  </si>
  <si>
    <t>K/希少種</t>
    <phoneticPr fontId="50"/>
  </si>
  <si>
    <t>K/英雄</t>
    <phoneticPr fontId="50"/>
  </si>
  <si>
    <t>K/凡骨</t>
    <phoneticPr fontId="50"/>
  </si>
  <si>
    <t>K/殺し屋</t>
    <phoneticPr fontId="50"/>
  </si>
  <si>
    <t>K/武器屋</t>
    <phoneticPr fontId="50"/>
  </si>
  <si>
    <t>K/守護者</t>
    <phoneticPr fontId="50"/>
  </si>
  <si>
    <t>K/反撃者</t>
    <phoneticPr fontId="50"/>
  </si>
  <si>
    <t>K/影の者</t>
    <phoneticPr fontId="50"/>
  </si>
  <si>
    <t>K/癒し手</t>
    <phoneticPr fontId="50"/>
  </si>
  <si>
    <t>K/使役者</t>
    <phoneticPr fontId="50"/>
  </si>
  <si>
    <t>K/不幸</t>
    <phoneticPr fontId="50"/>
  </si>
  <si>
    <t>K/抗体</t>
    <phoneticPr fontId="50"/>
  </si>
  <si>
    <t>K/愚者</t>
    <phoneticPr fontId="50"/>
  </si>
  <si>
    <t>K/不死身</t>
    <phoneticPr fontId="50"/>
  </si>
  <si>
    <t>K/奉仕者</t>
    <phoneticPr fontId="50"/>
  </si>
  <si>
    <t>K/闇商人</t>
    <phoneticPr fontId="50"/>
  </si>
  <si>
    <t>K/破壊者</t>
    <phoneticPr fontId="50"/>
  </si>
  <si>
    <t>K/職人</t>
    <phoneticPr fontId="50"/>
  </si>
  <si>
    <t>K/鷹の目</t>
    <phoneticPr fontId="50"/>
  </si>
  <si>
    <t>K/幻影</t>
    <phoneticPr fontId="50"/>
  </si>
  <si>
    <t>K/無血開城</t>
    <phoneticPr fontId="50"/>
  </si>
  <si>
    <t>K/人外</t>
    <phoneticPr fontId="50"/>
  </si>
  <si>
    <t>武装/アタッチメント</t>
    <phoneticPr fontId="50"/>
  </si>
  <si>
    <t>武装/ロケットランチャー</t>
    <phoneticPr fontId="50"/>
  </si>
  <si>
    <t>武装/パイルバンカー</t>
    <phoneticPr fontId="50"/>
  </si>
  <si>
    <t>武装/荷電粒子砲</t>
    <phoneticPr fontId="50"/>
  </si>
  <si>
    <t>武装/トラップボム</t>
    <phoneticPr fontId="50"/>
  </si>
  <si>
    <t>武装/高演算電脳</t>
    <phoneticPr fontId="50"/>
  </si>
  <si>
    <t>武装/高性能マニピュレーター</t>
    <phoneticPr fontId="50"/>
  </si>
  <si>
    <t>武装/光学迷彩</t>
    <phoneticPr fontId="50"/>
  </si>
  <si>
    <t>武装/高出力ブースター</t>
    <phoneticPr fontId="50"/>
  </si>
  <si>
    <t>武装/心拍スカウター</t>
    <phoneticPr fontId="50"/>
  </si>
  <si>
    <t>武装/ジェットハンマー</t>
    <phoneticPr fontId="50"/>
  </si>
  <si>
    <t>武装/毒電波発生装置</t>
    <rPh sb="3" eb="10">
      <t>ドクデンパハッセイソウチ</t>
    </rPh>
    <phoneticPr fontId="50"/>
  </si>
  <si>
    <t>武装/高感度センサー</t>
    <phoneticPr fontId="50"/>
  </si>
  <si>
    <t>武装/スキャンスコープ</t>
    <phoneticPr fontId="50"/>
  </si>
  <si>
    <t>武装/パワードスーツ</t>
    <phoneticPr fontId="50"/>
  </si>
  <si>
    <t>武装/ブラックボックス</t>
    <phoneticPr fontId="50"/>
  </si>
  <si>
    <t>武装/アーマー</t>
    <phoneticPr fontId="50"/>
  </si>
  <si>
    <t>武装/クリエイトノイザー</t>
    <phoneticPr fontId="50"/>
  </si>
  <si>
    <t>武装/トランスキャンセラー</t>
    <phoneticPr fontId="50"/>
  </si>
  <si>
    <t>武装/神経ジャマー</t>
    <phoneticPr fontId="50"/>
  </si>
  <si>
    <t>武装/サイキックジャミング</t>
    <phoneticPr fontId="50"/>
  </si>
  <si>
    <t>武装/スモーク</t>
    <phoneticPr fontId="50"/>
  </si>
  <si>
    <t>武装/強化シナプス</t>
    <phoneticPr fontId="50"/>
  </si>
  <si>
    <t>武装/増強アンプル</t>
    <phoneticPr fontId="50"/>
  </si>
  <si>
    <t>武装/フラッシュガン</t>
    <phoneticPr fontId="50"/>
  </si>
  <si>
    <t>武装/ワイヤートラップ</t>
    <phoneticPr fontId="50"/>
  </si>
  <si>
    <t>武装/スタンガン</t>
    <phoneticPr fontId="50"/>
  </si>
  <si>
    <t>武装/電子ドラッグ</t>
    <phoneticPr fontId="50"/>
  </si>
  <si>
    <t>武装/火炎放射器</t>
    <phoneticPr fontId="50"/>
  </si>
  <si>
    <t>武装/高周波ブレード</t>
    <phoneticPr fontId="50"/>
  </si>
  <si>
    <t>武装/ブラスター</t>
    <phoneticPr fontId="50"/>
  </si>
  <si>
    <t>武装/ドリル</t>
    <phoneticPr fontId="50"/>
  </si>
  <si>
    <t>武装/レールガン</t>
    <phoneticPr fontId="50"/>
  </si>
  <si>
    <t>武装/手榴弾</t>
    <phoneticPr fontId="50"/>
  </si>
  <si>
    <t>AE/コンセントレイション</t>
    <phoneticPr fontId="50"/>
  </si>
  <si>
    <t>AE/ブースト</t>
    <phoneticPr fontId="50"/>
  </si>
  <si>
    <t>AE/エール</t>
    <phoneticPr fontId="50"/>
  </si>
  <si>
    <t>AE/死力</t>
    <phoneticPr fontId="50"/>
  </si>
  <si>
    <t>AE/怪力乱神</t>
    <phoneticPr fontId="50"/>
  </si>
  <si>
    <t>AE/臥薪嘗胆</t>
    <phoneticPr fontId="50"/>
  </si>
  <si>
    <t>AE/守護</t>
    <phoneticPr fontId="50"/>
  </si>
  <si>
    <t>AE/転換</t>
    <phoneticPr fontId="50"/>
  </si>
  <si>
    <t>AE/締め付け</t>
    <phoneticPr fontId="50"/>
  </si>
  <si>
    <t>AE/ホールド</t>
    <phoneticPr fontId="50"/>
  </si>
  <si>
    <t>AE/玉砕</t>
    <rPh sb="3" eb="5">
      <t>ギョクサイ</t>
    </rPh>
    <phoneticPr fontId="50"/>
  </si>
  <si>
    <t>AE/供給</t>
    <phoneticPr fontId="50"/>
  </si>
  <si>
    <t>AE/ヘッドショット</t>
    <phoneticPr fontId="50"/>
  </si>
  <si>
    <t>AE/ノックアウト</t>
    <phoneticPr fontId="50"/>
  </si>
  <si>
    <t>AE/不意打ち</t>
    <phoneticPr fontId="50"/>
  </si>
  <si>
    <t>AE/カウンター</t>
    <phoneticPr fontId="50"/>
  </si>
  <si>
    <t>AE/手加減</t>
    <phoneticPr fontId="50"/>
  </si>
  <si>
    <t>AE/カバーリング</t>
    <phoneticPr fontId="50"/>
  </si>
  <si>
    <t>AE/参戦攻撃</t>
    <phoneticPr fontId="50"/>
  </si>
  <si>
    <t>AE/回避放棄</t>
    <phoneticPr fontId="50"/>
  </si>
  <si>
    <t>AE/離脱</t>
    <phoneticPr fontId="50"/>
  </si>
  <si>
    <t>AE/参戦</t>
    <phoneticPr fontId="50"/>
  </si>
  <si>
    <t>AE/移動攻撃</t>
    <phoneticPr fontId="50"/>
  </si>
  <si>
    <t>AE/移動</t>
    <phoneticPr fontId="50"/>
  </si>
  <si>
    <t>AE/待機</t>
    <phoneticPr fontId="50"/>
  </si>
  <si>
    <t>AE/運否天賦</t>
    <phoneticPr fontId="50"/>
  </si>
  <si>
    <t>AE/電光石火</t>
    <phoneticPr fontId="50"/>
  </si>
  <si>
    <t>AE/明鏡止水</t>
    <phoneticPr fontId="50"/>
  </si>
  <si>
    <t>AE/才気煥発</t>
    <phoneticPr fontId="50"/>
  </si>
  <si>
    <t>AE/画竜点睛</t>
    <phoneticPr fontId="50"/>
  </si>
  <si>
    <r>
      <t>高性能マニピュレーター【スペック－</t>
    </r>
    <r>
      <rPr>
        <sz val="11"/>
        <rFont val="Arial"/>
        <family val="2"/>
        <charset val="1"/>
      </rPr>
      <t>1</t>
    </r>
    <r>
      <rPr>
        <sz val="11"/>
        <rFont val="ＭＳ Ｐゴシック"/>
        <family val="3"/>
        <charset val="128"/>
      </rPr>
      <t>】</t>
    </r>
  </si>
  <si>
    <r>
      <t>光学迷彩【スペック－</t>
    </r>
    <r>
      <rPr>
        <sz val="11"/>
        <rFont val="Arial"/>
        <family val="2"/>
        <charset val="1"/>
      </rPr>
      <t>1</t>
    </r>
    <r>
      <rPr>
        <sz val="11"/>
        <rFont val="ＭＳ Ｐゴシック"/>
        <family val="3"/>
        <charset val="128"/>
      </rPr>
      <t>】</t>
    </r>
  </si>
  <si>
    <r>
      <t>高出力ブースター【スペック－</t>
    </r>
    <r>
      <rPr>
        <sz val="11"/>
        <rFont val="Arial"/>
        <family val="2"/>
        <charset val="1"/>
      </rPr>
      <t>1</t>
    </r>
    <r>
      <rPr>
        <sz val="11"/>
        <rFont val="ＭＳ Ｐゴシック"/>
        <family val="3"/>
        <charset val="128"/>
      </rPr>
      <t>】</t>
    </r>
  </si>
  <si>
    <t>ノーマル付与pt</t>
    <phoneticPr fontId="50"/>
  </si>
</sst>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6">
    <numFmt numFmtId="176" formatCode="&quot;／&quot;General"/>
    <numFmt numFmtId="177" formatCode="General&quot;％　⇒&quot;"/>
    <numFmt numFmtId="178" formatCode="General&quot;％&quot;"/>
    <numFmt numFmtId="179" formatCode="General&quot;D6&quot;"/>
    <numFmt numFmtId="180" formatCode="#\+#&quot;D6&quot;"/>
    <numFmt numFmtId="181" formatCode="#&quot;D6+&quot;##"/>
    <numFmt numFmtId="182" formatCode="&quot;TRUE&quot;;&quot;TRUE&quot;;&quot;FALSE&quot;"/>
    <numFmt numFmtId="183" formatCode="&quot;＋&quot;General"/>
    <numFmt numFmtId="184" formatCode="&quot;+ &quot;0;&quot;- &quot;0;&quot;±&quot;0"/>
    <numFmt numFmtId="185" formatCode="General&quot;Ｄ６&quot;"/>
    <numFmt numFmtId="186" formatCode="&quot;＋&quot;General&quot;Ｄ６&quot;"/>
    <numFmt numFmtId="187" formatCode="&quot;深度&quot;General"/>
    <numFmt numFmtId="188" formatCode="@&quot;　&quot;"/>
    <numFmt numFmtId="189" formatCode="General&quot; +２Ｄ６&quot;"/>
    <numFmt numFmtId="190" formatCode="General&quot;点&quot;"/>
    <numFmt numFmtId="191" formatCode="&quot;+ &quot;0;&quot;- &quot;0;\±0"/>
  </numFmts>
  <fonts count="90" x14ac:knownFonts="1">
    <font>
      <sz val="10"/>
      <name val="ＭＳ Ｐゴシック"/>
      <family val="3"/>
      <charset val="128"/>
    </font>
    <font>
      <b/>
      <sz val="12"/>
      <name val="ＭＳ Ｐゴシック"/>
      <family val="3"/>
      <charset val="128"/>
    </font>
    <font>
      <sz val="10"/>
      <color indexed="9"/>
      <name val="ＭＳ Ｐゴシック"/>
      <family val="3"/>
      <charset val="128"/>
    </font>
    <font>
      <b/>
      <sz val="12"/>
      <color indexed="9"/>
      <name val="ＭＳ Ｐゴシック"/>
      <family val="3"/>
      <charset val="128"/>
    </font>
    <font>
      <b/>
      <sz val="12"/>
      <color indexed="8"/>
      <name val="ＭＳ Ｐゴシック"/>
      <family val="3"/>
      <charset val="128"/>
    </font>
    <font>
      <b/>
      <sz val="15"/>
      <name val="ＭＳ Ｐゴシック"/>
      <family val="3"/>
      <charset val="128"/>
    </font>
    <font>
      <sz val="11"/>
      <name val="ＭＳ Ｐゴシック"/>
      <family val="3"/>
      <charset val="128"/>
    </font>
    <font>
      <sz val="9"/>
      <name val="ＭＳ Ｐゴシック"/>
      <family val="3"/>
      <charset val="128"/>
    </font>
    <font>
      <sz val="12"/>
      <color indexed="8"/>
      <name val="ＭＳ Ｐゴシック"/>
      <family val="3"/>
      <charset val="128"/>
    </font>
    <font>
      <sz val="10"/>
      <color indexed="8"/>
      <name val="ＭＳ Ｐゴシック"/>
      <family val="3"/>
      <charset val="128"/>
    </font>
    <font>
      <sz val="9"/>
      <color indexed="9"/>
      <name val="ＭＳ Ｐゴシック"/>
      <family val="3"/>
      <charset val="128"/>
    </font>
    <font>
      <i/>
      <sz val="9"/>
      <name val="ＭＳ Ｐゴシック"/>
      <family val="3"/>
      <charset val="128"/>
    </font>
    <font>
      <b/>
      <sz val="9"/>
      <name val="ＭＳ Ｐゴシック"/>
      <family val="3"/>
      <charset val="128"/>
    </font>
    <font>
      <sz val="9"/>
      <color indexed="63"/>
      <name val="ＭＳ Ｐゴシック"/>
      <family val="3"/>
      <charset val="128"/>
    </font>
    <font>
      <b/>
      <sz val="12"/>
      <name val="ＭＳ Ｐゴシック"/>
      <family val="3"/>
      <charset val="128"/>
    </font>
    <font>
      <sz val="10"/>
      <color indexed="61"/>
      <name val="ＭＳ Ｐゴシック"/>
      <family val="3"/>
      <charset val="128"/>
    </font>
    <font>
      <sz val="10"/>
      <name val="ＭＳ Ｐゴシック"/>
      <family val="3"/>
      <charset val="128"/>
    </font>
    <font>
      <b/>
      <sz val="11"/>
      <name val="ＭＳ Ｐゴシック"/>
      <family val="3"/>
      <charset val="128"/>
    </font>
    <font>
      <b/>
      <sz val="10"/>
      <color indexed="9"/>
      <name val="ＭＳ Ｐゴシック"/>
      <family val="3"/>
      <charset val="128"/>
    </font>
    <font>
      <b/>
      <sz val="10"/>
      <name val="ＭＳ Ｐゴシック"/>
      <family val="3"/>
      <charset val="128"/>
    </font>
    <font>
      <b/>
      <sz val="11"/>
      <color indexed="8"/>
      <name val="ＭＳ Ｐゴシック"/>
      <family val="3"/>
      <charset val="128"/>
    </font>
    <font>
      <b/>
      <sz val="11"/>
      <color indexed="8"/>
      <name val="メイリオ"/>
      <family val="3"/>
      <charset val="128"/>
    </font>
    <font>
      <sz val="12"/>
      <name val="ＭＳ Ｐゴシック"/>
      <family val="3"/>
      <charset val="128"/>
    </font>
    <font>
      <b/>
      <sz val="11"/>
      <color indexed="9"/>
      <name val="ＭＳ Ｐゴシック"/>
      <family val="3"/>
      <charset val="128"/>
    </font>
    <font>
      <b/>
      <sz val="15"/>
      <color indexed="8"/>
      <name val="ＭＳ Ｐゴシック"/>
      <family val="3"/>
      <charset val="128"/>
    </font>
    <font>
      <sz val="11"/>
      <color indexed="8"/>
      <name val="ＭＳ Ｐゴシック"/>
      <family val="3"/>
      <charset val="128"/>
    </font>
    <font>
      <b/>
      <i/>
      <sz val="11"/>
      <color indexed="9"/>
      <name val="ＭＳ Ｐゴシック"/>
      <family val="3"/>
      <charset val="128"/>
    </font>
    <font>
      <b/>
      <sz val="14"/>
      <color indexed="8"/>
      <name val="ＭＳ Ｐゴシック"/>
      <family val="3"/>
      <charset val="128"/>
    </font>
    <font>
      <b/>
      <sz val="14"/>
      <name val="ＭＳ Ｐゴシック"/>
      <family val="3"/>
      <charset val="128"/>
    </font>
    <font>
      <i/>
      <sz val="10"/>
      <name val="ＭＳ Ｐゴシック"/>
      <family val="3"/>
      <charset val="128"/>
    </font>
    <font>
      <sz val="24"/>
      <name val="ＭＳ Ｐゴシック"/>
      <family val="3"/>
      <charset val="128"/>
    </font>
    <font>
      <b/>
      <sz val="10"/>
      <color indexed="8"/>
      <name val="ＭＳ Ｐゴシック"/>
      <family val="3"/>
      <charset val="128"/>
    </font>
    <font>
      <b/>
      <sz val="12"/>
      <color indexed="9"/>
      <name val="ＭＳ Ｐゴシック"/>
      <family val="3"/>
      <charset val="128"/>
    </font>
    <font>
      <sz val="10.5"/>
      <name val="ＭＳ Ｐゴシック"/>
      <family val="3"/>
      <charset val="128"/>
    </font>
    <font>
      <b/>
      <sz val="12"/>
      <color indexed="60"/>
      <name val="ＭＳ Ｐゴシック"/>
      <family val="3"/>
      <charset val="128"/>
    </font>
    <font>
      <sz val="10.5"/>
      <color indexed="8"/>
      <name val="ＭＳ Ｐゴシック"/>
      <family val="3"/>
      <charset val="128"/>
    </font>
    <font>
      <sz val="11"/>
      <color indexed="8"/>
      <name val="ＭＳ Ｐ明朝"/>
      <family val="1"/>
      <charset val="128"/>
    </font>
    <font>
      <sz val="9"/>
      <color indexed="8"/>
      <name val="ＭＳ Ｐゴシック"/>
      <family val="3"/>
      <charset val="128"/>
    </font>
    <font>
      <sz val="7"/>
      <color indexed="8"/>
      <name val="ＭＳ Ｐゴシック"/>
      <family val="3"/>
      <charset val="128"/>
    </font>
    <font>
      <sz val="18"/>
      <name val="ＭＳ Ｐゴシック"/>
      <family val="3"/>
      <charset val="128"/>
    </font>
    <font>
      <sz val="8"/>
      <name val="ＭＳ Ｐゴシック"/>
      <family val="3"/>
      <charset val="128"/>
    </font>
    <font>
      <sz val="14"/>
      <name val="ＭＳ Ｐゴシック"/>
      <family val="3"/>
      <charset val="128"/>
    </font>
    <font>
      <sz val="12"/>
      <color indexed="8"/>
      <name val="ＭＳ Ｐ明朝"/>
      <family val="1"/>
      <charset val="128"/>
    </font>
    <font>
      <sz val="10"/>
      <color indexed="23"/>
      <name val="ＭＳ Ｐゴシック"/>
      <family val="3"/>
      <charset val="128"/>
    </font>
    <font>
      <u/>
      <sz val="10"/>
      <color indexed="12"/>
      <name val="ＭＳ Ｐゴシック"/>
      <family val="3"/>
      <charset val="128"/>
    </font>
    <font>
      <sz val="10"/>
      <color indexed="63"/>
      <name val="ＭＳ Ｐゴシック"/>
      <family val="3"/>
      <charset val="128"/>
    </font>
    <font>
      <sz val="10"/>
      <color indexed="17"/>
      <name val="ＭＳ Ｐゴシック"/>
      <family val="3"/>
      <charset val="128"/>
    </font>
    <font>
      <sz val="10"/>
      <color indexed="10"/>
      <name val="ＭＳ Ｐゴシック"/>
      <family val="3"/>
      <charset val="128"/>
    </font>
    <font>
      <sz val="10"/>
      <color indexed="19"/>
      <name val="ＭＳ Ｐゴシック"/>
      <family val="3"/>
      <charset val="128"/>
    </font>
    <font>
      <sz val="10"/>
      <color indexed="20"/>
      <name val="ＭＳ Ｐゴシック"/>
      <family val="3"/>
      <charset val="128"/>
    </font>
    <font>
      <sz val="6"/>
      <name val="ＭＳ Ｐゴシック"/>
      <family val="3"/>
      <charset val="128"/>
    </font>
    <font>
      <sz val="8"/>
      <color theme="2" tint="-9.9978637043366805E-2"/>
      <name val="HG創英ﾌﾟﾚｾﾞﾝｽEB"/>
      <family val="1"/>
      <charset val="128"/>
    </font>
    <font>
      <sz val="12"/>
      <name val="HGP明朝B"/>
      <family val="1"/>
      <charset val="128"/>
    </font>
    <font>
      <sz val="10"/>
      <name val="HGP明朝B"/>
      <family val="1"/>
      <charset val="128"/>
    </font>
    <font>
      <b/>
      <sz val="18"/>
      <name val="HG創英ﾌﾟﾚｾﾞﾝｽEB"/>
      <family val="1"/>
      <charset val="128"/>
    </font>
    <font>
      <sz val="11"/>
      <name val="HGP明朝B"/>
      <family val="1"/>
      <charset val="128"/>
    </font>
    <font>
      <sz val="12"/>
      <name val="HGP明朝E"/>
      <family val="1"/>
      <charset val="128"/>
    </font>
    <font>
      <sz val="10"/>
      <color theme="4" tint="-0.499984740745262"/>
      <name val="ＭＳ Ｐゴシック"/>
      <family val="3"/>
      <charset val="128"/>
    </font>
    <font>
      <b/>
      <i/>
      <sz val="12"/>
      <color theme="7" tint="-0.499984740745262"/>
      <name val="ＭＳ Ｐゴシック"/>
      <family val="3"/>
      <charset val="128"/>
    </font>
    <font>
      <sz val="10"/>
      <color theme="5" tint="-0.499984740745262"/>
      <name val="ＭＳ Ｐゴシック"/>
      <family val="3"/>
      <charset val="128"/>
    </font>
    <font>
      <b/>
      <sz val="15"/>
      <color theme="7" tint="-0.499984740745262"/>
      <name val="ＭＳ Ｐゴシック"/>
      <family val="3"/>
      <charset val="128"/>
    </font>
    <font>
      <b/>
      <sz val="9"/>
      <color theme="0"/>
      <name val="ＭＳ Ｐゴシック"/>
      <family val="3"/>
      <charset val="128"/>
    </font>
    <font>
      <sz val="10"/>
      <color theme="1"/>
      <name val="ＭＳ Ｐゴシック"/>
      <family val="3"/>
      <charset val="128"/>
    </font>
    <font>
      <sz val="9"/>
      <color theme="1"/>
      <name val="ＭＳ Ｐゴシック"/>
      <family val="3"/>
      <charset val="128"/>
    </font>
    <font>
      <sz val="8"/>
      <color theme="1"/>
      <name val="ＭＳ Ｐゴシック"/>
      <family val="3"/>
      <charset val="128"/>
    </font>
    <font>
      <sz val="10"/>
      <color theme="0"/>
      <name val="ＭＳ Ｐゴシック"/>
      <family val="3"/>
      <charset val="128"/>
    </font>
    <font>
      <sz val="9"/>
      <color theme="0"/>
      <name val="ＭＳ Ｐゴシック"/>
      <family val="3"/>
      <charset val="128"/>
    </font>
    <font>
      <b/>
      <i/>
      <sz val="9"/>
      <color theme="0"/>
      <name val="ＭＳ Ｐゴシック"/>
      <family val="3"/>
      <charset val="128"/>
    </font>
    <font>
      <b/>
      <sz val="9"/>
      <color indexed="9"/>
      <name val="ＭＳ Ｐゴシック"/>
      <family val="3"/>
      <charset val="128"/>
    </font>
    <font>
      <b/>
      <sz val="9"/>
      <color theme="1"/>
      <name val="ＭＳ Ｐゴシック"/>
      <family val="3"/>
      <charset val="128"/>
    </font>
    <font>
      <sz val="10"/>
      <color theme="0"/>
      <name val="HG創英ﾌﾟﾚｾﾞﾝｽEB"/>
      <family val="1"/>
      <charset val="128"/>
    </font>
    <font>
      <sz val="8"/>
      <color theme="0"/>
      <name val="HG創英ﾌﾟﾚｾﾞﾝｽEB"/>
      <family val="1"/>
      <charset val="128"/>
    </font>
    <font>
      <sz val="8"/>
      <color theme="0"/>
      <name val="HGP創英ﾌﾟﾚｾﾞﾝｽEB"/>
      <family val="1"/>
      <charset val="128"/>
    </font>
    <font>
      <b/>
      <sz val="20"/>
      <color theme="5" tint="-0.249977111117893"/>
      <name val="ＭＳ Ｐゴシック"/>
      <family val="3"/>
      <charset val="128"/>
    </font>
    <font>
      <sz val="12"/>
      <color rgb="FF000000"/>
      <name val="ＭＳ Ｐ明朝"/>
      <family val="1"/>
      <charset val="128"/>
    </font>
    <font>
      <sz val="12"/>
      <color rgb="FF000000"/>
      <name val="ＭＳ Ｐゴシック"/>
      <family val="3"/>
      <charset val="128"/>
    </font>
    <font>
      <b/>
      <sz val="12"/>
      <color rgb="FF000000"/>
      <name val="ＭＳ Ｐゴシック"/>
      <family val="3"/>
      <charset val="128"/>
    </font>
    <font>
      <sz val="11"/>
      <color rgb="FF000000"/>
      <name val="ＭＳ Ｐ明朝"/>
      <family val="1"/>
      <charset val="128"/>
    </font>
    <font>
      <sz val="8"/>
      <color indexed="9"/>
      <name val="ＭＳ Ｐゴシック"/>
      <family val="3"/>
      <charset val="128"/>
    </font>
    <font>
      <sz val="6"/>
      <name val="ＭＳ Ｐゴシック"/>
      <family val="2"/>
      <charset val="128"/>
      <scheme val="minor"/>
    </font>
    <font>
      <sz val="10"/>
      <color theme="3" tint="0.39997558519241921"/>
      <name val="HGP明朝B"/>
      <family val="1"/>
      <charset val="128"/>
    </font>
    <font>
      <sz val="10"/>
      <color theme="0"/>
      <name val="HGP明朝B"/>
      <family val="1"/>
      <charset val="128"/>
    </font>
    <font>
      <i/>
      <sz val="9"/>
      <color theme="3" tint="0.39997558519241921"/>
      <name val="HG創英ﾌﾟﾚｾﾞﾝｽEB"/>
      <family val="1"/>
      <charset val="128"/>
    </font>
    <font>
      <sz val="10"/>
      <name val="HGS明朝B"/>
      <family val="1"/>
      <charset val="128"/>
    </font>
    <font>
      <b/>
      <sz val="12"/>
      <color theme="0"/>
      <name val="ＭＳ Ｐゴシック"/>
      <family val="3"/>
      <charset val="128"/>
    </font>
    <font>
      <sz val="10"/>
      <color rgb="FF000000"/>
      <name val="ＭＳ Ｐゴシック"/>
      <family val="3"/>
      <charset val="128"/>
    </font>
    <font>
      <b/>
      <sz val="10"/>
      <color theme="0"/>
      <name val="ＭＳ Ｐゴシック"/>
      <family val="3"/>
      <charset val="128"/>
    </font>
    <font>
      <b/>
      <sz val="12"/>
      <color rgb="FFFF0000"/>
      <name val="ＭＳ Ｐゴシック"/>
      <family val="3"/>
      <charset val="128"/>
    </font>
    <font>
      <sz val="11"/>
      <name val="Arial"/>
      <family val="2"/>
      <charset val="1"/>
    </font>
    <font>
      <sz val="11"/>
      <color rgb="FF000000"/>
      <name val="ＭＳ Ｐゴシック"/>
      <family val="3"/>
      <charset val="128"/>
    </font>
  </fonts>
  <fills count="85">
    <fill>
      <patternFill patternType="none"/>
    </fill>
    <fill>
      <patternFill patternType="gray125"/>
    </fill>
    <fill>
      <patternFill patternType="solid">
        <fgColor indexed="45"/>
        <bgColor indexed="47"/>
      </patternFill>
    </fill>
    <fill>
      <patternFill patternType="solid">
        <fgColor indexed="26"/>
        <bgColor indexed="9"/>
      </patternFill>
    </fill>
    <fill>
      <patternFill patternType="solid">
        <fgColor indexed="42"/>
        <bgColor indexed="41"/>
      </patternFill>
    </fill>
    <fill>
      <patternFill patternType="solid">
        <fgColor indexed="23"/>
        <bgColor indexed="55"/>
      </patternFill>
    </fill>
    <fill>
      <patternFill patternType="solid">
        <fgColor indexed="8"/>
        <bgColor indexed="58"/>
      </patternFill>
    </fill>
    <fill>
      <patternFill patternType="solid">
        <fgColor indexed="51"/>
        <bgColor indexed="49"/>
      </patternFill>
    </fill>
    <fill>
      <patternFill patternType="solid">
        <fgColor indexed="10"/>
        <bgColor indexed="20"/>
      </patternFill>
    </fill>
    <fill>
      <patternFill patternType="solid">
        <fgColor indexed="31"/>
        <bgColor indexed="22"/>
      </patternFill>
    </fill>
    <fill>
      <patternFill patternType="solid">
        <fgColor indexed="43"/>
        <bgColor indexed="13"/>
      </patternFill>
    </fill>
    <fill>
      <patternFill patternType="solid">
        <fgColor indexed="62"/>
        <bgColor indexed="59"/>
      </patternFill>
    </fill>
    <fill>
      <patternFill patternType="solid">
        <fgColor indexed="9"/>
        <bgColor indexed="26"/>
      </patternFill>
    </fill>
    <fill>
      <patternFill patternType="solid">
        <fgColor indexed="55"/>
        <bgColor indexed="54"/>
      </patternFill>
    </fill>
    <fill>
      <patternFill patternType="solid">
        <fgColor indexed="27"/>
        <bgColor indexed="42"/>
      </patternFill>
    </fill>
    <fill>
      <patternFill patternType="solid">
        <fgColor indexed="47"/>
        <bgColor indexed="45"/>
      </patternFill>
    </fill>
    <fill>
      <patternFill patternType="solid">
        <fgColor indexed="41"/>
        <bgColor indexed="42"/>
      </patternFill>
    </fill>
    <fill>
      <patternFill patternType="solid">
        <fgColor indexed="13"/>
        <bgColor indexed="43"/>
      </patternFill>
    </fill>
    <fill>
      <patternFill patternType="solid">
        <fgColor indexed="53"/>
        <bgColor indexed="29"/>
      </patternFill>
    </fill>
    <fill>
      <patternFill patternType="solid">
        <fgColor indexed="29"/>
        <bgColor indexed="53"/>
      </patternFill>
    </fill>
    <fill>
      <patternFill patternType="solid">
        <fgColor indexed="22"/>
        <bgColor indexed="31"/>
      </patternFill>
    </fill>
    <fill>
      <patternFill patternType="solid">
        <fgColor indexed="63"/>
        <bgColor indexed="59"/>
      </patternFill>
    </fill>
    <fill>
      <patternFill patternType="solid">
        <fgColor indexed="59"/>
        <bgColor indexed="63"/>
      </patternFill>
    </fill>
    <fill>
      <patternFill patternType="solid">
        <fgColor theme="0"/>
        <bgColor indexed="64"/>
      </patternFill>
    </fill>
    <fill>
      <patternFill patternType="solid">
        <fgColor theme="9" tint="-0.499984740745262"/>
        <bgColor indexed="59"/>
      </patternFill>
    </fill>
    <fill>
      <patternFill patternType="solid">
        <fgColor theme="5" tint="0.59999389629810485"/>
        <bgColor indexed="45"/>
      </patternFill>
    </fill>
    <fill>
      <patternFill patternType="solid">
        <fgColor theme="6" tint="0.39997558519241921"/>
        <bgColor indexed="22"/>
      </patternFill>
    </fill>
    <fill>
      <patternFill patternType="solid">
        <fgColor theme="8" tint="0.59999389629810485"/>
        <bgColor indexed="22"/>
      </patternFill>
    </fill>
    <fill>
      <patternFill patternType="solid">
        <fgColor theme="8" tint="0.59999389629810485"/>
        <bgColor indexed="42"/>
      </patternFill>
    </fill>
    <fill>
      <patternFill patternType="solid">
        <fgColor theme="7" tint="0.59999389629810485"/>
        <bgColor indexed="13"/>
      </patternFill>
    </fill>
    <fill>
      <patternFill patternType="solid">
        <fgColor theme="4" tint="0.39997558519241921"/>
        <bgColor indexed="24"/>
      </patternFill>
    </fill>
    <fill>
      <patternFill patternType="solid">
        <fgColor theme="6" tint="0.39997558519241921"/>
        <bgColor indexed="31"/>
      </patternFill>
    </fill>
    <fill>
      <patternFill patternType="solid">
        <fgColor theme="4" tint="0.79998168889431442"/>
        <bgColor indexed="34"/>
      </patternFill>
    </fill>
    <fill>
      <patternFill patternType="solid">
        <fgColor theme="8" tint="0.39997558519241921"/>
        <bgColor indexed="38"/>
      </patternFill>
    </fill>
    <fill>
      <patternFill patternType="solid">
        <fgColor theme="5" tint="0.39997558519241921"/>
        <bgColor indexed="61"/>
      </patternFill>
    </fill>
    <fill>
      <patternFill patternType="solid">
        <fgColor theme="4" tint="0.39997558519241921"/>
        <bgColor indexed="54"/>
      </patternFill>
    </fill>
    <fill>
      <patternFill patternType="solid">
        <fgColor theme="9" tint="0.39997558519241921"/>
        <bgColor indexed="54"/>
      </patternFill>
    </fill>
    <fill>
      <patternFill patternType="solid">
        <fgColor theme="1" tint="0.34998626667073579"/>
        <bgColor indexed="64"/>
      </patternFill>
    </fill>
    <fill>
      <patternFill patternType="solid">
        <fgColor theme="6" tint="0.59999389629810485"/>
        <bgColor indexed="64"/>
      </patternFill>
    </fill>
    <fill>
      <patternFill patternType="solid">
        <fgColor theme="8" tint="0.59999389629810485"/>
        <bgColor indexed="64"/>
      </patternFill>
    </fill>
    <fill>
      <patternFill patternType="solid">
        <fgColor theme="9" tint="-0.499984740745262"/>
        <bgColor indexed="42"/>
      </patternFill>
    </fill>
    <fill>
      <patternFill patternType="solid">
        <fgColor theme="9" tint="-0.249977111117893"/>
        <bgColor indexed="42"/>
      </patternFill>
    </fill>
    <fill>
      <patternFill patternType="solid">
        <fgColor theme="8" tint="0.79998168889431442"/>
        <bgColor indexed="42"/>
      </patternFill>
    </fill>
    <fill>
      <patternFill patternType="solid">
        <fgColor theme="5" tint="0.79998168889431442"/>
        <bgColor indexed="45"/>
      </patternFill>
    </fill>
    <fill>
      <patternFill patternType="solid">
        <fgColor theme="7" tint="0.79998168889431442"/>
        <bgColor indexed="13"/>
      </patternFill>
    </fill>
    <fill>
      <patternFill patternType="solid">
        <fgColor theme="8" tint="0.59999389629810485"/>
        <bgColor indexed="54"/>
      </patternFill>
    </fill>
    <fill>
      <patternFill patternType="solid">
        <fgColor theme="8" tint="0.59999389629810485"/>
        <bgColor indexed="45"/>
      </patternFill>
    </fill>
    <fill>
      <patternFill patternType="solid">
        <fgColor theme="8" tint="0.59999389629810485"/>
        <bgColor indexed="13"/>
      </patternFill>
    </fill>
    <fill>
      <patternFill patternType="solid">
        <fgColor theme="0"/>
        <bgColor indexed="42"/>
      </patternFill>
    </fill>
    <fill>
      <patternFill patternType="solid">
        <fgColor theme="0"/>
        <bgColor indexed="13"/>
      </patternFill>
    </fill>
    <fill>
      <patternFill patternType="solid">
        <fgColor theme="9" tint="0.79998168889431442"/>
        <bgColor indexed="45"/>
      </patternFill>
    </fill>
    <fill>
      <patternFill patternType="solid">
        <fgColor theme="4" tint="0.79998168889431442"/>
        <bgColor indexed="42"/>
      </patternFill>
    </fill>
    <fill>
      <patternFill patternType="solid">
        <fgColor theme="4" tint="0.59999389629810485"/>
        <bgColor indexed="42"/>
      </patternFill>
    </fill>
    <fill>
      <patternFill patternType="solid">
        <fgColor theme="9" tint="0.59999389629810485"/>
        <bgColor indexed="54"/>
      </patternFill>
    </fill>
    <fill>
      <patternFill patternType="solid">
        <fgColor theme="9" tint="0.59999389629810485"/>
        <bgColor indexed="53"/>
      </patternFill>
    </fill>
    <fill>
      <patternFill patternType="solid">
        <fgColor theme="9" tint="0.59999389629810485"/>
        <bgColor indexed="64"/>
      </patternFill>
    </fill>
    <fill>
      <patternFill patternType="solid">
        <fgColor theme="2" tint="-0.499984740745262"/>
        <bgColor indexed="42"/>
      </patternFill>
    </fill>
    <fill>
      <patternFill patternType="solid">
        <fgColor theme="2" tint="-0.249977111117893"/>
        <bgColor indexed="45"/>
      </patternFill>
    </fill>
    <fill>
      <patternFill patternType="solid">
        <fgColor theme="2" tint="-9.9978637043366805E-2"/>
        <bgColor indexed="45"/>
      </patternFill>
    </fill>
    <fill>
      <patternFill patternType="solid">
        <fgColor theme="7" tint="0.79998168889431442"/>
        <bgColor indexed="45"/>
      </patternFill>
    </fill>
    <fill>
      <patternFill patternType="solid">
        <fgColor theme="2" tint="-0.749992370372631"/>
        <bgColor indexed="54"/>
      </patternFill>
    </fill>
    <fill>
      <patternFill patternType="solid">
        <fgColor theme="4" tint="0.79998168889431442"/>
        <bgColor indexed="45"/>
      </patternFill>
    </fill>
    <fill>
      <patternFill patternType="solid">
        <fgColor theme="7" tint="0.59999389629810485"/>
        <bgColor indexed="64"/>
      </patternFill>
    </fill>
    <fill>
      <patternFill patternType="solid">
        <fgColor theme="6" tint="0.39997558519241921"/>
        <bgColor indexed="45"/>
      </patternFill>
    </fill>
    <fill>
      <patternFill patternType="solid">
        <fgColor theme="9" tint="0.39997558519241921"/>
        <bgColor indexed="42"/>
      </patternFill>
    </fill>
    <fill>
      <patternFill patternType="solid">
        <fgColor theme="9" tint="0.59999389629810485"/>
        <bgColor indexed="45"/>
      </patternFill>
    </fill>
    <fill>
      <patternFill patternType="solid">
        <fgColor theme="9" tint="0.59999389629810485"/>
        <bgColor indexed="31"/>
      </patternFill>
    </fill>
    <fill>
      <patternFill patternType="solid">
        <fgColor theme="9" tint="0.79998168889431442"/>
        <bgColor indexed="31"/>
      </patternFill>
    </fill>
    <fill>
      <patternFill patternType="solid">
        <fgColor theme="1" tint="4.9989318521683403E-2"/>
        <bgColor indexed="45"/>
      </patternFill>
    </fill>
    <fill>
      <patternFill patternType="solid">
        <fgColor theme="9" tint="-0.499984740745262"/>
        <bgColor indexed="64"/>
      </patternFill>
    </fill>
    <fill>
      <patternFill patternType="solid">
        <fgColor theme="9" tint="0.79998168889431442"/>
        <bgColor indexed="22"/>
      </patternFill>
    </fill>
    <fill>
      <patternFill patternType="solid">
        <fgColor theme="5" tint="0.59999389629810485"/>
        <bgColor indexed="26"/>
      </patternFill>
    </fill>
    <fill>
      <patternFill patternType="solid">
        <fgColor theme="5" tint="0.59999389629810485"/>
        <bgColor indexed="64"/>
      </patternFill>
    </fill>
    <fill>
      <patternFill patternType="solid">
        <fgColor theme="1" tint="4.9989318521683403E-2"/>
        <bgColor indexed="22"/>
      </patternFill>
    </fill>
    <fill>
      <patternFill patternType="solid">
        <fgColor theme="9" tint="0.59999389629810485"/>
        <bgColor indexed="22"/>
      </patternFill>
    </fill>
    <fill>
      <patternFill patternType="solid">
        <fgColor theme="9" tint="-0.249977111117893"/>
        <bgColor indexed="55"/>
      </patternFill>
    </fill>
    <fill>
      <patternFill patternType="solid">
        <fgColor rgb="FFFFF2CC"/>
        <bgColor rgb="FFFFFFCC"/>
      </patternFill>
    </fill>
    <fill>
      <patternFill patternType="solid">
        <fgColor theme="3" tint="0.39997558519241921"/>
        <bgColor indexed="64"/>
      </patternFill>
    </fill>
    <fill>
      <patternFill patternType="solid">
        <fgColor theme="9" tint="0.79998168889431442"/>
        <bgColor indexed="64"/>
      </patternFill>
    </fill>
    <fill>
      <patternFill patternType="solid">
        <fgColor theme="0" tint="-4.9989318521683403E-2"/>
        <bgColor indexed="64"/>
      </patternFill>
    </fill>
    <fill>
      <patternFill patternType="solid">
        <fgColor theme="9" tint="-0.499984740745262"/>
        <bgColor indexed="22"/>
      </patternFill>
    </fill>
    <fill>
      <patternFill patternType="solid">
        <fgColor theme="9" tint="-0.249977111117893"/>
        <bgColor indexed="64"/>
      </patternFill>
    </fill>
    <fill>
      <patternFill patternType="solid">
        <fgColor theme="6" tint="0.79998168889431442"/>
        <bgColor indexed="22"/>
      </patternFill>
    </fill>
    <fill>
      <patternFill patternType="solid">
        <fgColor theme="0"/>
        <bgColor indexed="31"/>
      </patternFill>
    </fill>
    <fill>
      <patternFill patternType="solid">
        <fgColor theme="9" tint="-0.499984740745262"/>
        <bgColor indexed="31"/>
      </patternFill>
    </fill>
  </fills>
  <borders count="397">
    <border>
      <left/>
      <right/>
      <top/>
      <bottom/>
      <diagonal/>
    </border>
    <border>
      <left style="thin">
        <color indexed="23"/>
      </left>
      <right style="thin">
        <color indexed="23"/>
      </right>
      <top style="thin">
        <color indexed="23"/>
      </top>
      <bottom style="thin">
        <color indexed="23"/>
      </bottom>
      <diagonal/>
    </border>
    <border>
      <left style="medium">
        <color indexed="8"/>
      </left>
      <right style="medium">
        <color indexed="8"/>
      </right>
      <top style="medium">
        <color indexed="8"/>
      </top>
      <bottom style="medium">
        <color indexed="8"/>
      </bottom>
      <diagonal/>
    </border>
    <border>
      <left style="hair">
        <color indexed="8"/>
      </left>
      <right style="thin">
        <color indexed="8"/>
      </right>
      <top style="hair">
        <color indexed="8"/>
      </top>
      <bottom style="hair">
        <color indexed="8"/>
      </bottom>
      <diagonal/>
    </border>
    <border>
      <left style="medium">
        <color indexed="8"/>
      </left>
      <right style="thin">
        <color indexed="23"/>
      </right>
      <top style="medium">
        <color indexed="8"/>
      </top>
      <bottom style="thin">
        <color indexed="23"/>
      </bottom>
      <diagonal/>
    </border>
    <border>
      <left style="thin">
        <color indexed="23"/>
      </left>
      <right style="thin">
        <color indexed="23"/>
      </right>
      <top style="medium">
        <color indexed="8"/>
      </top>
      <bottom style="thin">
        <color indexed="23"/>
      </bottom>
      <diagonal/>
    </border>
    <border>
      <left style="medium">
        <color indexed="8"/>
      </left>
      <right style="thin">
        <color indexed="23"/>
      </right>
      <top style="thin">
        <color indexed="23"/>
      </top>
      <bottom style="thin">
        <color indexed="23"/>
      </bottom>
      <diagonal/>
    </border>
    <border>
      <left style="medium">
        <color indexed="8"/>
      </left>
      <right style="medium">
        <color indexed="8"/>
      </right>
      <top style="thin">
        <color indexed="23"/>
      </top>
      <bottom style="thin">
        <color indexed="23"/>
      </bottom>
      <diagonal/>
    </border>
    <border>
      <left style="medium">
        <color indexed="8"/>
      </left>
      <right style="medium">
        <color indexed="8"/>
      </right>
      <top style="thin">
        <color indexed="23"/>
      </top>
      <bottom style="medium">
        <color indexed="8"/>
      </bottom>
      <diagonal/>
    </border>
    <border>
      <left style="thin">
        <color indexed="23"/>
      </left>
      <right style="medium">
        <color indexed="8"/>
      </right>
      <top style="medium">
        <color indexed="8"/>
      </top>
      <bottom style="thin">
        <color indexed="23"/>
      </bottom>
      <diagonal/>
    </border>
    <border>
      <left style="thin">
        <color indexed="23"/>
      </left>
      <right style="medium">
        <color indexed="8"/>
      </right>
      <top style="thin">
        <color indexed="23"/>
      </top>
      <bottom style="thin">
        <color indexed="23"/>
      </bottom>
      <diagonal/>
    </border>
    <border>
      <left style="thin">
        <color indexed="8"/>
      </left>
      <right style="thin">
        <color indexed="8"/>
      </right>
      <top style="medium">
        <color indexed="8"/>
      </top>
      <bottom style="medium">
        <color indexed="8"/>
      </bottom>
      <diagonal/>
    </border>
    <border>
      <left style="thin">
        <color indexed="8"/>
      </left>
      <right style="thin">
        <color indexed="8"/>
      </right>
      <top style="medium">
        <color indexed="8"/>
      </top>
      <bottom style="thin">
        <color indexed="8"/>
      </bottom>
      <diagonal/>
    </border>
    <border>
      <left style="thin">
        <color indexed="8"/>
      </left>
      <right style="thin">
        <color indexed="8"/>
      </right>
      <top/>
      <bottom style="thin">
        <color indexed="8"/>
      </bottom>
      <diagonal/>
    </border>
    <border>
      <left style="thin">
        <color indexed="8"/>
      </left>
      <right style="thin">
        <color indexed="8"/>
      </right>
      <top style="thin">
        <color indexed="8"/>
      </top>
      <bottom style="thin">
        <color indexed="8"/>
      </bottom>
      <diagonal/>
    </border>
    <border>
      <left style="thin">
        <color indexed="8"/>
      </left>
      <right style="thin">
        <color indexed="8"/>
      </right>
      <top style="thin">
        <color indexed="8"/>
      </top>
      <bottom style="medium">
        <color indexed="8"/>
      </bottom>
      <diagonal/>
    </border>
    <border>
      <left style="medium">
        <color indexed="8"/>
      </left>
      <right style="medium">
        <color indexed="8"/>
      </right>
      <top style="medium">
        <color indexed="8"/>
      </top>
      <bottom style="thin">
        <color indexed="8"/>
      </bottom>
      <diagonal/>
    </border>
    <border>
      <left style="medium">
        <color indexed="8"/>
      </left>
      <right style="medium">
        <color indexed="8"/>
      </right>
      <top style="thin">
        <color indexed="8"/>
      </top>
      <bottom style="medium">
        <color indexed="8"/>
      </bottom>
      <diagonal/>
    </border>
    <border>
      <left style="medium">
        <color indexed="8"/>
      </left>
      <right style="hair">
        <color indexed="8"/>
      </right>
      <top style="medium">
        <color indexed="8"/>
      </top>
      <bottom style="thin">
        <color indexed="23"/>
      </bottom>
      <diagonal/>
    </border>
    <border>
      <left style="thin">
        <color indexed="8"/>
      </left>
      <right style="medium">
        <color indexed="8"/>
      </right>
      <top style="medium">
        <color indexed="8"/>
      </top>
      <bottom style="thin">
        <color indexed="23"/>
      </bottom>
      <diagonal/>
    </border>
    <border>
      <left style="medium">
        <color indexed="8"/>
      </left>
      <right style="hair">
        <color indexed="8"/>
      </right>
      <top style="thin">
        <color indexed="23"/>
      </top>
      <bottom style="medium">
        <color indexed="8"/>
      </bottom>
      <diagonal/>
    </border>
    <border>
      <left style="thin">
        <color indexed="8"/>
      </left>
      <right style="medium">
        <color indexed="8"/>
      </right>
      <top style="thin">
        <color indexed="23"/>
      </top>
      <bottom style="medium">
        <color indexed="8"/>
      </bottom>
      <diagonal/>
    </border>
    <border>
      <left style="medium">
        <color indexed="8"/>
      </left>
      <right style="thin">
        <color indexed="8"/>
      </right>
      <top style="medium">
        <color indexed="8"/>
      </top>
      <bottom/>
      <diagonal/>
    </border>
    <border>
      <left style="thin">
        <color indexed="8"/>
      </left>
      <right style="thin">
        <color indexed="8"/>
      </right>
      <top style="medium">
        <color indexed="8"/>
      </top>
      <bottom/>
      <diagonal/>
    </border>
    <border>
      <left style="thin">
        <color indexed="8"/>
      </left>
      <right style="medium">
        <color indexed="8"/>
      </right>
      <top style="medium">
        <color indexed="8"/>
      </top>
      <bottom/>
      <diagonal/>
    </border>
    <border>
      <left style="medium">
        <color indexed="8"/>
      </left>
      <right style="medium">
        <color indexed="8"/>
      </right>
      <top style="thin">
        <color indexed="8"/>
      </top>
      <bottom style="thin">
        <color indexed="8"/>
      </bottom>
      <diagonal/>
    </border>
    <border>
      <left style="medium">
        <color indexed="8"/>
      </left>
      <right/>
      <top/>
      <bottom style="thin">
        <color indexed="8"/>
      </bottom>
      <diagonal/>
    </border>
    <border>
      <left/>
      <right style="thin">
        <color indexed="8"/>
      </right>
      <top/>
      <bottom style="thin">
        <color indexed="8"/>
      </bottom>
      <diagonal/>
    </border>
    <border>
      <left style="thin">
        <color indexed="8"/>
      </left>
      <right/>
      <top/>
      <bottom style="thin">
        <color indexed="8"/>
      </bottom>
      <diagonal/>
    </border>
    <border>
      <left/>
      <right style="medium">
        <color indexed="8"/>
      </right>
      <top/>
      <bottom style="thin">
        <color indexed="8"/>
      </bottom>
      <diagonal/>
    </border>
    <border>
      <left style="medium">
        <color indexed="8"/>
      </left>
      <right/>
      <top style="thin">
        <color indexed="8"/>
      </top>
      <bottom style="medium">
        <color indexed="8"/>
      </bottom>
      <diagonal/>
    </border>
    <border>
      <left/>
      <right/>
      <top style="thin">
        <color indexed="8"/>
      </top>
      <bottom style="medium">
        <color indexed="8"/>
      </bottom>
      <diagonal/>
    </border>
    <border>
      <left style="thin">
        <color indexed="8"/>
      </left>
      <right style="thin">
        <color indexed="8"/>
      </right>
      <top style="thin">
        <color indexed="8"/>
      </top>
      <bottom/>
      <diagonal/>
    </border>
    <border>
      <left style="thin">
        <color indexed="8"/>
      </left>
      <right style="medium">
        <color indexed="8"/>
      </right>
      <top style="thin">
        <color indexed="8"/>
      </top>
      <bottom style="thin">
        <color indexed="8"/>
      </bottom>
      <diagonal/>
    </border>
    <border>
      <left style="thin">
        <color indexed="8"/>
      </left>
      <right style="thin">
        <color indexed="8"/>
      </right>
      <top/>
      <bottom style="medium">
        <color indexed="8"/>
      </bottom>
      <diagonal/>
    </border>
    <border>
      <left style="thin">
        <color indexed="8"/>
      </left>
      <right style="medium">
        <color indexed="8"/>
      </right>
      <top style="thin">
        <color indexed="8"/>
      </top>
      <bottom style="medium">
        <color indexed="8"/>
      </bottom>
      <diagonal/>
    </border>
    <border>
      <left style="medium">
        <color indexed="8"/>
      </left>
      <right style="thin">
        <color indexed="8"/>
      </right>
      <top style="medium">
        <color indexed="8"/>
      </top>
      <bottom style="thin">
        <color indexed="8"/>
      </bottom>
      <diagonal/>
    </border>
    <border>
      <left style="thin">
        <color indexed="8"/>
      </left>
      <right style="medium">
        <color indexed="8"/>
      </right>
      <top style="medium">
        <color indexed="8"/>
      </top>
      <bottom style="thin">
        <color indexed="8"/>
      </bottom>
      <diagonal/>
    </border>
    <border>
      <left style="medium">
        <color indexed="8"/>
      </left>
      <right style="thin">
        <color indexed="8"/>
      </right>
      <top style="thin">
        <color indexed="8"/>
      </top>
      <bottom style="thin">
        <color indexed="8"/>
      </bottom>
      <diagonal/>
    </border>
    <border>
      <left/>
      <right style="medium">
        <color indexed="8"/>
      </right>
      <top/>
      <bottom/>
      <diagonal/>
    </border>
    <border>
      <left style="thin">
        <color indexed="8"/>
      </left>
      <right style="thin">
        <color indexed="8"/>
      </right>
      <top style="thin">
        <color indexed="8"/>
      </top>
      <bottom style="thin">
        <color indexed="23"/>
      </bottom>
      <diagonal/>
    </border>
    <border>
      <left/>
      <right style="medium">
        <color indexed="8"/>
      </right>
      <top style="thin">
        <color indexed="8"/>
      </top>
      <bottom/>
      <diagonal/>
    </border>
    <border>
      <left/>
      <right style="medium">
        <color indexed="8"/>
      </right>
      <top style="hair">
        <color indexed="8"/>
      </top>
      <bottom/>
      <diagonal/>
    </border>
    <border>
      <left style="medium">
        <color indexed="8"/>
      </left>
      <right style="thin">
        <color indexed="8"/>
      </right>
      <top style="thin">
        <color indexed="8"/>
      </top>
      <bottom style="medium">
        <color indexed="8"/>
      </bottom>
      <diagonal/>
    </border>
    <border>
      <left/>
      <right style="medium">
        <color indexed="8"/>
      </right>
      <top/>
      <bottom style="medium">
        <color indexed="8"/>
      </bottom>
      <diagonal/>
    </border>
    <border>
      <left style="medium">
        <color indexed="8"/>
      </left>
      <right style="hair">
        <color indexed="8"/>
      </right>
      <top style="medium">
        <color indexed="8"/>
      </top>
      <bottom style="thin">
        <color indexed="8"/>
      </bottom>
      <diagonal/>
    </border>
    <border>
      <left style="hair">
        <color indexed="8"/>
      </left>
      <right style="hair">
        <color indexed="8"/>
      </right>
      <top style="medium">
        <color indexed="8"/>
      </top>
      <bottom style="thin">
        <color indexed="8"/>
      </bottom>
      <diagonal/>
    </border>
    <border>
      <left style="hair">
        <color indexed="8"/>
      </left>
      <right style="hair">
        <color indexed="8"/>
      </right>
      <top style="medium">
        <color indexed="8"/>
      </top>
      <bottom style="hair">
        <color indexed="8"/>
      </bottom>
      <diagonal/>
    </border>
    <border>
      <left style="hair">
        <color indexed="8"/>
      </left>
      <right style="medium">
        <color indexed="8"/>
      </right>
      <top style="medium">
        <color indexed="8"/>
      </top>
      <bottom style="thin">
        <color indexed="8"/>
      </bottom>
      <diagonal/>
    </border>
    <border>
      <left style="medium">
        <color indexed="8"/>
      </left>
      <right/>
      <top style="hair">
        <color indexed="8"/>
      </top>
      <bottom style="hair">
        <color indexed="8"/>
      </bottom>
      <diagonal/>
    </border>
    <border>
      <left style="thin">
        <color indexed="8"/>
      </left>
      <right style="hair">
        <color indexed="8"/>
      </right>
      <top style="thin">
        <color indexed="8"/>
      </top>
      <bottom style="hair">
        <color indexed="8"/>
      </bottom>
      <diagonal/>
    </border>
    <border>
      <left style="hair">
        <color indexed="8"/>
      </left>
      <right style="hair">
        <color indexed="8"/>
      </right>
      <top style="hair">
        <color indexed="8"/>
      </top>
      <bottom style="hair">
        <color indexed="8"/>
      </bottom>
      <diagonal/>
    </border>
    <border>
      <left style="hair">
        <color indexed="8"/>
      </left>
      <right style="hair">
        <color indexed="8"/>
      </right>
      <top style="thin">
        <color indexed="8"/>
      </top>
      <bottom style="hair">
        <color indexed="8"/>
      </bottom>
      <diagonal/>
    </border>
    <border>
      <left/>
      <right style="hair">
        <color indexed="8"/>
      </right>
      <top style="hair">
        <color indexed="8"/>
      </top>
      <bottom style="hair">
        <color indexed="8"/>
      </bottom>
      <diagonal/>
    </border>
    <border>
      <left style="thin">
        <color indexed="8"/>
      </left>
      <right style="hair">
        <color indexed="8"/>
      </right>
      <top style="hair">
        <color indexed="8"/>
      </top>
      <bottom style="hair">
        <color indexed="8"/>
      </bottom>
      <diagonal/>
    </border>
    <border>
      <left style="medium">
        <color indexed="8"/>
      </left>
      <right style="thin">
        <color indexed="8"/>
      </right>
      <top style="thin">
        <color indexed="8"/>
      </top>
      <bottom/>
      <diagonal/>
    </border>
    <border>
      <left style="thin">
        <color indexed="8"/>
      </left>
      <right style="hair">
        <color indexed="8"/>
      </right>
      <top style="hair">
        <color indexed="8"/>
      </top>
      <bottom style="thin">
        <color indexed="8"/>
      </bottom>
      <diagonal/>
    </border>
    <border>
      <left style="medium">
        <color indexed="8"/>
      </left>
      <right style="thin">
        <color indexed="8"/>
      </right>
      <top style="hair">
        <color indexed="8"/>
      </top>
      <bottom style="thin">
        <color indexed="8"/>
      </bottom>
      <diagonal/>
    </border>
    <border>
      <left style="thin">
        <color indexed="8"/>
      </left>
      <right style="thin">
        <color indexed="8"/>
      </right>
      <top style="hair">
        <color indexed="8"/>
      </top>
      <bottom style="thin">
        <color indexed="8"/>
      </bottom>
      <diagonal/>
    </border>
    <border>
      <left style="thin">
        <color indexed="8"/>
      </left>
      <right style="hair">
        <color indexed="8"/>
      </right>
      <top style="thin">
        <color indexed="8"/>
      </top>
      <bottom style="medium">
        <color indexed="8"/>
      </bottom>
      <diagonal/>
    </border>
    <border>
      <left/>
      <right/>
      <top/>
      <bottom style="medium">
        <color indexed="8"/>
      </bottom>
      <diagonal/>
    </border>
    <border>
      <left style="medium">
        <color indexed="8"/>
      </left>
      <right style="thin">
        <color indexed="8"/>
      </right>
      <top style="medium">
        <color indexed="8"/>
      </top>
      <bottom style="medium">
        <color indexed="8"/>
      </bottom>
      <diagonal/>
    </border>
    <border>
      <left style="medium">
        <color indexed="8"/>
      </left>
      <right style="thin">
        <color indexed="8"/>
      </right>
      <top/>
      <bottom style="thin">
        <color indexed="8"/>
      </bottom>
      <diagonal/>
    </border>
    <border>
      <left style="thin">
        <color indexed="8"/>
      </left>
      <right style="medium">
        <color indexed="8"/>
      </right>
      <top/>
      <bottom style="thin">
        <color indexed="8"/>
      </bottom>
      <diagonal/>
    </border>
    <border>
      <left/>
      <right style="thin">
        <color indexed="8"/>
      </right>
      <top style="thin">
        <color indexed="8"/>
      </top>
      <bottom style="thin">
        <color indexed="8"/>
      </bottom>
      <diagonal/>
    </border>
    <border>
      <left style="hair">
        <color indexed="8"/>
      </left>
      <right style="hair">
        <color indexed="8"/>
      </right>
      <top style="hair">
        <color indexed="8"/>
      </top>
      <bottom style="thin">
        <color indexed="8"/>
      </bottom>
      <diagonal/>
    </border>
    <border>
      <left style="thin">
        <color indexed="8"/>
      </left>
      <right style="medium">
        <color indexed="8"/>
      </right>
      <top style="medium">
        <color indexed="8"/>
      </top>
      <bottom style="medium">
        <color indexed="8"/>
      </bottom>
      <diagonal/>
    </border>
    <border>
      <left/>
      <right/>
      <top/>
      <bottom style="thin">
        <color indexed="8"/>
      </bottom>
      <diagonal/>
    </border>
    <border>
      <left/>
      <right/>
      <top style="thin">
        <color indexed="8"/>
      </top>
      <bottom style="thin">
        <color indexed="8"/>
      </bottom>
      <diagonal/>
    </border>
    <border>
      <left/>
      <right/>
      <top style="thin">
        <color indexed="8"/>
      </top>
      <bottom/>
      <diagonal/>
    </border>
    <border>
      <left/>
      <right style="thin">
        <color indexed="8"/>
      </right>
      <top style="thin">
        <color indexed="8"/>
      </top>
      <bottom style="medium">
        <color indexed="8"/>
      </bottom>
      <diagonal/>
    </border>
    <border>
      <left style="medium">
        <color indexed="8"/>
      </left>
      <right style="thin">
        <color indexed="23"/>
      </right>
      <top style="medium">
        <color indexed="8"/>
      </top>
      <bottom style="medium">
        <color indexed="8"/>
      </bottom>
      <diagonal/>
    </border>
    <border>
      <left style="thin">
        <color indexed="23"/>
      </left>
      <right style="thin">
        <color indexed="23"/>
      </right>
      <top style="medium">
        <color indexed="8"/>
      </top>
      <bottom style="medium">
        <color indexed="8"/>
      </bottom>
      <diagonal/>
    </border>
    <border>
      <left style="thin">
        <color indexed="23"/>
      </left>
      <right style="medium">
        <color indexed="8"/>
      </right>
      <top style="medium">
        <color indexed="8"/>
      </top>
      <bottom style="medium">
        <color indexed="8"/>
      </bottom>
      <diagonal/>
    </border>
    <border>
      <left style="medium">
        <color indexed="8"/>
      </left>
      <right style="medium">
        <color indexed="8"/>
      </right>
      <top style="medium">
        <color indexed="8"/>
      </top>
      <bottom style="thin">
        <color indexed="23"/>
      </bottom>
      <diagonal/>
    </border>
    <border>
      <left style="medium">
        <color indexed="8"/>
      </left>
      <right style="thin">
        <color indexed="23"/>
      </right>
      <top style="thin">
        <color indexed="23"/>
      </top>
      <bottom style="medium">
        <color indexed="8"/>
      </bottom>
      <diagonal/>
    </border>
    <border>
      <left style="thin">
        <color indexed="23"/>
      </left>
      <right style="thin">
        <color indexed="23"/>
      </right>
      <top style="thin">
        <color indexed="23"/>
      </top>
      <bottom style="medium">
        <color indexed="8"/>
      </bottom>
      <diagonal/>
    </border>
    <border>
      <left style="thin">
        <color indexed="23"/>
      </left>
      <right style="medium">
        <color indexed="8"/>
      </right>
      <top style="thin">
        <color indexed="23"/>
      </top>
      <bottom style="medium">
        <color indexed="8"/>
      </bottom>
      <diagonal/>
    </border>
    <border>
      <left style="medium">
        <color indexed="8"/>
      </left>
      <right/>
      <top style="thin">
        <color indexed="23"/>
      </top>
      <bottom style="medium">
        <color indexed="8"/>
      </bottom>
      <diagonal/>
    </border>
    <border>
      <left/>
      <right style="thin">
        <color indexed="23"/>
      </right>
      <top style="thin">
        <color indexed="23"/>
      </top>
      <bottom style="medium">
        <color indexed="8"/>
      </bottom>
      <diagonal/>
    </border>
    <border>
      <left style="medium">
        <color indexed="8"/>
      </left>
      <right style="medium">
        <color indexed="8"/>
      </right>
      <top style="thin">
        <color indexed="23"/>
      </top>
      <bottom/>
      <diagonal/>
    </border>
    <border>
      <left style="medium">
        <color indexed="8"/>
      </left>
      <right style="medium">
        <color indexed="8"/>
      </right>
      <top/>
      <bottom style="medium">
        <color indexed="8"/>
      </bottom>
      <diagonal/>
    </border>
    <border>
      <left style="thin">
        <color indexed="23"/>
      </left>
      <right style="thin">
        <color indexed="8"/>
      </right>
      <top style="medium">
        <color indexed="8"/>
      </top>
      <bottom style="thin">
        <color indexed="23"/>
      </bottom>
      <diagonal/>
    </border>
    <border>
      <left style="thin">
        <color indexed="23"/>
      </left>
      <right style="thin">
        <color indexed="8"/>
      </right>
      <top style="thin">
        <color indexed="23"/>
      </top>
      <bottom style="thin">
        <color indexed="23"/>
      </bottom>
      <diagonal/>
    </border>
    <border>
      <left/>
      <right style="medium">
        <color indexed="8"/>
      </right>
      <top style="medium">
        <color indexed="8"/>
      </top>
      <bottom style="medium">
        <color indexed="8"/>
      </bottom>
      <diagonal/>
    </border>
    <border>
      <left style="thin">
        <color indexed="23"/>
      </left>
      <right/>
      <top style="thin">
        <color indexed="23"/>
      </top>
      <bottom style="thin">
        <color indexed="23"/>
      </bottom>
      <diagonal/>
    </border>
    <border>
      <left/>
      <right style="medium">
        <color indexed="8"/>
      </right>
      <top style="thin">
        <color indexed="23"/>
      </top>
      <bottom style="thin">
        <color indexed="23"/>
      </bottom>
      <diagonal/>
    </border>
    <border>
      <left style="thin">
        <color indexed="23"/>
      </left>
      <right/>
      <top style="thin">
        <color indexed="23"/>
      </top>
      <bottom style="medium">
        <color indexed="8"/>
      </bottom>
      <diagonal/>
    </border>
    <border>
      <left/>
      <right style="medium">
        <color indexed="8"/>
      </right>
      <top style="thin">
        <color indexed="23"/>
      </top>
      <bottom style="medium">
        <color indexed="8"/>
      </bottom>
      <diagonal/>
    </border>
    <border>
      <left style="medium">
        <color indexed="8"/>
      </left>
      <right style="hair">
        <color indexed="23"/>
      </right>
      <top style="hair">
        <color indexed="23"/>
      </top>
      <bottom style="medium">
        <color indexed="8"/>
      </bottom>
      <diagonal/>
    </border>
    <border>
      <left style="thin">
        <color indexed="23"/>
      </left>
      <right style="medium">
        <color indexed="8"/>
      </right>
      <top style="hair">
        <color indexed="23"/>
      </top>
      <bottom style="medium">
        <color indexed="8"/>
      </bottom>
      <diagonal/>
    </border>
    <border>
      <left style="medium">
        <color indexed="8"/>
      </left>
      <right style="thin">
        <color indexed="8"/>
      </right>
      <top style="medium">
        <color indexed="8"/>
      </top>
      <bottom style="thin">
        <color indexed="23"/>
      </bottom>
      <diagonal/>
    </border>
    <border>
      <left style="thin">
        <color indexed="8"/>
      </left>
      <right style="thin">
        <color indexed="55"/>
      </right>
      <top style="medium">
        <color indexed="8"/>
      </top>
      <bottom style="thin">
        <color indexed="23"/>
      </bottom>
      <diagonal/>
    </border>
    <border>
      <left style="medium">
        <color indexed="8"/>
      </left>
      <right style="double">
        <color indexed="8"/>
      </right>
      <top style="thin">
        <color indexed="8"/>
      </top>
      <bottom style="double">
        <color indexed="8"/>
      </bottom>
      <diagonal/>
    </border>
    <border>
      <left style="thin">
        <color indexed="8"/>
      </left>
      <right style="thin">
        <color indexed="8"/>
      </right>
      <top style="thin">
        <color indexed="8"/>
      </top>
      <bottom style="double">
        <color indexed="8"/>
      </bottom>
      <diagonal/>
    </border>
    <border>
      <left style="thin">
        <color indexed="8"/>
      </left>
      <right style="double">
        <color indexed="8"/>
      </right>
      <top style="thin">
        <color indexed="8"/>
      </top>
      <bottom style="double">
        <color indexed="8"/>
      </bottom>
      <diagonal/>
    </border>
    <border>
      <left style="medium">
        <color indexed="8"/>
      </left>
      <right style="double">
        <color indexed="8"/>
      </right>
      <top style="thin">
        <color indexed="8"/>
      </top>
      <bottom style="thin">
        <color indexed="8"/>
      </bottom>
      <diagonal/>
    </border>
    <border>
      <left style="thin">
        <color indexed="8"/>
      </left>
      <right style="double">
        <color indexed="8"/>
      </right>
      <top style="thin">
        <color indexed="8"/>
      </top>
      <bottom style="thin">
        <color indexed="8"/>
      </bottom>
      <diagonal/>
    </border>
    <border>
      <left style="thin">
        <color indexed="55"/>
      </left>
      <right style="medium">
        <color indexed="8"/>
      </right>
      <top style="medium">
        <color indexed="8"/>
      </top>
      <bottom style="thin">
        <color indexed="23"/>
      </bottom>
      <diagonal/>
    </border>
    <border>
      <left style="medium">
        <color indexed="8"/>
      </left>
      <right style="double">
        <color indexed="8"/>
      </right>
      <top/>
      <bottom style="medium">
        <color indexed="8"/>
      </bottom>
      <diagonal/>
    </border>
    <border>
      <left style="thin">
        <color indexed="8"/>
      </left>
      <right style="double">
        <color indexed="8"/>
      </right>
      <top style="thin">
        <color indexed="8"/>
      </top>
      <bottom style="medium">
        <color indexed="8"/>
      </bottom>
      <diagonal/>
    </border>
    <border>
      <left style="medium">
        <color indexed="8"/>
      </left>
      <right/>
      <top style="thin">
        <color indexed="8"/>
      </top>
      <bottom style="double">
        <color indexed="8"/>
      </bottom>
      <diagonal/>
    </border>
    <border>
      <left style="medium">
        <color indexed="8"/>
      </left>
      <right/>
      <top style="thin">
        <color indexed="8"/>
      </top>
      <bottom style="thin">
        <color indexed="8"/>
      </bottom>
      <diagonal/>
    </border>
    <border>
      <left/>
      <right/>
      <top style="medium">
        <color indexed="8"/>
      </top>
      <bottom/>
      <diagonal/>
    </border>
    <border>
      <left style="thick">
        <color indexed="25"/>
      </left>
      <right style="thick">
        <color indexed="25"/>
      </right>
      <top style="thick">
        <color indexed="25"/>
      </top>
      <bottom style="medium">
        <color indexed="8"/>
      </bottom>
      <diagonal/>
    </border>
    <border>
      <left style="thick">
        <color indexed="25"/>
      </left>
      <right style="thin">
        <color indexed="8"/>
      </right>
      <top style="medium">
        <color indexed="8"/>
      </top>
      <bottom style="thin">
        <color indexed="8"/>
      </bottom>
      <diagonal/>
    </border>
    <border>
      <left style="thin">
        <color indexed="8"/>
      </left>
      <right style="thin">
        <color indexed="23"/>
      </right>
      <top style="medium">
        <color indexed="8"/>
      </top>
      <bottom style="thin">
        <color indexed="8"/>
      </bottom>
      <diagonal/>
    </border>
    <border>
      <left style="thin">
        <color indexed="23"/>
      </left>
      <right style="thick">
        <color indexed="25"/>
      </right>
      <top style="medium">
        <color indexed="8"/>
      </top>
      <bottom style="thin">
        <color indexed="8"/>
      </bottom>
      <diagonal/>
    </border>
    <border>
      <left style="thick">
        <color indexed="25"/>
      </left>
      <right style="thin">
        <color indexed="8"/>
      </right>
      <top style="thin">
        <color indexed="8"/>
      </top>
      <bottom style="thin">
        <color indexed="8"/>
      </bottom>
      <diagonal/>
    </border>
    <border>
      <left style="thin">
        <color indexed="8"/>
      </left>
      <right/>
      <top style="thin">
        <color indexed="8"/>
      </top>
      <bottom style="thin">
        <color indexed="8"/>
      </bottom>
      <diagonal/>
    </border>
    <border>
      <left/>
      <right style="thick">
        <color indexed="25"/>
      </right>
      <top style="thin">
        <color indexed="8"/>
      </top>
      <bottom style="thin">
        <color indexed="8"/>
      </bottom>
      <diagonal/>
    </border>
    <border>
      <left style="thick">
        <color indexed="25"/>
      </left>
      <right style="double">
        <color indexed="8"/>
      </right>
      <top style="thin">
        <color indexed="8"/>
      </top>
      <bottom style="thin">
        <color indexed="8"/>
      </bottom>
      <diagonal/>
    </border>
    <border>
      <left style="thick">
        <color indexed="25"/>
      </left>
      <right style="thin">
        <color indexed="8"/>
      </right>
      <top style="thin">
        <color indexed="8"/>
      </top>
      <bottom style="thick">
        <color indexed="25"/>
      </bottom>
      <diagonal/>
    </border>
    <border>
      <left style="thin">
        <color indexed="8"/>
      </left>
      <right/>
      <top style="thin">
        <color indexed="8"/>
      </top>
      <bottom style="thick">
        <color indexed="25"/>
      </bottom>
      <diagonal/>
    </border>
    <border>
      <left/>
      <right style="thick">
        <color indexed="25"/>
      </right>
      <top style="thin">
        <color indexed="8"/>
      </top>
      <bottom style="thick">
        <color indexed="25"/>
      </bottom>
      <diagonal/>
    </border>
    <border>
      <left style="medium">
        <color indexed="8"/>
      </left>
      <right style="double">
        <color indexed="8"/>
      </right>
      <top style="thin">
        <color indexed="8"/>
      </top>
      <bottom style="medium">
        <color indexed="8"/>
      </bottom>
      <diagonal/>
    </border>
    <border>
      <left style="medium">
        <color indexed="8"/>
      </left>
      <right/>
      <top/>
      <bottom/>
      <diagonal/>
    </border>
    <border>
      <left style="medium">
        <color indexed="8"/>
      </left>
      <right style="medium">
        <color indexed="8"/>
      </right>
      <top style="thin">
        <color indexed="8"/>
      </top>
      <bottom style="double">
        <color indexed="8"/>
      </bottom>
      <diagonal/>
    </border>
    <border>
      <left style="thin">
        <color indexed="8"/>
      </left>
      <right/>
      <top style="medium">
        <color indexed="8"/>
      </top>
      <bottom style="thin">
        <color indexed="8"/>
      </bottom>
      <diagonal/>
    </border>
    <border>
      <left/>
      <right style="medium">
        <color indexed="8"/>
      </right>
      <top style="medium">
        <color indexed="8"/>
      </top>
      <bottom style="thin">
        <color indexed="8"/>
      </bottom>
      <diagonal/>
    </border>
    <border>
      <left style="thin">
        <color indexed="8"/>
      </left>
      <right style="medium">
        <color indexed="8"/>
      </right>
      <top style="thin">
        <color indexed="8"/>
      </top>
      <bottom style="double">
        <color indexed="8"/>
      </bottom>
      <diagonal/>
    </border>
    <border>
      <left/>
      <right style="medium">
        <color indexed="8"/>
      </right>
      <top style="medium">
        <color indexed="8"/>
      </top>
      <bottom/>
      <diagonal/>
    </border>
    <border>
      <left style="double">
        <color indexed="8"/>
      </left>
      <right style="double">
        <color indexed="8"/>
      </right>
      <top style="medium">
        <color indexed="8"/>
      </top>
      <bottom style="thin">
        <color indexed="8"/>
      </bottom>
      <diagonal/>
    </border>
    <border>
      <left style="double">
        <color indexed="8"/>
      </left>
      <right style="double">
        <color indexed="8"/>
      </right>
      <top style="thin">
        <color indexed="8"/>
      </top>
      <bottom style="thin">
        <color indexed="8"/>
      </bottom>
      <diagonal/>
    </border>
    <border>
      <left style="double">
        <color indexed="8"/>
      </left>
      <right style="thin">
        <color indexed="8"/>
      </right>
      <top style="thin">
        <color indexed="8"/>
      </top>
      <bottom style="thin">
        <color indexed="8"/>
      </bottom>
      <diagonal/>
    </border>
    <border>
      <left style="medium">
        <color indexed="8"/>
      </left>
      <right style="medium">
        <color indexed="8"/>
      </right>
      <top/>
      <bottom style="thin">
        <color indexed="8"/>
      </bottom>
      <diagonal/>
    </border>
    <border>
      <left style="double">
        <color indexed="8"/>
      </left>
      <right style="thin">
        <color indexed="8"/>
      </right>
      <top style="thin">
        <color indexed="8"/>
      </top>
      <bottom style="medium">
        <color indexed="8"/>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style="medium">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Dashed">
        <color indexed="64"/>
      </left>
      <right style="medium">
        <color indexed="64"/>
      </right>
      <top/>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bottom style="medium">
        <color indexed="64"/>
      </bottom>
      <diagonal/>
    </border>
    <border>
      <left style="thin">
        <color indexed="64"/>
      </left>
      <right/>
      <top/>
      <bottom/>
      <diagonal/>
    </border>
    <border>
      <left/>
      <right style="medium">
        <color indexed="64"/>
      </right>
      <top/>
      <bottom/>
      <diagonal/>
    </border>
    <border>
      <left style="medium">
        <color indexed="64"/>
      </left>
      <right style="thin">
        <color indexed="64"/>
      </right>
      <top/>
      <bottom/>
      <diagonal/>
    </border>
    <border>
      <left style="medium">
        <color indexed="64"/>
      </left>
      <right/>
      <top/>
      <bottom style="medium">
        <color indexed="64"/>
      </bottom>
      <diagonal/>
    </border>
    <border>
      <left style="thin">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thin">
        <color indexed="64"/>
      </right>
      <top/>
      <bottom style="thin">
        <color indexed="64"/>
      </bottom>
      <diagonal/>
    </border>
    <border>
      <left style="medium">
        <color indexed="64"/>
      </left>
      <right style="thin">
        <color indexed="64"/>
      </right>
      <top style="thin">
        <color indexed="64"/>
      </top>
      <bottom/>
      <diagonal/>
    </border>
    <border>
      <left/>
      <right style="mediumDashed">
        <color indexed="64"/>
      </right>
      <top/>
      <bottom/>
      <diagonal/>
    </border>
    <border>
      <left style="medium">
        <color indexed="64"/>
      </left>
      <right style="medium">
        <color indexed="64"/>
      </right>
      <top/>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style="mediumDashed">
        <color indexed="64"/>
      </right>
      <top/>
      <bottom/>
      <diagonal/>
    </border>
    <border>
      <left style="medium">
        <color indexed="64"/>
      </left>
      <right/>
      <top style="thin">
        <color indexed="64"/>
      </top>
      <bottom style="medium">
        <color indexed="64"/>
      </bottom>
      <diagonal/>
    </border>
    <border>
      <left/>
      <right style="thin">
        <color indexed="64"/>
      </right>
      <top style="thin">
        <color indexed="64"/>
      </top>
      <bottom style="medium">
        <color indexed="64"/>
      </bottom>
      <diagonal/>
    </border>
    <border>
      <left style="medium">
        <color indexed="64"/>
      </left>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thin">
        <color indexed="8"/>
      </bottom>
      <diagonal/>
    </border>
    <border>
      <left/>
      <right/>
      <top style="medium">
        <color indexed="64"/>
      </top>
      <bottom style="thin">
        <color indexed="8"/>
      </bottom>
      <diagonal/>
    </border>
    <border>
      <left/>
      <right style="medium">
        <color indexed="64"/>
      </right>
      <top style="medium">
        <color indexed="64"/>
      </top>
      <bottom style="thin">
        <color indexed="8"/>
      </bottom>
      <diagonal/>
    </border>
    <border>
      <left style="medium">
        <color indexed="64"/>
      </left>
      <right/>
      <top style="thin">
        <color indexed="8"/>
      </top>
      <bottom/>
      <diagonal/>
    </border>
    <border>
      <left/>
      <right style="medium">
        <color indexed="64"/>
      </right>
      <top style="thin">
        <color indexed="8"/>
      </top>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right style="thin">
        <color indexed="64"/>
      </right>
      <top style="medium">
        <color indexed="64"/>
      </top>
      <bottom style="double">
        <color indexed="64"/>
      </bottom>
      <diagonal/>
    </border>
    <border>
      <left/>
      <right style="thin">
        <color indexed="64"/>
      </right>
      <top/>
      <bottom style="thin">
        <color indexed="64"/>
      </bottom>
      <diagonal/>
    </border>
    <border>
      <left/>
      <right style="thin">
        <color indexed="64"/>
      </right>
      <top style="thin">
        <color indexed="64"/>
      </top>
      <bottom style="thin">
        <color indexed="64"/>
      </bottom>
      <diagonal/>
    </border>
    <border>
      <left/>
      <right style="thin">
        <color indexed="64"/>
      </right>
      <top style="thin">
        <color indexed="64"/>
      </top>
      <bottom/>
      <diagonal/>
    </border>
    <border>
      <left style="medium">
        <color indexed="8"/>
      </left>
      <right/>
      <top style="medium">
        <color indexed="8"/>
      </top>
      <bottom style="thin">
        <color indexed="8"/>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double">
        <color indexed="64"/>
      </bottom>
      <diagonal/>
    </border>
    <border>
      <left style="thin">
        <color indexed="64"/>
      </left>
      <right style="medium">
        <color indexed="64"/>
      </right>
      <top style="medium">
        <color indexed="64"/>
      </top>
      <bottom style="double">
        <color indexed="64"/>
      </bottom>
      <diagonal/>
    </border>
    <border>
      <left style="thin">
        <color indexed="64"/>
      </left>
      <right style="medium">
        <color indexed="64"/>
      </right>
      <top/>
      <bottom style="thin">
        <color indexed="64"/>
      </bottom>
      <diagonal/>
    </border>
    <border>
      <left style="thin">
        <color indexed="64"/>
      </left>
      <right style="medium">
        <color indexed="64"/>
      </right>
      <top style="thin">
        <color indexed="64"/>
      </top>
      <bottom/>
      <diagonal/>
    </border>
    <border>
      <left style="medium">
        <color indexed="64"/>
      </left>
      <right style="medium">
        <color indexed="64"/>
      </right>
      <top style="medium">
        <color indexed="64"/>
      </top>
      <bottom style="double">
        <color indexed="64"/>
      </bottom>
      <diagonal/>
    </border>
    <border>
      <left style="medium">
        <color indexed="64"/>
      </left>
      <right style="medium">
        <color indexed="64"/>
      </right>
      <top/>
      <bottom style="thin">
        <color indexed="64"/>
      </bottom>
      <diagonal/>
    </border>
    <border>
      <left style="medium">
        <color indexed="64"/>
      </left>
      <right style="medium">
        <color indexed="64"/>
      </right>
      <top style="thin">
        <color indexed="64"/>
      </top>
      <bottom/>
      <diagonal/>
    </border>
    <border>
      <left style="medium">
        <color indexed="64"/>
      </left>
      <right style="thin">
        <color indexed="8"/>
      </right>
      <top style="medium">
        <color indexed="64"/>
      </top>
      <bottom style="medium">
        <color indexed="64"/>
      </bottom>
      <diagonal/>
    </border>
    <border>
      <left style="thin">
        <color indexed="8"/>
      </left>
      <right style="medium">
        <color indexed="64"/>
      </right>
      <top style="medium">
        <color indexed="64"/>
      </top>
      <bottom style="medium">
        <color indexed="64"/>
      </bottom>
      <diagonal/>
    </border>
    <border>
      <left style="medium">
        <color indexed="64"/>
      </left>
      <right style="thin">
        <color indexed="8"/>
      </right>
      <top style="medium">
        <color indexed="64"/>
      </top>
      <bottom style="thin">
        <color indexed="8"/>
      </bottom>
      <diagonal/>
    </border>
    <border>
      <left style="thin">
        <color indexed="8"/>
      </left>
      <right style="medium">
        <color indexed="64"/>
      </right>
      <top style="medium">
        <color indexed="64"/>
      </top>
      <bottom style="thin">
        <color indexed="8"/>
      </bottom>
      <diagonal/>
    </border>
    <border>
      <left style="medium">
        <color indexed="64"/>
      </left>
      <right style="thin">
        <color indexed="8"/>
      </right>
      <top style="thin">
        <color indexed="8"/>
      </top>
      <bottom style="medium">
        <color indexed="64"/>
      </bottom>
      <diagonal/>
    </border>
    <border>
      <left style="thin">
        <color indexed="8"/>
      </left>
      <right style="medium">
        <color indexed="64"/>
      </right>
      <top style="thin">
        <color indexed="8"/>
      </top>
      <bottom style="medium">
        <color indexed="64"/>
      </bottom>
      <diagonal/>
    </border>
    <border>
      <left style="thin">
        <color indexed="8"/>
      </left>
      <right style="thin">
        <color indexed="8"/>
      </right>
      <top style="medium">
        <color indexed="64"/>
      </top>
      <bottom style="medium">
        <color indexed="64"/>
      </bottom>
      <diagonal/>
    </border>
    <border>
      <left/>
      <right style="thin">
        <color indexed="8"/>
      </right>
      <top/>
      <bottom style="medium">
        <color indexed="64"/>
      </bottom>
      <diagonal/>
    </border>
    <border>
      <left style="medium">
        <color indexed="64"/>
      </left>
      <right/>
      <top style="thin">
        <color indexed="23"/>
      </top>
      <bottom style="medium">
        <color indexed="8"/>
      </bottom>
      <diagonal/>
    </border>
    <border>
      <left/>
      <right style="medium">
        <color indexed="64"/>
      </right>
      <top style="thin">
        <color indexed="23"/>
      </top>
      <bottom style="medium">
        <color indexed="8"/>
      </bottom>
      <diagonal/>
    </border>
    <border>
      <left style="medium">
        <color indexed="64"/>
      </left>
      <right style="thin">
        <color indexed="64"/>
      </right>
      <top style="thin">
        <color indexed="8"/>
      </top>
      <bottom/>
      <diagonal/>
    </border>
    <border>
      <left style="medium">
        <color indexed="64"/>
      </left>
      <right style="thin">
        <color indexed="8"/>
      </right>
      <top/>
      <bottom style="medium">
        <color indexed="64"/>
      </bottom>
      <diagonal/>
    </border>
    <border>
      <left style="thin">
        <color indexed="8"/>
      </left>
      <right/>
      <top style="thin">
        <color indexed="8"/>
      </top>
      <bottom style="medium">
        <color indexed="64"/>
      </bottom>
      <diagonal/>
    </border>
    <border>
      <left style="medium">
        <color indexed="64"/>
      </left>
      <right style="medium">
        <color indexed="64"/>
      </right>
      <top/>
      <bottom style="thin">
        <color indexed="8"/>
      </bottom>
      <diagonal/>
    </border>
    <border>
      <left style="medium">
        <color indexed="64"/>
      </left>
      <right style="medium">
        <color indexed="64"/>
      </right>
      <top style="thin">
        <color indexed="8"/>
      </top>
      <bottom style="thin">
        <color indexed="8"/>
      </bottom>
      <diagonal/>
    </border>
    <border>
      <left style="medium">
        <color indexed="64"/>
      </left>
      <right style="thin">
        <color indexed="64"/>
      </right>
      <top style="medium">
        <color indexed="64"/>
      </top>
      <bottom style="thin">
        <color indexed="8"/>
      </bottom>
      <diagonal/>
    </border>
    <border>
      <left style="thin">
        <color indexed="8"/>
      </left>
      <right style="thin">
        <color indexed="8"/>
      </right>
      <top/>
      <bottom/>
      <diagonal/>
    </border>
    <border>
      <left style="thin">
        <color indexed="23"/>
      </left>
      <right style="medium">
        <color indexed="8"/>
      </right>
      <top style="thin">
        <color indexed="23"/>
      </top>
      <bottom/>
      <diagonal/>
    </border>
    <border>
      <left style="thin">
        <color indexed="23"/>
      </left>
      <right style="thin">
        <color indexed="23"/>
      </right>
      <top style="thin">
        <color indexed="23"/>
      </top>
      <bottom/>
      <diagonal/>
    </border>
    <border>
      <left style="thin">
        <color indexed="23"/>
      </left>
      <right style="thin">
        <color indexed="23"/>
      </right>
      <top/>
      <bottom style="thin">
        <color indexed="23"/>
      </bottom>
      <diagonal/>
    </border>
    <border>
      <left/>
      <right style="thin">
        <color indexed="23"/>
      </right>
      <top style="thin">
        <color indexed="23"/>
      </top>
      <bottom/>
      <diagonal/>
    </border>
    <border>
      <left style="medium">
        <color indexed="8"/>
      </left>
      <right/>
      <top style="thin">
        <color indexed="23"/>
      </top>
      <bottom/>
      <diagonal/>
    </border>
    <border>
      <left/>
      <right/>
      <top style="thin">
        <color indexed="23"/>
      </top>
      <bottom/>
      <diagonal/>
    </border>
    <border>
      <left/>
      <right/>
      <top/>
      <bottom style="thin">
        <color indexed="23"/>
      </bottom>
      <diagonal/>
    </border>
    <border>
      <left style="medium">
        <color indexed="64"/>
      </left>
      <right/>
      <top style="thin">
        <color indexed="23"/>
      </top>
      <bottom/>
      <diagonal/>
    </border>
    <border>
      <left style="thin">
        <color indexed="23"/>
      </left>
      <right style="medium">
        <color indexed="64"/>
      </right>
      <top style="thin">
        <color indexed="23"/>
      </top>
      <bottom style="thin">
        <color indexed="23"/>
      </bottom>
      <diagonal/>
    </border>
    <border>
      <left style="medium">
        <color indexed="64"/>
      </left>
      <right/>
      <top/>
      <bottom style="thin">
        <color indexed="23"/>
      </bottom>
      <diagonal/>
    </border>
    <border>
      <left style="medium">
        <color indexed="64"/>
      </left>
      <right style="thin">
        <color indexed="23"/>
      </right>
      <top style="thin">
        <color indexed="23"/>
      </top>
      <bottom style="thin">
        <color indexed="23"/>
      </bottom>
      <diagonal/>
    </border>
    <border>
      <left style="medium">
        <color indexed="64"/>
      </left>
      <right style="thin">
        <color indexed="23"/>
      </right>
      <top style="thin">
        <color indexed="23"/>
      </top>
      <bottom style="medium">
        <color indexed="8"/>
      </bottom>
      <diagonal/>
    </border>
    <border>
      <left style="medium">
        <color indexed="64"/>
      </left>
      <right style="thin">
        <color indexed="23"/>
      </right>
      <top style="thin">
        <color indexed="23"/>
      </top>
      <bottom style="medium">
        <color indexed="64"/>
      </bottom>
      <diagonal/>
    </border>
    <border>
      <left style="medium">
        <color indexed="8"/>
      </left>
      <right style="thin">
        <color indexed="23"/>
      </right>
      <top style="thin">
        <color indexed="23"/>
      </top>
      <bottom style="medium">
        <color indexed="64"/>
      </bottom>
      <diagonal/>
    </border>
    <border>
      <left style="thin">
        <color indexed="23"/>
      </left>
      <right style="thin">
        <color indexed="23"/>
      </right>
      <top style="thin">
        <color indexed="23"/>
      </top>
      <bottom style="medium">
        <color indexed="64"/>
      </bottom>
      <diagonal/>
    </border>
    <border>
      <left style="thin">
        <color indexed="23"/>
      </left>
      <right style="medium">
        <color indexed="8"/>
      </right>
      <top style="thin">
        <color indexed="23"/>
      </top>
      <bottom style="medium">
        <color indexed="64"/>
      </bottom>
      <diagonal/>
    </border>
    <border>
      <left style="thin">
        <color indexed="23"/>
      </left>
      <right style="medium">
        <color indexed="64"/>
      </right>
      <top style="thin">
        <color indexed="23"/>
      </top>
      <bottom style="medium">
        <color indexed="64"/>
      </bottom>
      <diagonal/>
    </border>
    <border diagonalUp="1">
      <left style="thin">
        <color indexed="64"/>
      </left>
      <right style="thin">
        <color indexed="64"/>
      </right>
      <top style="thin">
        <color indexed="64"/>
      </top>
      <bottom style="thin">
        <color indexed="64"/>
      </bottom>
      <diagonal style="thin">
        <color indexed="64"/>
      </diagonal>
    </border>
    <border>
      <left/>
      <right style="thin">
        <color indexed="23"/>
      </right>
      <top style="medium">
        <color indexed="64"/>
      </top>
      <bottom style="medium">
        <color indexed="64"/>
      </bottom>
      <diagonal/>
    </border>
    <border>
      <left style="thin">
        <color indexed="23"/>
      </left>
      <right/>
      <top style="medium">
        <color indexed="64"/>
      </top>
      <bottom style="medium">
        <color indexed="64"/>
      </bottom>
      <diagonal/>
    </border>
    <border>
      <left/>
      <right style="thin">
        <color indexed="8"/>
      </right>
      <top/>
      <bottom/>
      <diagonal/>
    </border>
    <border>
      <left/>
      <right style="thin">
        <color indexed="8"/>
      </right>
      <top style="medium">
        <color indexed="64"/>
      </top>
      <bottom style="thin">
        <color indexed="23"/>
      </bottom>
      <diagonal/>
    </border>
    <border>
      <left style="medium">
        <color indexed="64"/>
      </left>
      <right style="medium">
        <color indexed="64"/>
      </right>
      <top/>
      <bottom style="medium">
        <color indexed="64"/>
      </bottom>
      <diagonal/>
    </border>
    <border>
      <left/>
      <right style="thin">
        <color indexed="8"/>
      </right>
      <top style="thin">
        <color indexed="8"/>
      </top>
      <bottom style="medium">
        <color indexed="64"/>
      </bottom>
      <diagonal/>
    </border>
    <border>
      <left/>
      <right style="medium">
        <color indexed="64"/>
      </right>
      <top style="hair">
        <color indexed="8"/>
      </top>
      <bottom style="medium">
        <color indexed="64"/>
      </bottom>
      <diagonal/>
    </border>
    <border>
      <left style="thin">
        <color indexed="23"/>
      </left>
      <right style="medium">
        <color indexed="64"/>
      </right>
      <top style="thin">
        <color indexed="23"/>
      </top>
      <bottom/>
      <diagonal/>
    </border>
    <border>
      <left style="thin">
        <color indexed="23"/>
      </left>
      <right style="medium">
        <color indexed="64"/>
      </right>
      <top/>
      <bottom style="thin">
        <color indexed="23"/>
      </bottom>
      <diagonal/>
    </border>
    <border>
      <left style="thin">
        <color auto="1"/>
      </left>
      <right style="thin">
        <color auto="1"/>
      </right>
      <top style="thin">
        <color auto="1"/>
      </top>
      <bottom style="thin">
        <color auto="1"/>
      </bottom>
      <diagonal/>
    </border>
    <border>
      <left style="thin">
        <color indexed="8"/>
      </left>
      <right/>
      <top style="medium">
        <color indexed="8"/>
      </top>
      <bottom style="medium">
        <color indexed="8"/>
      </bottom>
      <diagonal/>
    </border>
    <border>
      <left style="medium">
        <color indexed="8"/>
      </left>
      <right/>
      <top style="medium">
        <color indexed="8"/>
      </top>
      <bottom style="medium">
        <color indexed="8"/>
      </bottom>
      <diagonal/>
    </border>
    <border>
      <left/>
      <right style="thin">
        <color indexed="8"/>
      </right>
      <top style="medium">
        <color indexed="8"/>
      </top>
      <bottom style="medium">
        <color indexed="8"/>
      </bottom>
      <diagonal/>
    </border>
    <border>
      <left/>
      <right/>
      <top style="medium">
        <color indexed="8"/>
      </top>
      <bottom style="thin">
        <color indexed="8"/>
      </bottom>
      <diagonal/>
    </border>
    <border>
      <left style="thin">
        <color indexed="8"/>
      </left>
      <right style="thin">
        <color indexed="23"/>
      </right>
      <top style="thin">
        <color indexed="23"/>
      </top>
      <bottom/>
      <diagonal/>
    </border>
    <border>
      <left style="thin">
        <color indexed="8"/>
      </left>
      <right style="thin">
        <color indexed="23"/>
      </right>
      <top/>
      <bottom style="thin">
        <color indexed="23"/>
      </bottom>
      <diagonal/>
    </border>
    <border>
      <left style="thin">
        <color indexed="23"/>
      </left>
      <right style="thin">
        <color indexed="8"/>
      </right>
      <top style="thin">
        <color indexed="23"/>
      </top>
      <bottom/>
      <diagonal/>
    </border>
    <border>
      <left style="thin">
        <color indexed="23"/>
      </left>
      <right style="thin">
        <color indexed="8"/>
      </right>
      <top/>
      <bottom style="thin">
        <color indexed="23"/>
      </bottom>
      <diagonal/>
    </border>
    <border>
      <left style="medium">
        <color indexed="8"/>
      </left>
      <right/>
      <top/>
      <bottom style="medium">
        <color indexed="8"/>
      </bottom>
      <diagonal/>
    </border>
    <border>
      <left/>
      <right/>
      <top/>
      <bottom style="medium">
        <color indexed="8"/>
      </bottom>
      <diagonal/>
    </border>
    <border>
      <left/>
      <right style="medium">
        <color indexed="8"/>
      </right>
      <top/>
      <bottom style="medium">
        <color indexed="8"/>
      </bottom>
      <diagonal/>
    </border>
    <border>
      <left style="medium">
        <color indexed="8"/>
      </left>
      <right/>
      <top style="thin">
        <color indexed="23"/>
      </top>
      <bottom style="thin">
        <color indexed="23"/>
      </bottom>
      <diagonal/>
    </border>
    <border>
      <left/>
      <right/>
      <top style="thin">
        <color indexed="23"/>
      </top>
      <bottom style="thin">
        <color indexed="23"/>
      </bottom>
      <diagonal/>
    </border>
    <border>
      <left/>
      <right style="thin">
        <color indexed="23"/>
      </right>
      <top style="thin">
        <color indexed="23"/>
      </top>
      <bottom style="thin">
        <color indexed="23"/>
      </bottom>
      <diagonal/>
    </border>
    <border>
      <left style="medium">
        <color indexed="8"/>
      </left>
      <right/>
      <top style="medium">
        <color indexed="8"/>
      </top>
      <bottom style="thin">
        <color indexed="23"/>
      </bottom>
      <diagonal/>
    </border>
    <border>
      <left/>
      <right/>
      <top style="medium">
        <color indexed="8"/>
      </top>
      <bottom style="thin">
        <color indexed="23"/>
      </bottom>
      <diagonal/>
    </border>
    <border>
      <left/>
      <right style="thin">
        <color indexed="23"/>
      </right>
      <top style="medium">
        <color indexed="8"/>
      </top>
      <bottom style="thin">
        <color indexed="23"/>
      </bottom>
      <diagonal/>
    </border>
    <border>
      <left style="medium">
        <color indexed="8"/>
      </left>
      <right style="thin">
        <color indexed="23"/>
      </right>
      <top style="thin">
        <color indexed="23"/>
      </top>
      <bottom/>
      <diagonal/>
    </border>
    <border>
      <left style="medium">
        <color indexed="8"/>
      </left>
      <right style="thin">
        <color indexed="23"/>
      </right>
      <top/>
      <bottom style="thin">
        <color indexed="23"/>
      </bottom>
      <diagonal/>
    </border>
    <border>
      <left/>
      <right style="medium">
        <color indexed="8"/>
      </right>
      <top style="thin">
        <color indexed="23"/>
      </top>
      <bottom/>
      <diagonal/>
    </border>
    <border>
      <left style="medium">
        <color indexed="8"/>
      </left>
      <right/>
      <top/>
      <bottom style="thin">
        <color indexed="23"/>
      </bottom>
      <diagonal/>
    </border>
    <border>
      <left/>
      <right style="thin">
        <color indexed="23"/>
      </right>
      <top/>
      <bottom style="thin">
        <color indexed="23"/>
      </bottom>
      <diagonal/>
    </border>
    <border>
      <left style="thin">
        <color indexed="23"/>
      </left>
      <right style="medium">
        <color indexed="8"/>
      </right>
      <top/>
      <bottom style="thin">
        <color indexed="23"/>
      </bottom>
      <diagonal/>
    </border>
    <border>
      <left style="medium">
        <color indexed="8"/>
      </left>
      <right/>
      <top style="medium">
        <color indexed="8"/>
      </top>
      <bottom/>
      <diagonal/>
    </border>
    <border>
      <left/>
      <right style="medium">
        <color indexed="8"/>
      </right>
      <top/>
      <bottom style="thin">
        <color indexed="23"/>
      </bottom>
      <diagonal/>
    </border>
    <border>
      <left/>
      <right style="thin">
        <color indexed="64"/>
      </right>
      <top style="medium">
        <color indexed="64"/>
      </top>
      <bottom style="medium">
        <color indexed="64"/>
      </bottom>
      <diagonal/>
    </border>
    <border>
      <left style="thin">
        <color indexed="23"/>
      </left>
      <right/>
      <top style="thin">
        <color indexed="23"/>
      </top>
      <bottom style="medium">
        <color indexed="64"/>
      </bottom>
      <diagonal/>
    </border>
    <border>
      <left/>
      <right style="thin">
        <color indexed="23"/>
      </right>
      <top style="thin">
        <color indexed="23"/>
      </top>
      <bottom style="medium">
        <color indexed="64"/>
      </bottom>
      <diagonal/>
    </border>
    <border>
      <left style="medium">
        <color indexed="8"/>
      </left>
      <right/>
      <top style="thin">
        <color indexed="23"/>
      </top>
      <bottom style="medium">
        <color indexed="64"/>
      </bottom>
      <diagonal/>
    </border>
    <border>
      <left style="medium">
        <color auto="1"/>
      </left>
      <right style="thin">
        <color auto="1"/>
      </right>
      <top style="medium">
        <color auto="1"/>
      </top>
      <bottom style="double">
        <color auto="1"/>
      </bottom>
      <diagonal/>
    </border>
    <border>
      <left style="thin">
        <color auto="1"/>
      </left>
      <right style="thin">
        <color auto="1"/>
      </right>
      <top style="medium">
        <color auto="1"/>
      </top>
      <bottom style="double">
        <color auto="1"/>
      </bottom>
      <diagonal/>
    </border>
    <border>
      <left style="thin">
        <color auto="1"/>
      </left>
      <right style="medium">
        <color auto="1"/>
      </right>
      <top style="medium">
        <color auto="1"/>
      </top>
      <bottom style="double">
        <color auto="1"/>
      </bottom>
      <diagonal/>
    </border>
    <border>
      <left style="medium">
        <color auto="1"/>
      </left>
      <right style="thin">
        <color auto="1"/>
      </right>
      <top style="medium">
        <color auto="1"/>
      </top>
      <bottom/>
      <diagonal/>
    </border>
    <border>
      <left style="thin">
        <color auto="1"/>
      </left>
      <right style="thin">
        <color auto="1"/>
      </right>
      <top style="medium">
        <color auto="1"/>
      </top>
      <bottom/>
      <diagonal/>
    </border>
    <border>
      <left style="thin">
        <color auto="1"/>
      </left>
      <right style="medium">
        <color auto="1"/>
      </right>
      <top style="medium">
        <color auto="1"/>
      </top>
      <bottom/>
      <diagonal/>
    </border>
    <border>
      <left style="medium">
        <color auto="1"/>
      </left>
      <right style="thin">
        <color auto="1"/>
      </right>
      <top/>
      <bottom style="thin">
        <color auto="1"/>
      </bottom>
      <diagonal/>
    </border>
    <border>
      <left style="thin">
        <color auto="1"/>
      </left>
      <right style="thin">
        <color auto="1"/>
      </right>
      <top/>
      <bottom style="thin">
        <color auto="1"/>
      </bottom>
      <diagonal/>
    </border>
    <border>
      <left style="thin">
        <color auto="1"/>
      </left>
      <right style="medium">
        <color auto="1"/>
      </right>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medium">
        <color indexed="64"/>
      </left>
      <right style="thin">
        <color indexed="23"/>
      </right>
      <top style="thin">
        <color indexed="23"/>
      </top>
      <bottom/>
      <diagonal/>
    </border>
    <border>
      <left style="medium">
        <color indexed="64"/>
      </left>
      <right style="thin">
        <color indexed="23"/>
      </right>
      <top/>
      <bottom style="thin">
        <color indexed="23"/>
      </bottom>
      <diagonal/>
    </border>
    <border>
      <left/>
      <right style="medium">
        <color indexed="64"/>
      </right>
      <top style="thin">
        <color indexed="23"/>
      </top>
      <bottom style="thin">
        <color indexed="23"/>
      </bottom>
      <diagonal/>
    </border>
    <border>
      <left/>
      <right/>
      <top style="medium">
        <color indexed="64"/>
      </top>
      <bottom style="thin">
        <color indexed="23"/>
      </bottom>
      <diagonal/>
    </border>
    <border>
      <left/>
      <right style="thin">
        <color indexed="23"/>
      </right>
      <top style="medium">
        <color indexed="64"/>
      </top>
      <bottom style="thin">
        <color indexed="23"/>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thin">
        <color indexed="23"/>
      </top>
      <bottom style="thin">
        <color indexed="23"/>
      </bottom>
      <diagonal/>
    </border>
    <border>
      <left/>
      <right style="medium">
        <color indexed="64"/>
      </right>
      <top style="thin">
        <color indexed="23"/>
      </top>
      <bottom/>
      <diagonal/>
    </border>
    <border>
      <left/>
      <right style="medium">
        <color auto="1"/>
      </right>
      <top style="medium">
        <color auto="1"/>
      </top>
      <bottom/>
      <diagonal/>
    </border>
    <border>
      <left style="thin">
        <color indexed="64"/>
      </left>
      <right/>
      <top style="medium">
        <color indexed="64"/>
      </top>
      <bottom/>
      <diagonal/>
    </border>
    <border>
      <left style="medium">
        <color indexed="64"/>
      </left>
      <right/>
      <top style="thin">
        <color indexed="8"/>
      </top>
      <bottom style="medium">
        <color indexed="64"/>
      </bottom>
      <diagonal/>
    </border>
    <border>
      <left style="medium">
        <color indexed="64"/>
      </left>
      <right/>
      <top style="medium">
        <color indexed="64"/>
      </top>
      <bottom style="thin">
        <color indexed="8"/>
      </bottom>
      <diagonal/>
    </border>
    <border>
      <left/>
      <right style="thin">
        <color indexed="8"/>
      </right>
      <top style="medium">
        <color indexed="64"/>
      </top>
      <bottom style="thin">
        <color indexed="8"/>
      </bottom>
      <diagonal/>
    </border>
    <border>
      <left style="medium">
        <color indexed="64"/>
      </left>
      <right/>
      <top style="medium">
        <color indexed="8"/>
      </top>
      <bottom/>
      <diagonal/>
    </border>
    <border>
      <left style="medium">
        <color indexed="64"/>
      </left>
      <right/>
      <top style="thin">
        <color indexed="8"/>
      </top>
      <bottom style="medium">
        <color indexed="8"/>
      </bottom>
      <diagonal/>
    </border>
    <border>
      <left/>
      <right style="medium">
        <color indexed="64"/>
      </right>
      <top style="thin">
        <color indexed="8"/>
      </top>
      <bottom style="medium">
        <color indexed="8"/>
      </bottom>
      <diagonal/>
    </border>
    <border>
      <left style="medium">
        <color indexed="64"/>
      </left>
      <right style="thin">
        <color indexed="8"/>
      </right>
      <top style="medium">
        <color indexed="64"/>
      </top>
      <bottom/>
      <diagonal/>
    </border>
    <border>
      <left/>
      <right style="medium">
        <color indexed="64"/>
      </right>
      <top style="thin">
        <color indexed="8"/>
      </top>
      <bottom style="medium">
        <color indexed="64"/>
      </bottom>
      <diagonal/>
    </border>
    <border>
      <left style="medium">
        <color indexed="64"/>
      </left>
      <right/>
      <top style="thin">
        <color indexed="8"/>
      </top>
      <bottom style="thin">
        <color indexed="8"/>
      </bottom>
      <diagonal/>
    </border>
    <border>
      <left/>
      <right style="medium">
        <color indexed="64"/>
      </right>
      <top style="thin">
        <color indexed="8"/>
      </top>
      <bottom style="thin">
        <color indexed="8"/>
      </bottom>
      <diagonal/>
    </border>
    <border>
      <left style="medium">
        <color indexed="64"/>
      </left>
      <right style="thin">
        <color indexed="64"/>
      </right>
      <top style="medium">
        <color indexed="64"/>
      </top>
      <bottom/>
      <diagonal/>
    </border>
    <border>
      <left style="medium">
        <color indexed="64"/>
      </left>
      <right style="medium">
        <color indexed="64"/>
      </right>
      <top style="medium">
        <color indexed="64"/>
      </top>
      <bottom/>
      <diagonal/>
    </border>
    <border>
      <left style="thin">
        <color indexed="8"/>
      </left>
      <right/>
      <top style="medium">
        <color indexed="64"/>
      </top>
      <bottom style="thin">
        <color indexed="8"/>
      </bottom>
      <diagonal/>
    </border>
    <border>
      <left/>
      <right style="medium">
        <color indexed="64"/>
      </right>
      <top style="medium">
        <color indexed="64"/>
      </top>
      <bottom style="thin">
        <color indexed="8"/>
      </bottom>
      <diagonal/>
    </border>
    <border>
      <left/>
      <right style="medium">
        <color indexed="64"/>
      </right>
      <top style="medium">
        <color indexed="8"/>
      </top>
      <bottom/>
      <diagonal/>
    </border>
    <border>
      <left style="medium">
        <color indexed="64"/>
      </left>
      <right/>
      <top style="medium">
        <color indexed="64"/>
      </top>
      <bottom/>
      <diagonal/>
    </border>
    <border>
      <left style="medium">
        <color indexed="64"/>
      </left>
      <right/>
      <top style="medium">
        <color indexed="64"/>
      </top>
      <bottom style="thin">
        <color indexed="23"/>
      </bottom>
      <diagonal/>
    </border>
    <border>
      <left/>
      <right style="medium">
        <color indexed="64"/>
      </right>
      <top style="medium">
        <color indexed="64"/>
      </top>
      <bottom style="thin">
        <color indexed="23"/>
      </bottom>
      <diagonal/>
    </border>
    <border>
      <left style="thin">
        <color indexed="8"/>
      </left>
      <right/>
      <top style="medium">
        <color indexed="64"/>
      </top>
      <bottom style="medium">
        <color indexed="64"/>
      </bottom>
      <diagonal/>
    </border>
    <border>
      <left/>
      <right/>
      <top style="medium">
        <color indexed="64"/>
      </top>
      <bottom style="medium">
        <color indexed="64"/>
      </bottom>
      <diagonal/>
    </border>
    <border>
      <left/>
      <right style="thin">
        <color indexed="8"/>
      </right>
      <top style="medium">
        <color indexed="64"/>
      </top>
      <bottom style="medium">
        <color indexed="64"/>
      </bottom>
      <diagonal/>
    </border>
    <border>
      <left style="thin">
        <color indexed="64"/>
      </left>
      <right/>
      <top style="medium">
        <color indexed="64"/>
      </top>
      <bottom style="medium">
        <color indexed="64"/>
      </bottom>
      <diagonal/>
    </border>
    <border>
      <left/>
      <right style="thin">
        <color indexed="8"/>
      </right>
      <top style="medium">
        <color indexed="64"/>
      </top>
      <bottom/>
      <diagonal/>
    </border>
    <border>
      <left style="medium">
        <color indexed="64"/>
      </left>
      <right style="medium">
        <color indexed="8"/>
      </right>
      <top style="thin">
        <color indexed="23"/>
      </top>
      <bottom style="thin">
        <color indexed="23"/>
      </bottom>
      <diagonal/>
    </border>
    <border>
      <left style="medium">
        <color indexed="8"/>
      </left>
      <right style="medium">
        <color indexed="64"/>
      </right>
      <top style="thin">
        <color indexed="23"/>
      </top>
      <bottom style="thin">
        <color indexed="23"/>
      </bottom>
      <diagonal/>
    </border>
    <border>
      <left style="thin">
        <color indexed="23"/>
      </left>
      <right style="thin">
        <color indexed="8"/>
      </right>
      <top style="medium">
        <color indexed="64"/>
      </top>
      <bottom style="thin">
        <color indexed="23"/>
      </bottom>
      <diagonal/>
    </border>
    <border>
      <left style="thin">
        <color indexed="23"/>
      </left>
      <right style="thin">
        <color indexed="23"/>
      </right>
      <top style="medium">
        <color indexed="64"/>
      </top>
      <bottom style="thin">
        <color indexed="23"/>
      </bottom>
      <diagonal/>
    </border>
    <border>
      <left style="thin">
        <color indexed="23"/>
      </left>
      <right style="medium">
        <color indexed="64"/>
      </right>
      <top style="medium">
        <color indexed="64"/>
      </top>
      <bottom style="thin">
        <color indexed="23"/>
      </bottom>
      <diagonal/>
    </border>
    <border>
      <left style="medium">
        <color indexed="64"/>
      </left>
      <right style="thin">
        <color indexed="23"/>
      </right>
      <top style="medium">
        <color indexed="64"/>
      </top>
      <bottom style="thin">
        <color indexed="23"/>
      </bottom>
      <diagonal/>
    </border>
    <border>
      <left style="medium">
        <color indexed="8"/>
      </left>
      <right style="thin">
        <color indexed="23"/>
      </right>
      <top style="medium">
        <color indexed="64"/>
      </top>
      <bottom style="thin">
        <color indexed="23"/>
      </bottom>
      <diagonal/>
    </border>
    <border>
      <left style="medium">
        <color indexed="64"/>
      </left>
      <right style="medium">
        <color indexed="8"/>
      </right>
      <top style="thin">
        <color indexed="23"/>
      </top>
      <bottom/>
      <diagonal/>
    </border>
    <border>
      <left style="medium">
        <color indexed="8"/>
      </left>
      <right style="medium">
        <color indexed="64"/>
      </right>
      <top style="thin">
        <color indexed="23"/>
      </top>
      <bottom/>
      <diagonal/>
    </border>
    <border>
      <left style="medium">
        <color indexed="64"/>
      </left>
      <right style="medium">
        <color indexed="8"/>
      </right>
      <top/>
      <bottom style="medium">
        <color indexed="64"/>
      </bottom>
      <diagonal/>
    </border>
    <border>
      <left style="medium">
        <color indexed="8"/>
      </left>
      <right style="medium">
        <color indexed="8"/>
      </right>
      <top/>
      <bottom style="medium">
        <color indexed="64"/>
      </bottom>
      <diagonal/>
    </border>
    <border>
      <left style="medium">
        <color indexed="8"/>
      </left>
      <right style="medium">
        <color indexed="64"/>
      </right>
      <top/>
      <bottom style="medium">
        <color indexed="64"/>
      </bottom>
      <diagonal/>
    </border>
    <border>
      <left/>
      <right/>
      <top style="medium">
        <color indexed="64"/>
      </top>
      <bottom/>
      <diagonal/>
    </border>
    <border>
      <left/>
      <right style="medium">
        <color indexed="64"/>
      </right>
      <top style="medium">
        <color indexed="64"/>
      </top>
      <bottom style="medium">
        <color indexed="64"/>
      </bottom>
      <diagonal/>
    </border>
    <border>
      <left style="thin">
        <color indexed="64"/>
      </left>
      <right/>
      <top style="medium">
        <color indexed="64"/>
      </top>
      <bottom/>
      <diagonal/>
    </border>
    <border>
      <left style="medium">
        <color indexed="64"/>
      </left>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auto="1"/>
      </left>
      <right style="thin">
        <color auto="1"/>
      </right>
      <top style="medium">
        <color auto="1"/>
      </top>
      <bottom/>
      <diagonal/>
    </border>
    <border>
      <left style="thin">
        <color indexed="64"/>
      </left>
      <right style="medium">
        <color indexed="64"/>
      </right>
      <top style="medium">
        <color indexed="64"/>
      </top>
      <bottom/>
      <diagonal/>
    </border>
    <border>
      <left style="medium">
        <color indexed="64"/>
      </left>
      <right style="thin">
        <color indexed="64"/>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thin">
        <color indexed="64"/>
      </right>
      <top style="thin">
        <color indexed="64"/>
      </top>
      <bottom/>
      <diagonal/>
    </border>
    <border>
      <left/>
      <right/>
      <top style="thin">
        <color indexed="64"/>
      </top>
      <bottom/>
      <diagonal/>
    </border>
    <border>
      <left/>
      <right style="medium">
        <color indexed="64"/>
      </right>
      <top style="thin">
        <color indexed="64"/>
      </top>
      <bottom/>
      <diagonal/>
    </border>
    <border>
      <left/>
      <right/>
      <top/>
      <bottom style="thin">
        <color indexed="64"/>
      </bottom>
      <diagonal/>
    </border>
    <border>
      <left/>
      <right style="medium">
        <color indexed="64"/>
      </right>
      <top/>
      <bottom style="thin">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style="thin">
        <color indexed="64"/>
      </left>
      <right/>
      <top/>
      <bottom style="thin">
        <color indexed="64"/>
      </bottom>
      <diagonal/>
    </border>
    <border>
      <left style="hair">
        <color auto="1"/>
      </left>
      <right/>
      <top style="hair">
        <color auto="1"/>
      </top>
      <bottom/>
      <diagonal/>
    </border>
    <border>
      <left/>
      <right/>
      <top style="hair">
        <color auto="1"/>
      </top>
      <bottom/>
      <diagonal/>
    </border>
    <border>
      <left/>
      <right style="hair">
        <color auto="1"/>
      </right>
      <top style="hair">
        <color auto="1"/>
      </top>
      <bottom/>
      <diagonal/>
    </border>
    <border>
      <left style="hair">
        <color auto="1"/>
      </left>
      <right/>
      <top/>
      <bottom/>
      <diagonal/>
    </border>
    <border>
      <left/>
      <right style="hair">
        <color auto="1"/>
      </right>
      <top/>
      <bottom/>
      <diagonal/>
    </border>
    <border>
      <left style="hair">
        <color auto="1"/>
      </left>
      <right/>
      <top/>
      <bottom style="hair">
        <color auto="1"/>
      </bottom>
      <diagonal/>
    </border>
    <border>
      <left/>
      <right/>
      <top/>
      <bottom style="hair">
        <color auto="1"/>
      </bottom>
      <diagonal/>
    </border>
    <border>
      <left/>
      <right style="hair">
        <color auto="1"/>
      </right>
      <top/>
      <bottom style="hair">
        <color auto="1"/>
      </bottom>
      <diagonal/>
    </border>
    <border>
      <left/>
      <right/>
      <top style="medium">
        <color indexed="64"/>
      </top>
      <bottom/>
      <diagonal/>
    </border>
    <border>
      <left style="medium">
        <color indexed="64"/>
      </left>
      <right/>
      <top style="medium">
        <color indexed="64"/>
      </top>
      <bottom style="double">
        <color indexed="64"/>
      </bottom>
      <diagonal/>
    </border>
    <border>
      <left/>
      <right/>
      <top style="medium">
        <color indexed="64"/>
      </top>
      <bottom style="double">
        <color indexed="64"/>
      </bottom>
      <diagonal/>
    </border>
    <border>
      <left/>
      <right style="medium">
        <color indexed="64"/>
      </right>
      <top style="medium">
        <color indexed="64"/>
      </top>
      <bottom style="double">
        <color indexed="64"/>
      </bottom>
      <diagonal/>
    </border>
    <border>
      <left style="medium">
        <color indexed="64"/>
      </left>
      <right style="thin">
        <color indexed="64"/>
      </right>
      <top style="double">
        <color indexed="64"/>
      </top>
      <bottom style="double">
        <color indexed="64"/>
      </bottom>
      <diagonal/>
    </border>
    <border>
      <left style="thin">
        <color indexed="64"/>
      </left>
      <right/>
      <top style="double">
        <color indexed="64"/>
      </top>
      <bottom style="double">
        <color indexed="64"/>
      </bottom>
      <diagonal/>
    </border>
    <border>
      <left/>
      <right/>
      <top style="double">
        <color indexed="64"/>
      </top>
      <bottom style="double">
        <color indexed="64"/>
      </bottom>
      <diagonal/>
    </border>
    <border>
      <left/>
      <right style="thin">
        <color indexed="64"/>
      </right>
      <top style="double">
        <color indexed="64"/>
      </top>
      <bottom style="double">
        <color indexed="64"/>
      </bottom>
      <diagonal/>
    </border>
    <border>
      <left/>
      <right style="medium">
        <color indexed="64"/>
      </right>
      <top style="double">
        <color indexed="64"/>
      </top>
      <bottom style="double">
        <color indexed="64"/>
      </bottom>
      <diagonal/>
    </border>
    <border>
      <left/>
      <right style="hair">
        <color indexed="64"/>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medium">
        <color indexed="64"/>
      </right>
      <top style="hair">
        <color indexed="64"/>
      </top>
      <bottom style="hair">
        <color indexed="64"/>
      </bottom>
      <diagonal/>
    </border>
    <border>
      <left style="medium">
        <color indexed="64"/>
      </left>
      <right style="thin">
        <color indexed="64"/>
      </right>
      <top/>
      <bottom style="hair">
        <color indexed="64"/>
      </bottom>
      <diagonal/>
    </border>
    <border>
      <left style="thin">
        <color indexed="64"/>
      </left>
      <right/>
      <top/>
      <bottom style="hair">
        <color indexed="64"/>
      </bottom>
      <diagonal/>
    </border>
    <border>
      <left/>
      <right style="thin">
        <color indexed="64"/>
      </right>
      <top/>
      <bottom style="hair">
        <color indexed="64"/>
      </bottom>
      <diagonal/>
    </border>
    <border>
      <left style="thin">
        <color indexed="64"/>
      </left>
      <right style="hair">
        <color indexed="64"/>
      </right>
      <top/>
      <bottom style="hair">
        <color indexed="64"/>
      </bottom>
      <diagonal/>
    </border>
    <border>
      <left style="hair">
        <color indexed="64"/>
      </left>
      <right style="thin">
        <color indexed="64"/>
      </right>
      <top/>
      <bottom style="hair">
        <color indexed="64"/>
      </bottom>
      <diagonal/>
    </border>
    <border>
      <left style="hair">
        <color indexed="64"/>
      </left>
      <right style="hair">
        <color indexed="64"/>
      </right>
      <top/>
      <bottom style="hair">
        <color indexed="64"/>
      </bottom>
      <diagonal/>
    </border>
    <border>
      <left style="hair">
        <color indexed="64"/>
      </left>
      <right style="medium">
        <color indexed="64"/>
      </right>
      <top/>
      <bottom style="hair">
        <color indexed="64"/>
      </bottom>
      <diagonal/>
    </border>
    <border>
      <left style="medium">
        <color indexed="64"/>
      </left>
      <right style="thin">
        <color indexed="64"/>
      </right>
      <top style="hair">
        <color indexed="64"/>
      </top>
      <bottom style="hair">
        <color indexed="64"/>
      </bottom>
      <diagonal/>
    </border>
    <border>
      <left style="thin">
        <color indexed="64"/>
      </left>
      <right/>
      <top style="hair">
        <color indexed="64"/>
      </top>
      <bottom style="hair">
        <color indexed="64"/>
      </bottom>
      <diagonal/>
    </border>
    <border>
      <left/>
      <right/>
      <top style="hair">
        <color indexed="64"/>
      </top>
      <bottom style="hair">
        <color indexed="64"/>
      </bottom>
      <diagonal/>
    </border>
    <border>
      <left/>
      <right style="thin">
        <color indexed="64"/>
      </right>
      <top style="hair">
        <color indexed="64"/>
      </top>
      <bottom style="hair">
        <color indexed="64"/>
      </bottom>
      <diagonal/>
    </border>
    <border>
      <left style="thin">
        <color indexed="64"/>
      </left>
      <right/>
      <top style="hair">
        <color indexed="64"/>
      </top>
      <bottom style="medium">
        <color indexed="64"/>
      </bottom>
      <diagonal/>
    </border>
    <border>
      <left/>
      <right/>
      <top style="hair">
        <color indexed="64"/>
      </top>
      <bottom style="medium">
        <color indexed="64"/>
      </bottom>
      <diagonal/>
    </border>
    <border>
      <left/>
      <right style="thin">
        <color indexed="64"/>
      </right>
      <top style="hair">
        <color indexed="64"/>
      </top>
      <bottom style="medium">
        <color indexed="64"/>
      </bottom>
      <diagonal/>
    </border>
    <border>
      <left/>
      <right style="hair">
        <color indexed="64"/>
      </right>
      <top style="hair">
        <color indexed="64"/>
      </top>
      <bottom style="medium">
        <color indexed="64"/>
      </bottom>
      <diagonal/>
    </border>
    <border>
      <left style="hair">
        <color indexed="64"/>
      </left>
      <right style="hair">
        <color indexed="64"/>
      </right>
      <top style="hair">
        <color indexed="64"/>
      </top>
      <bottom style="medium">
        <color indexed="64"/>
      </bottom>
      <diagonal/>
    </border>
    <border>
      <left style="hair">
        <color indexed="64"/>
      </left>
      <right style="medium">
        <color indexed="64"/>
      </right>
      <top style="hair">
        <color indexed="64"/>
      </top>
      <bottom style="medium">
        <color indexed="64"/>
      </bottom>
      <diagonal/>
    </border>
    <border>
      <left style="thin">
        <color indexed="8"/>
      </left>
      <right/>
      <top style="medium">
        <color indexed="8"/>
      </top>
      <bottom style="medium">
        <color indexed="64"/>
      </bottom>
      <diagonal/>
    </border>
    <border>
      <left style="thin">
        <color indexed="8"/>
      </left>
      <right style="medium">
        <color indexed="64"/>
      </right>
      <top style="medium">
        <color indexed="8"/>
      </top>
      <bottom style="medium">
        <color indexed="64"/>
      </bottom>
      <diagonal/>
    </border>
    <border>
      <left style="thin">
        <color indexed="8"/>
      </left>
      <right style="medium">
        <color indexed="64"/>
      </right>
      <top/>
      <bottom style="thin">
        <color indexed="8"/>
      </bottom>
      <diagonal/>
    </border>
    <border>
      <left style="thin">
        <color indexed="8"/>
      </left>
      <right style="medium">
        <color indexed="64"/>
      </right>
      <top/>
      <bottom/>
      <diagonal/>
    </border>
    <border>
      <left/>
      <right style="medium">
        <color indexed="8"/>
      </right>
      <top style="medium">
        <color indexed="64"/>
      </top>
      <bottom style="medium">
        <color indexed="64"/>
      </bottom>
      <diagonal/>
    </border>
    <border>
      <left style="medium">
        <color indexed="8"/>
      </left>
      <right/>
      <top style="medium">
        <color indexed="64"/>
      </top>
      <bottom style="medium">
        <color indexed="64"/>
      </bottom>
      <diagonal/>
    </border>
    <border>
      <left/>
      <right style="medium">
        <color indexed="64"/>
      </right>
      <top/>
      <bottom style="thin">
        <color indexed="23"/>
      </bottom>
      <diagonal/>
    </border>
    <border>
      <left style="thin">
        <color indexed="64"/>
      </left>
      <right/>
      <top style="thin">
        <color indexed="23"/>
      </top>
      <bottom/>
      <diagonal/>
    </border>
    <border>
      <left style="thin">
        <color indexed="64"/>
      </left>
      <right/>
      <top/>
      <bottom style="thin">
        <color indexed="23"/>
      </bottom>
      <diagonal/>
    </border>
    <border>
      <left style="thin">
        <color indexed="64"/>
      </left>
      <right/>
      <top style="medium">
        <color indexed="64"/>
      </top>
      <bottom style="thin">
        <color indexed="23"/>
      </bottom>
      <diagonal/>
    </border>
    <border>
      <left/>
      <right style="thin">
        <color indexed="64"/>
      </right>
      <top style="thin">
        <color indexed="23"/>
      </top>
      <bottom/>
      <diagonal/>
    </border>
    <border>
      <left/>
      <right style="thin">
        <color indexed="64"/>
      </right>
      <top/>
      <bottom style="thin">
        <color indexed="23"/>
      </bottom>
      <diagonal/>
    </border>
    <border>
      <left/>
      <right style="thin">
        <color indexed="64"/>
      </right>
      <top style="medium">
        <color indexed="64"/>
      </top>
      <bottom style="thin">
        <color indexed="23"/>
      </bottom>
      <diagonal/>
    </border>
    <border>
      <left style="medium">
        <color indexed="64"/>
      </left>
      <right/>
      <top style="thin">
        <color indexed="64"/>
      </top>
      <bottom/>
      <diagonal/>
    </border>
    <border>
      <left style="thin">
        <color auto="1"/>
      </left>
      <right style="thin">
        <color auto="1"/>
      </right>
      <top style="thin">
        <color auto="1"/>
      </top>
      <bottom/>
      <diagonal/>
    </border>
    <border>
      <left style="thin">
        <color auto="1"/>
      </left>
      <right style="medium">
        <color auto="1"/>
      </right>
      <top style="thin">
        <color auto="1"/>
      </top>
      <bottom/>
      <diagonal/>
    </border>
    <border>
      <left/>
      <right/>
      <top style="medium">
        <color indexed="8"/>
      </top>
      <bottom style="medium">
        <color indexed="8"/>
      </bottom>
      <diagonal/>
    </border>
  </borders>
  <cellStyleXfs count="21">
    <xf numFmtId="0" fontId="0" fillId="0" borderId="0"/>
    <xf numFmtId="0" fontId="47" fillId="2" borderId="0" applyNumberFormat="0" applyBorder="0" applyAlignment="0" applyProtection="0"/>
    <xf numFmtId="0" fontId="44" fillId="0" borderId="0" applyNumberFormat="0" applyFill="0" applyBorder="0" applyAlignment="0" applyProtection="0"/>
    <xf numFmtId="0" fontId="45" fillId="3" borderId="1" applyNumberFormat="0" applyAlignment="0" applyProtection="0"/>
    <xf numFmtId="0" fontId="9" fillId="0" borderId="0" applyNumberFormat="0" applyFill="0" applyBorder="0" applyAlignment="0" applyProtection="0"/>
    <xf numFmtId="0" fontId="46" fillId="4" borderId="0" applyNumberFormat="0" applyBorder="0" applyAlignment="0" applyProtection="0"/>
    <xf numFmtId="0" fontId="9" fillId="0" borderId="0" applyNumberFormat="0" applyFill="0" applyBorder="0" applyAlignment="0" applyProtection="0"/>
    <xf numFmtId="0" fontId="16" fillId="0" borderId="0" applyNumberFormat="0" applyFill="0" applyBorder="0" applyAlignment="0" applyProtection="0"/>
    <xf numFmtId="0" fontId="2" fillId="5" borderId="0" applyNumberFormat="0" applyBorder="0" applyAlignment="0" applyProtection="0"/>
    <xf numFmtId="0" fontId="9" fillId="0" borderId="0" applyNumberFormat="0" applyFill="0" applyBorder="0" applyAlignment="0" applyProtection="0"/>
    <xf numFmtId="0" fontId="43" fillId="0" borderId="0" applyNumberFormat="0" applyFill="0" applyBorder="0" applyAlignment="0" applyProtection="0"/>
    <xf numFmtId="0" fontId="2" fillId="6" borderId="0" applyNumberFormat="0" applyBorder="0" applyAlignment="0" applyProtection="0"/>
    <xf numFmtId="0" fontId="9" fillId="7" borderId="0" applyNumberFormat="0" applyBorder="0" applyAlignment="0" applyProtection="0"/>
    <xf numFmtId="0" fontId="2" fillId="8" borderId="0" applyNumberFormat="0" applyBorder="0" applyAlignment="0" applyProtection="0"/>
    <xf numFmtId="0" fontId="9" fillId="0" borderId="0" applyNumberFormat="0" applyFill="0" applyBorder="0" applyAlignment="0" applyProtection="0"/>
    <xf numFmtId="0" fontId="48" fillId="3" borderId="0" applyNumberFormat="0" applyBorder="0" applyAlignment="0" applyProtection="0"/>
    <xf numFmtId="0" fontId="16" fillId="0" borderId="0" applyNumberFormat="0" applyFill="0" applyBorder="0" applyAlignment="0" applyProtection="0"/>
    <xf numFmtId="0" fontId="47" fillId="0" borderId="0" applyNumberFormat="0" applyFill="0" applyBorder="0" applyAlignment="0" applyProtection="0"/>
    <xf numFmtId="0" fontId="42" fillId="0" borderId="0">
      <alignment vertical="center"/>
    </xf>
    <xf numFmtId="0" fontId="16" fillId="0" borderId="0"/>
    <xf numFmtId="0" fontId="74" fillId="0" borderId="0">
      <alignment vertical="center"/>
    </xf>
  </cellStyleXfs>
  <cellXfs count="1228">
    <xf numFmtId="0" fontId="0" fillId="0" borderId="0" xfId="0"/>
    <xf numFmtId="0" fontId="0" fillId="0" borderId="0" xfId="0" applyAlignment="1">
      <alignment shrinkToFit="1"/>
    </xf>
    <xf numFmtId="0" fontId="9" fillId="12" borderId="0" xfId="18" applyFont="1" applyFill="1" applyAlignment="1">
      <alignment horizontal="left" vertical="center" shrinkToFit="1"/>
    </xf>
    <xf numFmtId="0" fontId="8" fillId="17" borderId="2" xfId="18" applyFont="1" applyFill="1" applyBorder="1" applyAlignment="1">
      <alignment horizontal="center" vertical="center" shrinkToFit="1"/>
    </xf>
    <xf numFmtId="0" fontId="8" fillId="9" borderId="2" xfId="18" applyFont="1" applyFill="1" applyBorder="1" applyAlignment="1">
      <alignment horizontal="center" vertical="center" shrinkToFit="1"/>
    </xf>
    <xf numFmtId="0" fontId="8" fillId="18" borderId="2" xfId="18" applyFont="1" applyFill="1" applyBorder="1" applyAlignment="1">
      <alignment horizontal="center" vertical="center" shrinkToFit="1"/>
    </xf>
    <xf numFmtId="0" fontId="8" fillId="14" borderId="2" xfId="18" applyFont="1" applyFill="1" applyBorder="1" applyAlignment="1">
      <alignment horizontal="center" vertical="center" shrinkToFit="1"/>
    </xf>
    <xf numFmtId="0" fontId="8" fillId="15" borderId="2" xfId="18" applyFont="1" applyFill="1" applyBorder="1" applyAlignment="1">
      <alignment horizontal="center" vertical="center" shrinkToFit="1"/>
    </xf>
    <xf numFmtId="0" fontId="8" fillId="10" borderId="2" xfId="18" applyFont="1" applyFill="1" applyBorder="1" applyAlignment="1">
      <alignment horizontal="center" vertical="center" shrinkToFit="1"/>
    </xf>
    <xf numFmtId="176" fontId="7" fillId="14" borderId="27" xfId="0" applyNumberFormat="1" applyFont="1" applyFill="1" applyBorder="1" applyAlignment="1">
      <alignment horizontal="left" shrinkToFit="1"/>
    </xf>
    <xf numFmtId="176" fontId="7" fillId="15" borderId="27" xfId="0" applyNumberFormat="1" applyFont="1" applyFill="1" applyBorder="1" applyAlignment="1">
      <alignment horizontal="left" shrinkToFit="1"/>
    </xf>
    <xf numFmtId="177" fontId="7" fillId="10" borderId="28" xfId="0" applyNumberFormat="1" applyFont="1" applyFill="1" applyBorder="1" applyAlignment="1">
      <alignment horizontal="right" vertical="center" shrinkToFit="1"/>
    </xf>
    <xf numFmtId="178" fontId="12" fillId="10" borderId="29" xfId="0" applyNumberFormat="1" applyFont="1" applyFill="1" applyBorder="1" applyAlignment="1">
      <alignment horizontal="center" vertical="center" shrinkToFit="1"/>
    </xf>
    <xf numFmtId="179" fontId="12" fillId="19" borderId="34" xfId="0" applyNumberFormat="1" applyFont="1" applyFill="1" applyBorder="1" applyAlignment="1">
      <alignment horizontal="center" vertical="center" shrinkToFit="1"/>
    </xf>
    <xf numFmtId="180" fontId="7" fillId="15" borderId="12" xfId="0" applyNumberFormat="1" applyFont="1" applyFill="1" applyBorder="1" applyAlignment="1">
      <alignment horizontal="center" vertical="center" shrinkToFit="1"/>
    </xf>
    <xf numFmtId="181" fontId="7" fillId="15" borderId="12" xfId="0" applyNumberFormat="1" applyFont="1" applyFill="1" applyBorder="1" applyAlignment="1">
      <alignment horizontal="center" vertical="center" shrinkToFit="1"/>
    </xf>
    <xf numFmtId="180" fontId="7" fillId="15" borderId="14" xfId="0" applyNumberFormat="1" applyFont="1" applyFill="1" applyBorder="1" applyAlignment="1">
      <alignment horizontal="center" vertical="center" shrinkToFit="1"/>
    </xf>
    <xf numFmtId="181" fontId="7" fillId="15" borderId="14" xfId="0" applyNumberFormat="1" applyFont="1" applyFill="1" applyBorder="1" applyAlignment="1">
      <alignment horizontal="center" vertical="center" shrinkToFit="1"/>
    </xf>
    <xf numFmtId="0" fontId="7" fillId="6" borderId="39" xfId="0" applyFont="1" applyFill="1" applyBorder="1" applyAlignment="1">
      <alignment shrinkToFit="1"/>
    </xf>
    <xf numFmtId="0" fontId="10" fillId="11" borderId="38" xfId="0" applyFont="1" applyFill="1" applyBorder="1" applyAlignment="1">
      <alignment horizontal="center" shrinkToFit="1"/>
    </xf>
    <xf numFmtId="0" fontId="10" fillId="11" borderId="14" xfId="0" applyFont="1" applyFill="1" applyBorder="1" applyAlignment="1">
      <alignment horizontal="center" vertical="center" shrinkToFit="1"/>
    </xf>
    <xf numFmtId="0" fontId="10" fillId="11" borderId="38" xfId="0" applyFont="1" applyFill="1" applyBorder="1" applyAlignment="1">
      <alignment horizontal="center" vertical="center" shrinkToFit="1"/>
    </xf>
    <xf numFmtId="0" fontId="10" fillId="11" borderId="43" xfId="0" applyFont="1" applyFill="1" applyBorder="1" applyAlignment="1">
      <alignment horizontal="center" vertical="center" shrinkToFit="1"/>
    </xf>
    <xf numFmtId="0" fontId="10" fillId="11" borderId="15" xfId="0" applyFont="1" applyFill="1" applyBorder="1" applyAlignment="1">
      <alignment horizontal="center" vertical="center" shrinkToFit="1"/>
    </xf>
    <xf numFmtId="0" fontId="10" fillId="11" borderId="50" xfId="0" applyFont="1" applyFill="1" applyBorder="1" applyAlignment="1">
      <alignment horizontal="center" shrinkToFit="1"/>
    </xf>
    <xf numFmtId="0" fontId="10" fillId="11" borderId="54" xfId="0" applyFont="1" applyFill="1" applyBorder="1" applyAlignment="1">
      <alignment horizontal="center" shrinkToFit="1"/>
    </xf>
    <xf numFmtId="0" fontId="10" fillId="11" borderId="54" xfId="0" applyFont="1" applyFill="1" applyBorder="1" applyAlignment="1">
      <alignment horizontal="center" vertical="center" shrinkToFit="1"/>
    </xf>
    <xf numFmtId="0" fontId="10" fillId="11" borderId="56" xfId="0" applyFont="1" applyFill="1" applyBorder="1" applyAlignment="1">
      <alignment horizontal="center" vertical="center" shrinkToFit="1"/>
    </xf>
    <xf numFmtId="0" fontId="0" fillId="6" borderId="0" xfId="0" applyFill="1"/>
    <xf numFmtId="0" fontId="0" fillId="6" borderId="60" xfId="0" applyFill="1" applyBorder="1"/>
    <xf numFmtId="181" fontId="7" fillId="12" borderId="15" xfId="0" applyNumberFormat="1" applyFont="1" applyFill="1" applyBorder="1" applyAlignment="1">
      <alignment horizontal="center" vertical="center" shrinkToFit="1"/>
    </xf>
    <xf numFmtId="178" fontId="7" fillId="10" borderId="14" xfId="0" applyNumberFormat="1" applyFont="1" applyFill="1" applyBorder="1" applyAlignment="1">
      <alignment horizontal="center" vertical="center" shrinkToFit="1"/>
    </xf>
    <xf numFmtId="0" fontId="10" fillId="11" borderId="52" xfId="0" applyFont="1" applyFill="1" applyBorder="1" applyAlignment="1">
      <alignment horizontal="center" shrinkToFit="1"/>
    </xf>
    <xf numFmtId="0" fontId="10" fillId="11" borderId="52" xfId="0" applyFont="1" applyFill="1" applyBorder="1" applyAlignment="1">
      <alignment horizontal="center" vertical="center" shrinkToFit="1"/>
    </xf>
    <xf numFmtId="0" fontId="10" fillId="11" borderId="51" xfId="0" applyFont="1" applyFill="1" applyBorder="1" applyAlignment="1">
      <alignment horizontal="center" shrinkToFit="1"/>
    </xf>
    <xf numFmtId="0" fontId="10" fillId="11" borderId="51" xfId="0" applyFont="1" applyFill="1" applyBorder="1" applyAlignment="1">
      <alignment horizontal="center" vertical="center" shrinkToFit="1"/>
    </xf>
    <xf numFmtId="0" fontId="10" fillId="11" borderId="65" xfId="0" applyFont="1" applyFill="1" applyBorder="1" applyAlignment="1">
      <alignment horizontal="center" vertical="center" shrinkToFit="1"/>
    </xf>
    <xf numFmtId="0" fontId="0" fillId="6" borderId="39" xfId="0" applyFill="1" applyBorder="1"/>
    <xf numFmtId="0" fontId="0" fillId="0" borderId="67" xfId="0" applyBorder="1" applyAlignment="1">
      <alignment shrinkToFit="1"/>
    </xf>
    <xf numFmtId="0" fontId="0" fillId="16" borderId="68" xfId="0" applyFill="1" applyBorder="1" applyAlignment="1">
      <alignment shrinkToFit="1"/>
    </xf>
    <xf numFmtId="0" fontId="0" fillId="16" borderId="69" xfId="0" applyFill="1" applyBorder="1" applyAlignment="1">
      <alignment shrinkToFit="1"/>
    </xf>
    <xf numFmtId="180" fontId="7" fillId="12" borderId="12" xfId="0" applyNumberFormat="1" applyFont="1" applyFill="1" applyBorder="1" applyAlignment="1">
      <alignment horizontal="center" vertical="center" shrinkToFit="1"/>
    </xf>
    <xf numFmtId="181" fontId="7" fillId="12" borderId="12" xfId="0" applyNumberFormat="1" applyFont="1" applyFill="1" applyBorder="1" applyAlignment="1">
      <alignment horizontal="center" vertical="center" shrinkToFit="1"/>
    </xf>
    <xf numFmtId="180" fontId="7" fillId="12" borderId="14" xfId="0" applyNumberFormat="1" applyFont="1" applyFill="1" applyBorder="1" applyAlignment="1">
      <alignment horizontal="center" vertical="center" shrinkToFit="1"/>
    </xf>
    <xf numFmtId="181" fontId="7" fillId="12" borderId="14" xfId="0" applyNumberFormat="1" applyFont="1" applyFill="1" applyBorder="1" applyAlignment="1">
      <alignment horizontal="center" vertical="center" shrinkToFit="1"/>
    </xf>
    <xf numFmtId="0" fontId="10" fillId="11" borderId="12" xfId="0" applyFont="1" applyFill="1" applyBorder="1" applyAlignment="1">
      <alignment horizontal="center" shrinkToFit="1"/>
    </xf>
    <xf numFmtId="0" fontId="10" fillId="11" borderId="12" xfId="0" applyFont="1" applyFill="1" applyBorder="1" applyAlignment="1">
      <alignment horizontal="center" vertical="center" shrinkToFit="1"/>
    </xf>
    <xf numFmtId="0" fontId="10" fillId="11" borderId="15" xfId="0" applyFont="1" applyFill="1" applyBorder="1" applyAlignment="1">
      <alignment horizontal="center" shrinkToFit="1"/>
    </xf>
    <xf numFmtId="0" fontId="0" fillId="0" borderId="0" xfId="0" applyAlignment="1">
      <alignment horizontal="left" vertical="center" indent="1" shrinkToFit="1"/>
    </xf>
    <xf numFmtId="183" fontId="0" fillId="6" borderId="10" xfId="0" applyNumberFormat="1" applyFill="1" applyBorder="1" applyAlignment="1">
      <alignment horizontal="center" vertical="center" shrinkToFit="1"/>
    </xf>
    <xf numFmtId="184" fontId="0" fillId="12" borderId="10" xfId="0" applyNumberFormat="1" applyFill="1" applyBorder="1" applyAlignment="1">
      <alignment horizontal="center" vertical="center" shrinkToFit="1"/>
    </xf>
    <xf numFmtId="184" fontId="0" fillId="12" borderId="77" xfId="0" applyNumberFormat="1" applyFill="1" applyBorder="1" applyAlignment="1">
      <alignment horizontal="center" vertical="center" shrinkToFit="1"/>
    </xf>
    <xf numFmtId="0" fontId="8" fillId="0" borderId="0" xfId="18" applyFont="1" applyAlignment="1">
      <alignment horizontal="center" vertical="center" shrinkToFit="1"/>
    </xf>
    <xf numFmtId="0" fontId="0" fillId="20" borderId="0" xfId="0" applyFill="1" applyAlignment="1">
      <alignment vertical="center" shrinkToFit="1"/>
    </xf>
    <xf numFmtId="0" fontId="8" fillId="9" borderId="14" xfId="18" applyFont="1" applyFill="1" applyBorder="1" applyAlignment="1">
      <alignment horizontal="center" vertical="center" shrinkToFit="1"/>
    </xf>
    <xf numFmtId="0" fontId="8" fillId="12" borderId="14" xfId="18" applyFont="1" applyFill="1" applyBorder="1" applyAlignment="1">
      <alignment horizontal="center" vertical="center" shrinkToFit="1"/>
    </xf>
    <xf numFmtId="0" fontId="9" fillId="12" borderId="94" xfId="18" applyFont="1" applyFill="1" applyBorder="1" applyAlignment="1">
      <alignment horizontal="center" vertical="center" shrinkToFit="1"/>
    </xf>
    <xf numFmtId="0" fontId="8" fillId="0" borderId="14" xfId="18" applyFont="1" applyBorder="1" applyAlignment="1">
      <alignment horizontal="center" vertical="center" shrinkToFit="1"/>
    </xf>
    <xf numFmtId="0" fontId="8" fillId="9" borderId="15" xfId="18" applyFont="1" applyFill="1" applyBorder="1" applyAlignment="1">
      <alignment horizontal="center" vertical="center" shrinkToFit="1"/>
    </xf>
    <xf numFmtId="185" fontId="25" fillId="0" borderId="109" xfId="18" applyNumberFormat="1" applyFont="1" applyBorder="1" applyAlignment="1">
      <alignment horizontal="right" vertical="center" shrinkToFit="1"/>
    </xf>
    <xf numFmtId="183" fontId="25" fillId="0" borderId="110" xfId="18" applyNumberFormat="1" applyFont="1" applyBorder="1" applyAlignment="1">
      <alignment horizontal="left" vertical="center" shrinkToFit="1"/>
    </xf>
    <xf numFmtId="185" fontId="25" fillId="0" borderId="113" xfId="18" applyNumberFormat="1" applyFont="1" applyBorder="1" applyAlignment="1">
      <alignment horizontal="right" vertical="center" shrinkToFit="1"/>
    </xf>
    <xf numFmtId="183" fontId="25" fillId="0" borderId="114" xfId="18" applyNumberFormat="1" applyFont="1" applyBorder="1" applyAlignment="1">
      <alignment horizontal="left" vertical="center" shrinkToFit="1"/>
    </xf>
    <xf numFmtId="0" fontId="35" fillId="9" borderId="14" xfId="18" applyFont="1" applyFill="1" applyBorder="1" applyAlignment="1">
      <alignment horizontal="center" vertical="center" shrinkToFit="1"/>
    </xf>
    <xf numFmtId="0" fontId="22" fillId="9" borderId="109" xfId="18" applyFont="1" applyFill="1" applyBorder="1" applyAlignment="1">
      <alignment horizontal="center" vertical="center" shrinkToFit="1"/>
    </xf>
    <xf numFmtId="0" fontId="8" fillId="9" borderId="33" xfId="18" applyFont="1" applyFill="1" applyBorder="1" applyAlignment="1">
      <alignment horizontal="center" vertical="center" shrinkToFit="1"/>
    </xf>
    <xf numFmtId="0" fontId="8" fillId="12" borderId="38" xfId="18" applyFont="1" applyFill="1" applyBorder="1" applyAlignment="1">
      <alignment horizontal="center" vertical="center" shrinkToFit="1"/>
    </xf>
    <xf numFmtId="0" fontId="8" fillId="12" borderId="43" xfId="18" applyFont="1" applyFill="1" applyBorder="1" applyAlignment="1">
      <alignment horizontal="center" vertical="center" shrinkToFit="1"/>
    </xf>
    <xf numFmtId="0" fontId="8" fillId="12" borderId="15" xfId="18" applyFont="1" applyFill="1" applyBorder="1" applyAlignment="1">
      <alignment horizontal="center" vertical="center" shrinkToFit="1"/>
    </xf>
    <xf numFmtId="0" fontId="2" fillId="22" borderId="51" xfId="0" applyFont="1" applyFill="1" applyBorder="1" applyAlignment="1">
      <alignment horizontal="center" vertical="center" wrapText="1"/>
    </xf>
    <xf numFmtId="0" fontId="0" fillId="0" borderId="51" xfId="0" applyBorder="1" applyAlignment="1">
      <alignment horizontal="center" vertical="center" wrapText="1"/>
    </xf>
    <xf numFmtId="0" fontId="0" fillId="0" borderId="64" xfId="0" applyBorder="1" applyAlignment="1">
      <alignment vertical="center" shrinkToFit="1"/>
    </xf>
    <xf numFmtId="0" fontId="0" fillId="0" borderId="14" xfId="0" applyBorder="1" applyAlignment="1">
      <alignment vertical="center" shrinkToFit="1"/>
    </xf>
    <xf numFmtId="0" fontId="8" fillId="0" borderId="15" xfId="18" applyFont="1" applyBorder="1" applyAlignment="1">
      <alignment horizontal="center" vertical="center" shrinkToFit="1"/>
    </xf>
    <xf numFmtId="0" fontId="8" fillId="12" borderId="33" xfId="18" applyFont="1" applyFill="1" applyBorder="1" applyAlignment="1">
      <alignment horizontal="center" vertical="center" shrinkToFit="1"/>
    </xf>
    <xf numFmtId="0" fontId="8" fillId="12" borderId="35" xfId="18" applyFont="1" applyFill="1" applyBorder="1" applyAlignment="1">
      <alignment horizontal="center" vertical="center" shrinkToFit="1"/>
    </xf>
    <xf numFmtId="0" fontId="9" fillId="12" borderId="51" xfId="0" applyFont="1" applyFill="1" applyBorder="1" applyAlignment="1">
      <alignment horizontal="center" vertical="center" wrapText="1"/>
    </xf>
    <xf numFmtId="0" fontId="31" fillId="12" borderId="51" xfId="0" applyFont="1" applyFill="1" applyBorder="1" applyAlignment="1">
      <alignment horizontal="center" vertical="center" wrapText="1"/>
    </xf>
    <xf numFmtId="0" fontId="0" fillId="0" borderId="0" xfId="0" applyAlignment="1">
      <alignment vertical="center" shrinkToFit="1"/>
    </xf>
    <xf numFmtId="0" fontId="8" fillId="12" borderId="2" xfId="18" applyFont="1" applyFill="1" applyBorder="1" applyAlignment="1">
      <alignment horizontal="center" vertical="center" shrinkToFit="1"/>
    </xf>
    <xf numFmtId="0" fontId="53" fillId="23" borderId="139" xfId="0" applyFont="1" applyFill="1" applyBorder="1" applyAlignment="1">
      <alignment horizontal="center" vertical="center"/>
    </xf>
    <xf numFmtId="0" fontId="1" fillId="0" borderId="0" xfId="0" applyFont="1" applyAlignment="1">
      <alignment horizontal="center" vertical="center" wrapText="1" shrinkToFit="1"/>
    </xf>
    <xf numFmtId="0" fontId="7" fillId="0" borderId="11" xfId="0" applyFont="1" applyBorder="1" applyAlignment="1">
      <alignment horizontal="center" vertical="center" wrapText="1" shrinkToFit="1"/>
    </xf>
    <xf numFmtId="0" fontId="9" fillId="0" borderId="0" xfId="18" applyFont="1" applyAlignment="1">
      <alignment horizontal="left" vertical="center" shrinkToFit="1"/>
    </xf>
    <xf numFmtId="0" fontId="7" fillId="0" borderId="11" xfId="0" applyFont="1" applyBorder="1" applyAlignment="1">
      <alignment horizontal="center" vertical="center" shrinkToFit="1"/>
    </xf>
    <xf numFmtId="0" fontId="12" fillId="14" borderId="26" xfId="0" applyFont="1" applyFill="1" applyBorder="1" applyAlignment="1">
      <alignment horizontal="center" vertical="center" shrinkToFit="1"/>
    </xf>
    <xf numFmtId="0" fontId="12" fillId="15" borderId="28" xfId="0" applyFont="1" applyFill="1" applyBorder="1" applyAlignment="1">
      <alignment horizontal="center" vertical="center" shrinkToFit="1"/>
    </xf>
    <xf numFmtId="0" fontId="7" fillId="20" borderId="32" xfId="0" applyFont="1" applyFill="1" applyBorder="1" applyAlignment="1">
      <alignment horizontal="center" vertical="center" shrinkToFit="1"/>
    </xf>
    <xf numFmtId="0" fontId="7" fillId="19" borderId="32" xfId="0" applyFont="1" applyFill="1" applyBorder="1" applyAlignment="1">
      <alignment horizontal="center" vertical="center" shrinkToFit="1"/>
    </xf>
    <xf numFmtId="0" fontId="7" fillId="20" borderId="34" xfId="0" applyFont="1" applyFill="1" applyBorder="1" applyAlignment="1">
      <alignment horizontal="center" vertical="center" shrinkToFit="1"/>
    </xf>
    <xf numFmtId="0" fontId="10" fillId="11" borderId="36" xfId="0" applyFont="1" applyFill="1" applyBorder="1" applyAlignment="1">
      <alignment horizontal="center" vertical="center" shrinkToFit="1"/>
    </xf>
    <xf numFmtId="0" fontId="7" fillId="13" borderId="36" xfId="0" applyFont="1" applyFill="1" applyBorder="1" applyAlignment="1">
      <alignment horizontal="center" vertical="center" shrinkToFit="1"/>
    </xf>
    <xf numFmtId="0" fontId="7" fillId="13" borderId="12" xfId="0" applyFont="1" applyFill="1" applyBorder="1" applyAlignment="1">
      <alignment horizontal="center" vertical="center" shrinkToFit="1"/>
    </xf>
    <xf numFmtId="0" fontId="7" fillId="13" borderId="37" xfId="0" applyFont="1" applyFill="1" applyBorder="1" applyAlignment="1">
      <alignment horizontal="center" vertical="center" shrinkToFit="1"/>
    </xf>
    <xf numFmtId="0" fontId="7" fillId="14" borderId="62" xfId="0" applyFont="1" applyFill="1" applyBorder="1" applyAlignment="1">
      <alignment horizontal="center" vertical="center" shrinkToFit="1"/>
    </xf>
    <xf numFmtId="0" fontId="7" fillId="14" borderId="13" xfId="0" applyFont="1" applyFill="1" applyBorder="1" applyAlignment="1">
      <alignment horizontal="center" vertical="center" shrinkToFit="1"/>
    </xf>
    <xf numFmtId="0" fontId="7" fillId="14" borderId="63" xfId="0" applyFont="1" applyFill="1" applyBorder="1" applyAlignment="1">
      <alignment horizontal="center" vertical="center" shrinkToFit="1"/>
    </xf>
    <xf numFmtId="0" fontId="7" fillId="14" borderId="27" xfId="0" applyFont="1" applyFill="1" applyBorder="1" applyAlignment="1">
      <alignment horizontal="center" vertical="center" shrinkToFit="1"/>
    </xf>
    <xf numFmtId="0" fontId="0" fillId="14" borderId="13" xfId="0" applyFill="1" applyBorder="1" applyAlignment="1">
      <alignment horizontal="center" vertical="center" shrinkToFit="1"/>
    </xf>
    <xf numFmtId="0" fontId="0" fillId="14" borderId="63" xfId="0" applyFill="1" applyBorder="1" applyAlignment="1">
      <alignment horizontal="center" vertical="center" shrinkToFit="1"/>
    </xf>
    <xf numFmtId="0" fontId="7" fillId="6" borderId="38" xfId="0" applyFont="1" applyFill="1" applyBorder="1" applyAlignment="1">
      <alignment horizontal="center" vertical="center" shrinkToFit="1"/>
    </xf>
    <xf numFmtId="0" fontId="7" fillId="6" borderId="14" xfId="0" applyFont="1" applyFill="1" applyBorder="1" applyAlignment="1">
      <alignment horizontal="center" vertical="center" shrinkToFit="1"/>
    </xf>
    <xf numFmtId="0" fontId="7" fillId="6" borderId="33" xfId="0" applyFont="1" applyFill="1" applyBorder="1" applyAlignment="1">
      <alignment horizontal="center" vertical="center" shrinkToFit="1"/>
    </xf>
    <xf numFmtId="0" fontId="0" fillId="15" borderId="64" xfId="0" applyFill="1" applyBorder="1" applyAlignment="1">
      <alignment horizontal="center" vertical="center" shrinkToFit="1"/>
    </xf>
    <xf numFmtId="0" fontId="7" fillId="15" borderId="14" xfId="0" applyFont="1" applyFill="1" applyBorder="1" applyAlignment="1">
      <alignment horizontal="center" vertical="center" shrinkToFit="1"/>
    </xf>
    <xf numFmtId="0" fontId="0" fillId="15" borderId="14" xfId="0" applyFill="1" applyBorder="1" applyAlignment="1">
      <alignment horizontal="center" vertical="center" shrinkToFit="1"/>
    </xf>
    <xf numFmtId="0" fontId="0" fillId="15" borderId="33" xfId="0" applyFill="1" applyBorder="1" applyAlignment="1">
      <alignment horizontal="center" vertical="center" shrinkToFit="1"/>
    </xf>
    <xf numFmtId="0" fontId="7" fillId="15" borderId="38" xfId="0" applyFont="1" applyFill="1" applyBorder="1" applyAlignment="1">
      <alignment horizontal="center" vertical="center" shrinkToFit="1"/>
    </xf>
    <xf numFmtId="0" fontId="7" fillId="15" borderId="33" xfId="0" applyFont="1" applyFill="1" applyBorder="1" applyAlignment="1">
      <alignment horizontal="center" vertical="center" shrinkToFit="1"/>
    </xf>
    <xf numFmtId="0" fontId="7" fillId="20" borderId="33" xfId="0" applyFont="1" applyFill="1" applyBorder="1" applyAlignment="1">
      <alignment horizontal="center" vertical="center" shrinkToFit="1"/>
    </xf>
    <xf numFmtId="0" fontId="7" fillId="10" borderId="38" xfId="0" applyFont="1" applyFill="1" applyBorder="1" applyAlignment="1">
      <alignment horizontal="center" vertical="center" shrinkToFit="1"/>
    </xf>
    <xf numFmtId="0" fontId="7" fillId="10" borderId="14" xfId="0" applyFont="1" applyFill="1" applyBorder="1" applyAlignment="1">
      <alignment horizontal="center" vertical="center" shrinkToFit="1"/>
    </xf>
    <xf numFmtId="0" fontId="7" fillId="9" borderId="33" xfId="0" applyFont="1" applyFill="1" applyBorder="1" applyAlignment="1">
      <alignment horizontal="center" vertical="center" shrinkToFit="1"/>
    </xf>
    <xf numFmtId="0" fontId="7" fillId="10" borderId="64" xfId="0" applyFont="1" applyFill="1" applyBorder="1" applyAlignment="1">
      <alignment horizontal="center" vertical="center" shrinkToFit="1"/>
    </xf>
    <xf numFmtId="0" fontId="0" fillId="10" borderId="14" xfId="0" applyFill="1" applyBorder="1" applyAlignment="1">
      <alignment horizontal="center" vertical="center" shrinkToFit="1"/>
    </xf>
    <xf numFmtId="0" fontId="0" fillId="10" borderId="33" xfId="0" applyFill="1" applyBorder="1" applyAlignment="1">
      <alignment horizontal="center" vertical="center" shrinkToFit="1"/>
    </xf>
    <xf numFmtId="0" fontId="10" fillId="11" borderId="37" xfId="0" applyFont="1" applyFill="1" applyBorder="1" applyAlignment="1">
      <alignment horizontal="center" vertical="center" shrinkToFit="1"/>
    </xf>
    <xf numFmtId="0" fontId="7" fillId="16" borderId="38" xfId="0" applyFont="1" applyFill="1" applyBorder="1" applyAlignment="1">
      <alignment horizontal="center" vertical="center" shrinkToFit="1"/>
    </xf>
    <xf numFmtId="0" fontId="7" fillId="16" borderId="14" xfId="0" applyFont="1" applyFill="1" applyBorder="1" applyAlignment="1">
      <alignment horizontal="center" vertical="center" shrinkToFit="1"/>
    </xf>
    <xf numFmtId="0" fontId="7" fillId="16" borderId="33" xfId="0" applyFont="1" applyFill="1" applyBorder="1" applyAlignment="1">
      <alignment horizontal="center" vertical="center" shrinkToFit="1"/>
    </xf>
    <xf numFmtId="0" fontId="0" fillId="16" borderId="14" xfId="0" applyFill="1" applyBorder="1" applyAlignment="1">
      <alignment horizontal="center" vertical="center" shrinkToFit="1"/>
    </xf>
    <xf numFmtId="0" fontId="0" fillId="16" borderId="33" xfId="0" applyFill="1" applyBorder="1" applyAlignment="1">
      <alignment horizontal="center" vertical="center" shrinkToFit="1"/>
    </xf>
    <xf numFmtId="0" fontId="7" fillId="9" borderId="14" xfId="0" applyFont="1" applyFill="1" applyBorder="1" applyAlignment="1">
      <alignment horizontal="center" shrinkToFit="1"/>
    </xf>
    <xf numFmtId="0" fontId="6" fillId="15" borderId="14" xfId="0" applyFont="1" applyFill="1" applyBorder="1" applyAlignment="1">
      <alignment horizontal="center" vertical="center" shrinkToFit="1"/>
    </xf>
    <xf numFmtId="0" fontId="6" fillId="15" borderId="33" xfId="0" applyFont="1" applyFill="1" applyBorder="1" applyAlignment="1">
      <alignment horizontal="center" vertical="center" shrinkToFit="1"/>
    </xf>
    <xf numFmtId="0" fontId="7" fillId="16" borderId="43" xfId="0" applyFont="1" applyFill="1" applyBorder="1" applyAlignment="1">
      <alignment horizontal="center" vertical="center" shrinkToFit="1"/>
    </xf>
    <xf numFmtId="0" fontId="7" fillId="16" borderId="15" xfId="0" applyFont="1" applyFill="1" applyBorder="1" applyAlignment="1">
      <alignment horizontal="center" vertical="center" shrinkToFit="1"/>
    </xf>
    <xf numFmtId="0" fontId="7" fillId="16" borderId="35" xfId="0" applyFont="1" applyFill="1" applyBorder="1" applyAlignment="1">
      <alignment horizontal="center" vertical="center" shrinkToFit="1"/>
    </xf>
    <xf numFmtId="0" fontId="0" fillId="16" borderId="15" xfId="0" applyFill="1" applyBorder="1" applyAlignment="1">
      <alignment horizontal="center" vertical="center" shrinkToFit="1"/>
    </xf>
    <xf numFmtId="0" fontId="0" fillId="16" borderId="35" xfId="0" applyFill="1" applyBorder="1" applyAlignment="1">
      <alignment horizontal="center" vertical="center" shrinkToFit="1"/>
    </xf>
    <xf numFmtId="0" fontId="1" fillId="15" borderId="40" xfId="0" applyFont="1" applyFill="1" applyBorder="1" applyAlignment="1" applyProtection="1">
      <alignment horizontal="center" vertical="center" shrinkToFit="1"/>
      <protection locked="0"/>
    </xf>
    <xf numFmtId="0" fontId="0" fillId="9" borderId="41" xfId="0" applyFill="1" applyBorder="1" applyAlignment="1">
      <alignment horizontal="center" vertical="center"/>
    </xf>
    <xf numFmtId="0" fontId="0" fillId="9" borderId="42" xfId="0" applyFill="1" applyBorder="1" applyAlignment="1">
      <alignment horizontal="center" vertical="center"/>
    </xf>
    <xf numFmtId="0" fontId="7" fillId="9" borderId="15" xfId="0" applyFont="1" applyFill="1" applyBorder="1" applyAlignment="1">
      <alignment horizontal="center" shrinkToFit="1"/>
    </xf>
    <xf numFmtId="0" fontId="6" fillId="15" borderId="15" xfId="0" applyFont="1" applyFill="1" applyBorder="1" applyAlignment="1">
      <alignment horizontal="center" vertical="center" shrinkToFit="1"/>
    </xf>
    <xf numFmtId="0" fontId="6" fillId="15" borderId="35" xfId="0" applyFont="1" applyFill="1" applyBorder="1" applyAlignment="1">
      <alignment horizontal="center" vertical="center" shrinkToFit="1"/>
    </xf>
    <xf numFmtId="0" fontId="0" fillId="20" borderId="15" xfId="0" applyFill="1" applyBorder="1" applyAlignment="1">
      <alignment horizontal="center" vertical="center" shrinkToFit="1"/>
    </xf>
    <xf numFmtId="0" fontId="0" fillId="9" borderId="44" xfId="0" applyFill="1" applyBorder="1" applyAlignment="1">
      <alignment horizontal="center" vertical="center"/>
    </xf>
    <xf numFmtId="0" fontId="0" fillId="13" borderId="51" xfId="0" applyFill="1" applyBorder="1" applyAlignment="1">
      <alignment horizontal="center"/>
    </xf>
    <xf numFmtId="0" fontId="10" fillId="11" borderId="57" xfId="0" applyFont="1" applyFill="1" applyBorder="1" applyAlignment="1">
      <alignment horizontal="center" vertical="center" shrinkToFit="1"/>
    </xf>
    <xf numFmtId="0" fontId="7" fillId="12" borderId="58" xfId="0" applyFont="1" applyFill="1" applyBorder="1" applyAlignment="1">
      <alignment horizontal="center" vertical="center" shrinkToFit="1"/>
    </xf>
    <xf numFmtId="0" fontId="10" fillId="11" borderId="58" xfId="0" applyFont="1" applyFill="1" applyBorder="1" applyAlignment="1">
      <alignment horizontal="center" vertical="center" shrinkToFit="1"/>
    </xf>
    <xf numFmtId="0" fontId="7" fillId="12" borderId="56" xfId="0" applyFont="1" applyFill="1" applyBorder="1" applyAlignment="1">
      <alignment horizontal="center" vertical="center" shrinkToFit="1"/>
    </xf>
    <xf numFmtId="0" fontId="10" fillId="11" borderId="3" xfId="0" applyFont="1" applyFill="1" applyBorder="1" applyAlignment="1">
      <alignment horizontal="center" vertical="center" shrinkToFit="1"/>
    </xf>
    <xf numFmtId="0" fontId="7" fillId="12" borderId="54" xfId="0" applyFont="1" applyFill="1" applyBorder="1" applyAlignment="1">
      <alignment horizontal="center" vertical="center" shrinkToFit="1"/>
    </xf>
    <xf numFmtId="0" fontId="7" fillId="6" borderId="13" xfId="0" applyFont="1" applyFill="1" applyBorder="1" applyAlignment="1">
      <alignment horizontal="center" vertical="center" shrinkToFit="1"/>
    </xf>
    <xf numFmtId="0" fontId="7" fillId="6" borderId="63" xfId="0" applyFont="1" applyFill="1" applyBorder="1" applyAlignment="1">
      <alignment horizontal="center" vertical="center" shrinkToFit="1"/>
    </xf>
    <xf numFmtId="0" fontId="7" fillId="12" borderId="15" xfId="0" applyFont="1" applyFill="1" applyBorder="1" applyAlignment="1">
      <alignment horizontal="center" vertical="center" shrinkToFit="1"/>
    </xf>
    <xf numFmtId="0" fontId="7" fillId="12" borderId="59" xfId="0" applyFont="1" applyFill="1" applyBorder="1" applyAlignment="1">
      <alignment horizontal="center" vertical="center" shrinkToFit="1"/>
    </xf>
    <xf numFmtId="0" fontId="7" fillId="12" borderId="35" xfId="0" applyFont="1" applyFill="1" applyBorder="1" applyAlignment="1">
      <alignment horizontal="center" vertical="center" shrinkToFit="1"/>
    </xf>
    <xf numFmtId="0" fontId="7" fillId="12" borderId="14" xfId="0" applyFont="1" applyFill="1" applyBorder="1" applyAlignment="1">
      <alignment horizontal="center" vertical="center" shrinkToFit="1"/>
    </xf>
    <xf numFmtId="0" fontId="7" fillId="10" borderId="70" xfId="0" applyFont="1" applyFill="1" applyBorder="1" applyAlignment="1">
      <alignment horizontal="center" vertical="center" shrinkToFit="1"/>
    </xf>
    <xf numFmtId="0" fontId="7" fillId="10" borderId="15" xfId="0" applyFont="1" applyFill="1" applyBorder="1" applyAlignment="1">
      <alignment horizontal="center" vertical="center" shrinkToFit="1"/>
    </xf>
    <xf numFmtId="0" fontId="0" fillId="10" borderId="15" xfId="0" applyFill="1" applyBorder="1" applyAlignment="1">
      <alignment horizontal="center" vertical="center" shrinkToFit="1"/>
    </xf>
    <xf numFmtId="0" fontId="0" fillId="10" borderId="35" xfId="0" applyFill="1" applyBorder="1" applyAlignment="1">
      <alignment horizontal="center" vertical="center" shrinkToFit="1"/>
    </xf>
    <xf numFmtId="0" fontId="7" fillId="0" borderId="12" xfId="0" applyFont="1" applyBorder="1" applyAlignment="1">
      <alignment horizontal="center" shrinkToFit="1"/>
    </xf>
    <xf numFmtId="0" fontId="7" fillId="0" borderId="37" xfId="0" applyFont="1" applyBorder="1" applyAlignment="1">
      <alignment horizontal="center" shrinkToFit="1"/>
    </xf>
    <xf numFmtId="0" fontId="7" fillId="0" borderId="15" xfId="0" applyFont="1" applyBorder="1" applyAlignment="1">
      <alignment horizontal="center" shrinkToFit="1"/>
    </xf>
    <xf numFmtId="0" fontId="7" fillId="0" borderId="35" xfId="0" applyFont="1" applyBorder="1" applyAlignment="1">
      <alignment horizontal="center" shrinkToFit="1"/>
    </xf>
    <xf numFmtId="0" fontId="16" fillId="0" borderId="0" xfId="0" applyFont="1"/>
    <xf numFmtId="0" fontId="16" fillId="12" borderId="2" xfId="0" applyFont="1" applyFill="1" applyBorder="1" applyAlignment="1">
      <alignment vertical="top" wrapText="1"/>
    </xf>
    <xf numFmtId="0" fontId="7" fillId="12" borderId="2" xfId="0" applyFont="1" applyFill="1" applyBorder="1" applyAlignment="1">
      <alignment vertical="top" wrapText="1"/>
    </xf>
    <xf numFmtId="0" fontId="40" fillId="0" borderId="0" xfId="0" applyFont="1"/>
    <xf numFmtId="0" fontId="16" fillId="0" borderId="0" xfId="0" applyFont="1" applyAlignment="1">
      <alignment vertical="top" wrapText="1"/>
    </xf>
    <xf numFmtId="0" fontId="16" fillId="0" borderId="0" xfId="19"/>
    <xf numFmtId="0" fontId="16" fillId="0" borderId="0" xfId="19" applyAlignment="1">
      <alignment horizontal="center"/>
    </xf>
    <xf numFmtId="0" fontId="53" fillId="23" borderId="138" xfId="0" applyFont="1" applyFill="1" applyBorder="1" applyAlignment="1">
      <alignment horizontal="center" vertical="center"/>
    </xf>
    <xf numFmtId="0" fontId="0" fillId="0" borderId="133" xfId="0" applyBorder="1" applyAlignment="1">
      <alignment horizontal="center" vertical="center"/>
    </xf>
    <xf numFmtId="0" fontId="0" fillId="23" borderId="133" xfId="0" applyFill="1" applyBorder="1" applyAlignment="1">
      <alignment horizontal="center" vertical="center"/>
    </xf>
    <xf numFmtId="56" fontId="53" fillId="23" borderId="139" xfId="0" applyNumberFormat="1" applyFont="1" applyFill="1" applyBorder="1" applyAlignment="1">
      <alignment horizontal="center" vertical="center" wrapText="1"/>
    </xf>
    <xf numFmtId="0" fontId="16" fillId="27" borderId="0" xfId="0" applyFont="1" applyFill="1"/>
    <xf numFmtId="0" fontId="40" fillId="27" borderId="0" xfId="0" applyFont="1" applyFill="1"/>
    <xf numFmtId="0" fontId="41" fillId="27" borderId="0" xfId="0" applyFont="1" applyFill="1" applyAlignment="1">
      <alignment vertical="top" wrapText="1"/>
    </xf>
    <xf numFmtId="0" fontId="39" fillId="26" borderId="2" xfId="0" applyFont="1" applyFill="1" applyBorder="1" applyAlignment="1">
      <alignment horizontal="center" vertical="center"/>
    </xf>
    <xf numFmtId="0" fontId="0" fillId="28" borderId="0" xfId="0" applyFill="1"/>
    <xf numFmtId="0" fontId="8" fillId="28" borderId="0" xfId="18" applyFont="1" applyFill="1" applyAlignment="1">
      <alignment horizontal="center" vertical="center" shrinkToFit="1"/>
    </xf>
    <xf numFmtId="0" fontId="0" fillId="28" borderId="0" xfId="0" applyFill="1" applyAlignment="1">
      <alignment vertical="center" shrinkToFit="1"/>
    </xf>
    <xf numFmtId="0" fontId="29" fillId="28" borderId="0" xfId="0" applyFont="1" applyFill="1"/>
    <xf numFmtId="0" fontId="32" fillId="24" borderId="91" xfId="0" applyFont="1" applyFill="1" applyBorder="1" applyAlignment="1">
      <alignment horizontal="center" vertical="center" shrinkToFit="1"/>
    </xf>
    <xf numFmtId="0" fontId="33" fillId="26" borderId="6" xfId="0" applyFont="1" applyFill="1" applyBorder="1" applyAlignment="1">
      <alignment horizontal="center" vertical="center" shrinkToFit="1"/>
    </xf>
    <xf numFmtId="0" fontId="33" fillId="26" borderId="75" xfId="0" applyFont="1" applyFill="1" applyBorder="1" applyAlignment="1">
      <alignment horizontal="center" vertical="center" shrinkToFit="1"/>
    </xf>
    <xf numFmtId="0" fontId="0" fillId="26" borderId="9" xfId="0" applyFill="1" applyBorder="1" applyAlignment="1">
      <alignment horizontal="center" vertical="center" shrinkToFit="1"/>
    </xf>
    <xf numFmtId="0" fontId="6" fillId="26" borderId="10" xfId="0" applyFont="1" applyFill="1" applyBorder="1" applyAlignment="1">
      <alignment horizontal="center" vertical="center" shrinkToFit="1"/>
    </xf>
    <xf numFmtId="0" fontId="6" fillId="26" borderId="77" xfId="0" applyFont="1" applyFill="1" applyBorder="1" applyAlignment="1">
      <alignment horizontal="center" vertical="center" shrinkToFit="1"/>
    </xf>
    <xf numFmtId="0" fontId="8" fillId="25" borderId="10" xfId="18" applyFont="1" applyFill="1" applyBorder="1" applyAlignment="1">
      <alignment horizontal="center" vertical="center" shrinkToFit="1"/>
    </xf>
    <xf numFmtId="0" fontId="8" fillId="25" borderId="77" xfId="18" applyFont="1" applyFill="1" applyBorder="1" applyAlignment="1">
      <alignment horizontal="center" vertical="center" shrinkToFit="1"/>
    </xf>
    <xf numFmtId="0" fontId="22" fillId="25" borderId="1" xfId="0" applyFont="1" applyFill="1" applyBorder="1" applyAlignment="1">
      <alignment horizontal="center" vertical="center" shrinkToFit="1"/>
    </xf>
    <xf numFmtId="0" fontId="22" fillId="25" borderId="76" xfId="0" applyFont="1" applyFill="1" applyBorder="1" applyAlignment="1">
      <alignment horizontal="center" vertical="center" shrinkToFit="1"/>
    </xf>
    <xf numFmtId="189" fontId="6" fillId="25" borderId="10" xfId="0" applyNumberFormat="1" applyFont="1" applyFill="1" applyBorder="1" applyAlignment="1">
      <alignment horizontal="center" vertical="center" shrinkToFit="1"/>
    </xf>
    <xf numFmtId="189" fontId="6" fillId="25" borderId="77" xfId="0" applyNumberFormat="1" applyFont="1" applyFill="1" applyBorder="1" applyAlignment="1">
      <alignment horizontal="center" vertical="center" shrinkToFit="1"/>
    </xf>
    <xf numFmtId="0" fontId="14" fillId="29" borderId="92" xfId="0" applyFont="1" applyFill="1" applyBorder="1" applyAlignment="1" applyProtection="1">
      <alignment horizontal="center" vertical="center" shrinkToFit="1"/>
      <protection locked="0"/>
    </xf>
    <xf numFmtId="0" fontId="14" fillId="29" borderId="98" xfId="0" applyFont="1" applyFill="1" applyBorder="1" applyAlignment="1" applyProtection="1">
      <alignment horizontal="center" vertical="center" shrinkToFit="1"/>
      <protection locked="0"/>
    </xf>
    <xf numFmtId="49" fontId="8" fillId="12" borderId="2" xfId="18" applyNumberFormat="1" applyFont="1" applyFill="1" applyBorder="1" applyAlignment="1">
      <alignment horizontal="center" vertical="center" shrinkToFit="1"/>
    </xf>
    <xf numFmtId="49" fontId="22" fillId="25" borderId="162" xfId="0" applyNumberFormat="1" applyFont="1" applyFill="1" applyBorder="1" applyAlignment="1">
      <alignment horizontal="center" vertical="center" shrinkToFit="1"/>
    </xf>
    <xf numFmtId="49" fontId="33" fillId="26" borderId="162" xfId="0" applyNumberFormat="1" applyFont="1" applyFill="1" applyBorder="1" applyAlignment="1">
      <alignment horizontal="center" vertical="center" shrinkToFit="1"/>
    </xf>
    <xf numFmtId="49" fontId="22" fillId="29" borderId="162" xfId="0" applyNumberFormat="1" applyFont="1" applyFill="1" applyBorder="1" applyAlignment="1" applyProtection="1">
      <alignment horizontal="center" vertical="center" shrinkToFit="1"/>
      <protection locked="0"/>
    </xf>
    <xf numFmtId="0" fontId="0" fillId="31" borderId="0" xfId="0" applyFill="1" applyAlignment="1">
      <alignment vertical="center" shrinkToFit="1"/>
    </xf>
    <xf numFmtId="0" fontId="8" fillId="31" borderId="0" xfId="18" applyFont="1" applyFill="1" applyAlignment="1">
      <alignment horizontal="center" vertical="center" shrinkToFit="1"/>
    </xf>
    <xf numFmtId="0" fontId="0" fillId="31" borderId="0" xfId="0" applyFill="1"/>
    <xf numFmtId="0" fontId="9" fillId="31" borderId="0" xfId="18" applyFont="1" applyFill="1" applyAlignment="1">
      <alignment horizontal="left" vertical="center" shrinkToFit="1"/>
    </xf>
    <xf numFmtId="0" fontId="25" fillId="31" borderId="93" xfId="18" applyFont="1" applyFill="1" applyBorder="1" applyAlignment="1">
      <alignment horizontal="center" vertical="center" shrinkToFit="1"/>
    </xf>
    <xf numFmtId="0" fontId="25" fillId="31" borderId="94" xfId="18" applyFont="1" applyFill="1" applyBorder="1" applyAlignment="1">
      <alignment horizontal="center" vertical="center" shrinkToFit="1"/>
    </xf>
    <xf numFmtId="0" fontId="25" fillId="31" borderId="96" xfId="18" applyFont="1" applyFill="1" applyBorder="1" applyAlignment="1">
      <alignment horizontal="center" vertical="center" shrinkToFit="1"/>
    </xf>
    <xf numFmtId="0" fontId="8" fillId="31" borderId="14" xfId="18" applyFont="1" applyFill="1" applyBorder="1" applyAlignment="1">
      <alignment horizontal="center" vertical="center" shrinkToFit="1"/>
    </xf>
    <xf numFmtId="0" fontId="25" fillId="31" borderId="99" xfId="18" applyFont="1" applyFill="1" applyBorder="1" applyAlignment="1">
      <alignment horizontal="center" vertical="center" shrinkToFit="1"/>
    </xf>
    <xf numFmtId="0" fontId="8" fillId="31" borderId="34" xfId="18" applyFont="1" applyFill="1" applyBorder="1" applyAlignment="1">
      <alignment horizontal="center" vertical="center" shrinkToFit="1"/>
    </xf>
    <xf numFmtId="0" fontId="25" fillId="31" borderId="95" xfId="18" applyFont="1" applyFill="1" applyBorder="1" applyAlignment="1">
      <alignment horizontal="center" vertical="center" shrinkToFit="1"/>
    </xf>
    <xf numFmtId="0" fontId="8" fillId="31" borderId="97" xfId="18" applyFont="1" applyFill="1" applyBorder="1" applyAlignment="1">
      <alignment horizontal="center" vertical="center" shrinkToFit="1"/>
    </xf>
    <xf numFmtId="0" fontId="8" fillId="31" borderId="100" xfId="18" applyFont="1" applyFill="1" applyBorder="1" applyAlignment="1">
      <alignment horizontal="center" vertical="center" shrinkToFit="1"/>
    </xf>
    <xf numFmtId="0" fontId="25" fillId="31" borderId="16" xfId="18" applyFont="1" applyFill="1" applyBorder="1" applyAlignment="1">
      <alignment horizontal="center" vertical="center" shrinkToFit="1"/>
    </xf>
    <xf numFmtId="0" fontId="36" fillId="31" borderId="117" xfId="18" applyFont="1" applyFill="1" applyBorder="1" applyAlignment="1">
      <alignment horizontal="center" vertical="center" shrinkToFit="1"/>
    </xf>
    <xf numFmtId="0" fontId="8" fillId="31" borderId="17" xfId="18" applyFont="1" applyFill="1" applyBorder="1" applyAlignment="1">
      <alignment horizontal="center" vertical="center" shrinkToFit="1"/>
    </xf>
    <xf numFmtId="0" fontId="8" fillId="31" borderId="103" xfId="18" applyFont="1" applyFill="1" applyBorder="1" applyAlignment="1">
      <alignment horizontal="center" vertical="center" shrinkToFit="1"/>
    </xf>
    <xf numFmtId="0" fontId="25" fillId="31" borderId="101" xfId="18" applyFont="1" applyFill="1" applyBorder="1" applyAlignment="1">
      <alignment horizontal="center" vertical="center" shrinkToFit="1"/>
    </xf>
    <xf numFmtId="0" fontId="25" fillId="31" borderId="102" xfId="18" applyFont="1" applyFill="1" applyBorder="1" applyAlignment="1">
      <alignment horizontal="center" vertical="center" shrinkToFit="1"/>
    </xf>
    <xf numFmtId="0" fontId="25" fillId="31" borderId="43" xfId="18" applyFont="1" applyFill="1" applyBorder="1" applyAlignment="1">
      <alignment horizontal="center" vertical="center" shrinkToFit="1"/>
    </xf>
    <xf numFmtId="0" fontId="8" fillId="31" borderId="120" xfId="18" applyFont="1" applyFill="1" applyBorder="1" applyAlignment="1">
      <alignment horizontal="center" vertical="center" shrinkToFit="1"/>
    </xf>
    <xf numFmtId="0" fontId="8" fillId="31" borderId="33" xfId="18" applyFont="1" applyFill="1" applyBorder="1" applyAlignment="1">
      <alignment horizontal="center" vertical="center" shrinkToFit="1"/>
    </xf>
    <xf numFmtId="0" fontId="8" fillId="31" borderId="35" xfId="18" applyFont="1" applyFill="1" applyBorder="1" applyAlignment="1">
      <alignment horizontal="center" vertical="center" shrinkToFit="1"/>
    </xf>
    <xf numFmtId="0" fontId="8" fillId="31" borderId="118" xfId="18" applyFont="1" applyFill="1" applyBorder="1" applyAlignment="1">
      <alignment horizontal="center" vertical="center" shrinkToFit="1"/>
    </xf>
    <xf numFmtId="0" fontId="8" fillId="31" borderId="119" xfId="18" applyFont="1" applyFill="1" applyBorder="1" applyAlignment="1">
      <alignment horizontal="center" vertical="center" shrinkToFit="1"/>
    </xf>
    <xf numFmtId="0" fontId="0" fillId="31" borderId="36" xfId="0" applyFill="1" applyBorder="1" applyAlignment="1">
      <alignment horizontal="center" vertical="center" shrinkToFit="1"/>
    </xf>
    <xf numFmtId="0" fontId="0" fillId="31" borderId="122" xfId="0" applyFill="1" applyBorder="1" applyAlignment="1">
      <alignment horizontal="center" vertical="center" shrinkToFit="1"/>
    </xf>
    <xf numFmtId="0" fontId="0" fillId="31" borderId="37" xfId="0" applyFill="1" applyBorder="1" applyAlignment="1">
      <alignment horizontal="center" vertical="center" shrinkToFit="1"/>
    </xf>
    <xf numFmtId="0" fontId="22" fillId="31" borderId="124" xfId="18" applyFont="1" applyFill="1" applyBorder="1" applyAlignment="1">
      <alignment horizontal="center" vertical="center" shrinkToFit="1"/>
    </xf>
    <xf numFmtId="0" fontId="8" fillId="31" borderId="115" xfId="18" applyFont="1" applyFill="1" applyBorder="1" applyAlignment="1">
      <alignment horizontal="center" vertical="center" shrinkToFit="1"/>
    </xf>
    <xf numFmtId="0" fontId="8" fillId="31" borderId="111" xfId="18" applyFont="1" applyFill="1" applyBorder="1" applyAlignment="1">
      <alignment horizontal="center" vertical="center" shrinkToFit="1"/>
    </xf>
    <xf numFmtId="0" fontId="9" fillId="31" borderId="106" xfId="18" applyFont="1" applyFill="1" applyBorder="1" applyAlignment="1">
      <alignment horizontal="center" vertical="center" shrinkToFit="1"/>
    </xf>
    <xf numFmtId="0" fontId="9" fillId="31" borderId="107" xfId="18" applyFont="1" applyFill="1" applyBorder="1" applyAlignment="1">
      <alignment horizontal="center" vertical="center" shrinkToFit="1"/>
    </xf>
    <xf numFmtId="0" fontId="0" fillId="31" borderId="43" xfId="0" applyFill="1" applyBorder="1" applyAlignment="1">
      <alignment horizontal="center" vertical="center" shrinkToFit="1"/>
    </xf>
    <xf numFmtId="0" fontId="0" fillId="31" borderId="12" xfId="0" applyFill="1" applyBorder="1" applyAlignment="1">
      <alignment horizontal="center" vertical="center" shrinkToFit="1"/>
    </xf>
    <xf numFmtId="0" fontId="7" fillId="31" borderId="16" xfId="0" applyFont="1" applyFill="1" applyBorder="1" applyAlignment="1">
      <alignment horizontal="center" vertical="center" shrinkToFit="1"/>
    </xf>
    <xf numFmtId="0" fontId="8" fillId="31" borderId="38" xfId="18" applyFont="1" applyFill="1" applyBorder="1" applyAlignment="1">
      <alignment horizontal="center" vertical="center" shrinkToFit="1"/>
    </xf>
    <xf numFmtId="0" fontId="35" fillId="31" borderId="14" xfId="18" applyFont="1" applyFill="1" applyBorder="1" applyAlignment="1">
      <alignment horizontal="center" vertical="center" shrinkToFit="1"/>
    </xf>
    <xf numFmtId="0" fontId="25" fillId="31" borderId="38" xfId="18" applyFont="1" applyFill="1" applyBorder="1" applyAlignment="1">
      <alignment horizontal="center" vertical="center" shrinkToFit="1"/>
    </xf>
    <xf numFmtId="0" fontId="25" fillId="31" borderId="116" xfId="18" applyFont="1" applyFill="1" applyBorder="1" applyAlignment="1">
      <alignment horizontal="center" vertical="center" shrinkToFit="1"/>
    </xf>
    <xf numFmtId="0" fontId="22" fillId="31" borderId="14" xfId="18" applyFont="1" applyFill="1" applyBorder="1" applyAlignment="1">
      <alignment horizontal="center" vertical="center" shrinkToFit="1"/>
    </xf>
    <xf numFmtId="0" fontId="8" fillId="31" borderId="15" xfId="18" applyFont="1" applyFill="1" applyBorder="1" applyAlignment="1">
      <alignment horizontal="center" vertical="center" shrinkToFit="1"/>
    </xf>
    <xf numFmtId="0" fontId="22" fillId="31" borderId="109" xfId="18" applyFont="1" applyFill="1" applyBorder="1" applyAlignment="1">
      <alignment horizontal="center" vertical="center" shrinkToFit="1"/>
    </xf>
    <xf numFmtId="0" fontId="22" fillId="31" borderId="15" xfId="18" applyFont="1" applyFill="1" applyBorder="1" applyAlignment="1">
      <alignment horizontal="center" vertical="center" shrinkToFit="1"/>
    </xf>
    <xf numFmtId="0" fontId="9" fillId="31" borderId="14" xfId="18" applyFont="1" applyFill="1" applyBorder="1" applyAlignment="1">
      <alignment horizontal="center" vertical="center" shrinkToFit="1"/>
    </xf>
    <xf numFmtId="0" fontId="8" fillId="25" borderId="25" xfId="18" applyFont="1" applyFill="1" applyBorder="1" applyAlignment="1">
      <alignment horizontal="center" vertical="center" shrinkToFit="1"/>
    </xf>
    <xf numFmtId="190" fontId="0" fillId="25" borderId="96" xfId="0" applyNumberFormat="1" applyFill="1" applyBorder="1" applyAlignment="1">
      <alignment horizontal="center" vertical="center" shrinkToFit="1"/>
    </xf>
    <xf numFmtId="190" fontId="0" fillId="25" borderId="123" xfId="0" applyNumberFormat="1" applyFill="1" applyBorder="1" applyAlignment="1">
      <alignment horizontal="center" vertical="center" shrinkToFit="1"/>
    </xf>
    <xf numFmtId="190" fontId="0" fillId="25" borderId="124" xfId="0" applyNumberFormat="1" applyFill="1" applyBorder="1" applyAlignment="1">
      <alignment horizontal="center" vertical="center" shrinkToFit="1"/>
    </xf>
    <xf numFmtId="0" fontId="0" fillId="25" borderId="125" xfId="0" applyFill="1" applyBorder="1" applyAlignment="1">
      <alignment horizontal="center" vertical="center" shrinkToFit="1"/>
    </xf>
    <xf numFmtId="0" fontId="0" fillId="25" borderId="81" xfId="0" applyFill="1" applyBorder="1" applyAlignment="1">
      <alignment horizontal="center" vertical="center" shrinkToFit="1"/>
    </xf>
    <xf numFmtId="190" fontId="0" fillId="25" borderId="38" xfId="0" applyNumberFormat="1" applyFill="1" applyBorder="1" applyAlignment="1">
      <alignment horizontal="center" vertical="center"/>
    </xf>
    <xf numFmtId="190" fontId="0" fillId="25" borderId="14" xfId="0" applyNumberFormat="1" applyFill="1" applyBorder="1" applyAlignment="1">
      <alignment horizontal="center" vertical="center"/>
    </xf>
    <xf numFmtId="190" fontId="0" fillId="25" borderId="33" xfId="0" applyNumberFormat="1" applyFill="1" applyBorder="1" applyAlignment="1">
      <alignment horizontal="center" vertical="center"/>
    </xf>
    <xf numFmtId="190" fontId="0" fillId="25" borderId="43" xfId="0" applyNumberFormat="1" applyFill="1" applyBorder="1" applyAlignment="1">
      <alignment horizontal="center" vertical="center"/>
    </xf>
    <xf numFmtId="190" fontId="0" fillId="25" borderId="15" xfId="0" applyNumberFormat="1" applyFill="1" applyBorder="1" applyAlignment="1">
      <alignment horizontal="center" vertical="center"/>
    </xf>
    <xf numFmtId="190" fontId="0" fillId="25" borderId="35" xfId="0" applyNumberFormat="1" applyFill="1" applyBorder="1" applyAlignment="1">
      <alignment horizontal="center" vertical="center"/>
    </xf>
    <xf numFmtId="0" fontId="8" fillId="25" borderId="33" xfId="18" applyFont="1" applyFill="1" applyBorder="1" applyAlignment="1">
      <alignment horizontal="center" vertical="center" shrinkToFit="1"/>
    </xf>
    <xf numFmtId="0" fontId="8" fillId="25" borderId="35" xfId="18" applyFont="1" applyFill="1" applyBorder="1" applyAlignment="1">
      <alignment horizontal="center" vertical="center" shrinkToFit="1"/>
    </xf>
    <xf numFmtId="0" fontId="8" fillId="32" borderId="96" xfId="18" applyFont="1" applyFill="1" applyBorder="1" applyAlignment="1">
      <alignment horizontal="center" vertical="center" shrinkToFit="1"/>
    </xf>
    <xf numFmtId="0" fontId="8" fillId="32" borderId="97" xfId="18" applyFont="1" applyFill="1" applyBorder="1" applyAlignment="1">
      <alignment horizontal="center" vertical="center" shrinkToFit="1"/>
    </xf>
    <xf numFmtId="0" fontId="8" fillId="32" borderId="126" xfId="18" applyFont="1" applyFill="1" applyBorder="1" applyAlignment="1">
      <alignment horizontal="center" vertical="center" shrinkToFit="1"/>
    </xf>
    <xf numFmtId="0" fontId="0" fillId="26" borderId="66" xfId="0" applyFill="1" applyBorder="1" applyAlignment="1">
      <alignment horizontal="center" vertical="center" shrinkToFit="1"/>
    </xf>
    <xf numFmtId="0" fontId="6" fillId="26" borderId="12" xfId="0" applyFont="1" applyFill="1" applyBorder="1" applyAlignment="1">
      <alignment horizontal="center" vertical="center" shrinkToFit="1"/>
    </xf>
    <xf numFmtId="0" fontId="8" fillId="26" borderId="33" xfId="18" applyFont="1" applyFill="1" applyBorder="1" applyAlignment="1">
      <alignment horizontal="center" vertical="center" shrinkToFit="1"/>
    </xf>
    <xf numFmtId="0" fontId="6" fillId="26" borderId="14" xfId="0" applyFont="1" applyFill="1" applyBorder="1" applyAlignment="1">
      <alignment horizontal="center" vertical="center" shrinkToFit="1"/>
    </xf>
    <xf numFmtId="0" fontId="6" fillId="26" borderId="15" xfId="0" applyFont="1" applyFill="1" applyBorder="1" applyAlignment="1">
      <alignment horizontal="center" vertical="center" shrinkToFit="1"/>
    </xf>
    <xf numFmtId="0" fontId="8" fillId="26" borderId="35" xfId="18" applyFont="1" applyFill="1" applyBorder="1" applyAlignment="1">
      <alignment horizontal="center" vertical="center" shrinkToFit="1"/>
    </xf>
    <xf numFmtId="0" fontId="57" fillId="31" borderId="0" xfId="0" applyFont="1" applyFill="1" applyAlignment="1">
      <alignment vertical="center"/>
    </xf>
    <xf numFmtId="0" fontId="4" fillId="26" borderId="82" xfId="0" applyFont="1" applyFill="1" applyBorder="1" applyAlignment="1">
      <alignment horizontal="center" vertical="center"/>
    </xf>
    <xf numFmtId="0" fontId="1" fillId="26" borderId="9" xfId="0" applyFont="1" applyFill="1" applyBorder="1" applyAlignment="1">
      <alignment horizontal="center" vertical="center" shrinkToFit="1"/>
    </xf>
    <xf numFmtId="0" fontId="0" fillId="29" borderId="10" xfId="0" applyFill="1" applyBorder="1" applyAlignment="1">
      <alignment horizontal="center" vertical="center" shrinkToFit="1"/>
    </xf>
    <xf numFmtId="0" fontId="8" fillId="36" borderId="0" xfId="18" applyFont="1" applyFill="1" applyAlignment="1">
      <alignment horizontal="center" vertical="center" shrinkToFit="1"/>
    </xf>
    <xf numFmtId="0" fontId="0" fillId="36" borderId="0" xfId="0" applyFill="1" applyAlignment="1">
      <alignment vertical="center"/>
    </xf>
    <xf numFmtId="0" fontId="4" fillId="26" borderId="9" xfId="0" applyFont="1" applyFill="1" applyBorder="1" applyAlignment="1">
      <alignment horizontal="center" vertical="center"/>
    </xf>
    <xf numFmtId="0" fontId="0" fillId="29" borderId="6" xfId="0" applyFill="1" applyBorder="1" applyAlignment="1">
      <alignment horizontal="center" vertical="center" shrinkToFit="1"/>
    </xf>
    <xf numFmtId="0" fontId="2" fillId="24" borderId="9" xfId="0" applyFont="1" applyFill="1" applyBorder="1" applyAlignment="1">
      <alignment horizontal="center" vertical="center" shrinkToFit="1"/>
    </xf>
    <xf numFmtId="0" fontId="0" fillId="29" borderId="75" xfId="0" applyFill="1" applyBorder="1" applyAlignment="1">
      <alignment horizontal="center" vertical="center" shrinkToFit="1"/>
    </xf>
    <xf numFmtId="0" fontId="0" fillId="29" borderId="77" xfId="0" applyFill="1" applyBorder="1" applyAlignment="1">
      <alignment horizontal="center" vertical="center" shrinkToFit="1"/>
    </xf>
    <xf numFmtId="0" fontId="0" fillId="32" borderId="0" xfId="0" applyFill="1" applyAlignment="1">
      <alignment horizontal="left" vertical="center" indent="1" shrinkToFit="1"/>
    </xf>
    <xf numFmtId="0" fontId="0" fillId="25" borderId="77" xfId="0" applyFill="1" applyBorder="1" applyAlignment="1">
      <alignment horizontal="center" vertical="center" indent="1" shrinkToFit="1"/>
    </xf>
    <xf numFmtId="0" fontId="0" fillId="25" borderId="75" xfId="0" applyFill="1" applyBorder="1" applyAlignment="1">
      <alignment horizontal="center" vertical="center" indent="1" shrinkToFit="1"/>
    </xf>
    <xf numFmtId="0" fontId="0" fillId="25" borderId="77" xfId="0" applyFill="1" applyBorder="1" applyAlignment="1">
      <alignment horizontal="center" vertical="center" shrinkToFit="1"/>
    </xf>
    <xf numFmtId="183" fontId="0" fillId="25" borderId="79" xfId="0" applyNumberFormat="1" applyFill="1" applyBorder="1" applyAlignment="1">
      <alignment horizontal="left" vertical="center" shrinkToFit="1"/>
    </xf>
    <xf numFmtId="0" fontId="0" fillId="25" borderId="76" xfId="0" applyFill="1" applyBorder="1" applyAlignment="1">
      <alignment horizontal="center" vertical="center" shrinkToFit="1"/>
    </xf>
    <xf numFmtId="185" fontId="0" fillId="25" borderId="78" xfId="0" applyNumberFormat="1" applyFill="1" applyBorder="1" applyAlignment="1">
      <alignment horizontal="right" vertical="center" shrinkToFit="1"/>
    </xf>
    <xf numFmtId="0" fontId="0" fillId="25" borderId="1" xfId="0" applyFill="1" applyBorder="1" applyAlignment="1">
      <alignment horizontal="center" vertical="center" shrinkToFit="1"/>
    </xf>
    <xf numFmtId="0" fontId="0" fillId="25" borderId="10" xfId="0" applyFill="1" applyBorder="1" applyAlignment="1">
      <alignment horizontal="center" vertical="center" shrinkToFit="1"/>
    </xf>
    <xf numFmtId="0" fontId="0" fillId="26" borderId="6" xfId="0" applyFill="1" applyBorder="1" applyAlignment="1">
      <alignment horizontal="left" vertical="center" indent="1" shrinkToFit="1"/>
    </xf>
    <xf numFmtId="0" fontId="0" fillId="26" borderId="6" xfId="0" applyFill="1" applyBorder="1" applyAlignment="1">
      <alignment horizontal="center" vertical="center" shrinkToFit="1"/>
    </xf>
    <xf numFmtId="0" fontId="0" fillId="26" borderId="75" xfId="0" applyFill="1" applyBorder="1" applyAlignment="1">
      <alignment horizontal="center" vertical="center" shrinkToFit="1"/>
    </xf>
    <xf numFmtId="0" fontId="0" fillId="26" borderId="1" xfId="0" applyFill="1" applyBorder="1" applyAlignment="1">
      <alignment horizontal="left" vertical="center" indent="1" shrinkToFit="1"/>
    </xf>
    <xf numFmtId="0" fontId="0" fillId="26" borderId="10" xfId="0" applyFill="1" applyBorder="1" applyAlignment="1">
      <alignment horizontal="left" vertical="center" indent="1" shrinkToFit="1"/>
    </xf>
    <xf numFmtId="0" fontId="9" fillId="26" borderId="6" xfId="18" applyFont="1" applyFill="1" applyBorder="1" applyAlignment="1">
      <alignment horizontal="center" vertical="center" shrinkToFit="1"/>
    </xf>
    <xf numFmtId="0" fontId="9" fillId="26" borderId="1" xfId="18" applyFont="1" applyFill="1" applyBorder="1" applyAlignment="1">
      <alignment horizontal="center" vertical="center" shrinkToFit="1"/>
    </xf>
    <xf numFmtId="0" fontId="0" fillId="32" borderId="0" xfId="0" applyFill="1" applyAlignment="1">
      <alignment horizontal="left" vertical="center" shrinkToFit="1"/>
    </xf>
    <xf numFmtId="0" fontId="0" fillId="32" borderId="0" xfId="0" applyFill="1" applyAlignment="1">
      <alignment shrinkToFit="1"/>
    </xf>
    <xf numFmtId="0" fontId="0" fillId="32" borderId="0" xfId="0" applyFill="1"/>
    <xf numFmtId="0" fontId="9" fillId="0" borderId="0" xfId="18" applyFont="1" applyAlignment="1">
      <alignment horizontal="center" vertical="center" shrinkToFit="1"/>
    </xf>
    <xf numFmtId="49" fontId="8" fillId="0" borderId="0" xfId="18" applyNumberFormat="1" applyFont="1" applyAlignment="1">
      <alignment horizontal="center" vertical="center" shrinkToFit="1"/>
    </xf>
    <xf numFmtId="49" fontId="22" fillId="0" borderId="0" xfId="0" applyNumberFormat="1" applyFont="1" applyAlignment="1">
      <alignment horizontal="center" vertical="center" shrinkToFit="1"/>
    </xf>
    <xf numFmtId="49" fontId="22" fillId="0" borderId="0" xfId="0" applyNumberFormat="1" applyFont="1" applyAlignment="1" applyProtection="1">
      <alignment horizontal="center" vertical="center" shrinkToFit="1"/>
      <protection locked="0"/>
    </xf>
    <xf numFmtId="49" fontId="22" fillId="0" borderId="0" xfId="0" applyNumberFormat="1" applyFont="1" applyAlignment="1">
      <alignment horizontal="center"/>
    </xf>
    <xf numFmtId="49" fontId="3" fillId="0" borderId="0" xfId="0" applyNumberFormat="1" applyFont="1" applyAlignment="1">
      <alignment horizontal="center" vertical="center" shrinkToFit="1"/>
    </xf>
    <xf numFmtId="0" fontId="7" fillId="0" borderId="0" xfId="0" applyFont="1" applyAlignment="1">
      <alignment horizontal="center" vertical="center" wrapText="1" shrinkToFit="1"/>
    </xf>
    <xf numFmtId="0" fontId="62" fillId="0" borderId="0" xfId="0" applyFont="1"/>
    <xf numFmtId="0" fontId="62" fillId="39" borderId="0" xfId="0" applyFont="1" applyFill="1"/>
    <xf numFmtId="0" fontId="63" fillId="0" borderId="0" xfId="0" applyFont="1" applyAlignment="1">
      <alignment horizontal="center" vertical="center" shrinkToFit="1"/>
    </xf>
    <xf numFmtId="0" fontId="63" fillId="39" borderId="0" xfId="0" applyFont="1" applyFill="1" applyAlignment="1">
      <alignment horizontal="center" vertical="center" shrinkToFit="1"/>
    </xf>
    <xf numFmtId="0" fontId="63" fillId="39" borderId="0" xfId="0" applyFont="1" applyFill="1" applyAlignment="1">
      <alignment vertical="center" shrinkToFit="1"/>
    </xf>
    <xf numFmtId="0" fontId="63" fillId="0" borderId="0" xfId="0" applyFont="1" applyAlignment="1">
      <alignment vertical="center" shrinkToFit="1"/>
    </xf>
    <xf numFmtId="0" fontId="62" fillId="0" borderId="0" xfId="0" applyFont="1" applyAlignment="1">
      <alignment shrinkToFit="1"/>
    </xf>
    <xf numFmtId="0" fontId="63" fillId="0" borderId="11" xfId="0" applyFont="1" applyBorder="1" applyAlignment="1">
      <alignment horizontal="center" vertical="center" shrinkToFit="1"/>
    </xf>
    <xf numFmtId="0" fontId="63" fillId="13" borderId="12" xfId="0" applyFont="1" applyFill="1" applyBorder="1" applyAlignment="1">
      <alignment horizontal="center" vertical="center" shrinkToFit="1"/>
    </xf>
    <xf numFmtId="0" fontId="62" fillId="0" borderId="0" xfId="0" applyFont="1" applyAlignment="1">
      <alignment horizontal="center" vertical="center" shrinkToFit="1"/>
    </xf>
    <xf numFmtId="0" fontId="62" fillId="39" borderId="0" xfId="0" applyFont="1" applyFill="1" applyAlignment="1">
      <alignment horizontal="center" vertical="center" shrinkToFit="1"/>
    </xf>
    <xf numFmtId="0" fontId="62" fillId="14" borderId="13" xfId="0" applyFont="1" applyFill="1" applyBorder="1" applyAlignment="1">
      <alignment horizontal="center" vertical="center" shrinkToFit="1"/>
    </xf>
    <xf numFmtId="0" fontId="62" fillId="15" borderId="14" xfId="0" applyFont="1" applyFill="1" applyBorder="1" applyAlignment="1">
      <alignment horizontal="center" vertical="center" shrinkToFit="1"/>
    </xf>
    <xf numFmtId="0" fontId="62" fillId="0" borderId="67" xfId="0" applyFont="1" applyBorder="1" applyAlignment="1">
      <alignment shrinkToFit="1"/>
    </xf>
    <xf numFmtId="0" fontId="62" fillId="10" borderId="14" xfId="0" applyFont="1" applyFill="1" applyBorder="1" applyAlignment="1">
      <alignment horizontal="center" vertical="center" shrinkToFit="1"/>
    </xf>
    <xf numFmtId="0" fontId="62" fillId="16" borderId="68" xfId="0" applyFont="1" applyFill="1" applyBorder="1" applyAlignment="1">
      <alignment shrinkToFit="1"/>
    </xf>
    <xf numFmtId="0" fontId="62" fillId="16" borderId="14" xfId="0" applyFont="1" applyFill="1" applyBorder="1" applyAlignment="1">
      <alignment horizontal="center" vertical="center" shrinkToFit="1"/>
    </xf>
    <xf numFmtId="0" fontId="62" fillId="16" borderId="69" xfId="0" applyFont="1" applyFill="1" applyBorder="1" applyAlignment="1">
      <alignment shrinkToFit="1"/>
    </xf>
    <xf numFmtId="0" fontId="62" fillId="16" borderId="15" xfId="0" applyFont="1" applyFill="1" applyBorder="1" applyAlignment="1">
      <alignment horizontal="center" vertical="center" shrinkToFit="1"/>
    </xf>
    <xf numFmtId="0" fontId="62" fillId="39" borderId="0" xfId="0" applyFont="1" applyFill="1" applyAlignment="1">
      <alignment shrinkToFit="1"/>
    </xf>
    <xf numFmtId="0" fontId="63" fillId="45" borderId="0" xfId="0" applyFont="1" applyFill="1" applyAlignment="1">
      <alignment horizontal="center" vertical="center" shrinkToFit="1"/>
    </xf>
    <xf numFmtId="0" fontId="62" fillId="28" borderId="0" xfId="0" applyFont="1" applyFill="1" applyAlignment="1">
      <alignment horizontal="center" vertical="center" shrinkToFit="1"/>
    </xf>
    <xf numFmtId="0" fontId="62" fillId="46" borderId="0" xfId="0" applyFont="1" applyFill="1" applyAlignment="1">
      <alignment horizontal="center" vertical="center" shrinkToFit="1"/>
    </xf>
    <xf numFmtId="0" fontId="62" fillId="47" borderId="0" xfId="0" applyFont="1" applyFill="1" applyAlignment="1">
      <alignment horizontal="center" vertical="center" shrinkToFit="1"/>
    </xf>
    <xf numFmtId="0" fontId="61" fillId="37" borderId="176" xfId="0" applyFont="1" applyFill="1" applyBorder="1" applyAlignment="1">
      <alignment horizontal="center" vertical="center" shrinkToFit="1"/>
    </xf>
    <xf numFmtId="0" fontId="61" fillId="37" borderId="177" xfId="0" applyFont="1" applyFill="1" applyBorder="1" applyAlignment="1">
      <alignment horizontal="center" vertical="center" shrinkToFit="1"/>
    </xf>
    <xf numFmtId="0" fontId="61" fillId="40" borderId="175" xfId="0" applyFont="1" applyFill="1" applyBorder="1" applyAlignment="1">
      <alignment horizontal="center" vertical="center" shrinkToFit="1"/>
    </xf>
    <xf numFmtId="0" fontId="63" fillId="28" borderId="151" xfId="0" applyFont="1" applyFill="1" applyBorder="1" applyAlignment="1">
      <alignment vertical="center" shrinkToFit="1"/>
    </xf>
    <xf numFmtId="0" fontId="63" fillId="28" borderId="180" xfId="0" applyFont="1" applyFill="1" applyBorder="1" applyAlignment="1">
      <alignment vertical="center" shrinkToFit="1"/>
    </xf>
    <xf numFmtId="0" fontId="63" fillId="28" borderId="140" xfId="0" applyFont="1" applyFill="1" applyBorder="1" applyAlignment="1">
      <alignment vertical="center" shrinkToFit="1"/>
    </xf>
    <xf numFmtId="0" fontId="63" fillId="28" borderId="169" xfId="0" applyFont="1" applyFill="1" applyBorder="1" applyAlignment="1">
      <alignment vertical="center" shrinkToFit="1"/>
    </xf>
    <xf numFmtId="0" fontId="63" fillId="28" borderId="152" xfId="0" applyFont="1" applyFill="1" applyBorder="1" applyAlignment="1">
      <alignment vertical="center" shrinkToFit="1"/>
    </xf>
    <xf numFmtId="0" fontId="63" fillId="28" borderId="181" xfId="0" applyFont="1" applyFill="1" applyBorder="1" applyAlignment="1">
      <alignment vertical="center" shrinkToFit="1"/>
    </xf>
    <xf numFmtId="0" fontId="63" fillId="28" borderId="137" xfId="0" applyFont="1" applyFill="1" applyBorder="1" applyAlignment="1">
      <alignment vertical="center" shrinkToFit="1"/>
    </xf>
    <xf numFmtId="0" fontId="63" fillId="28" borderId="139" xfId="0" applyFont="1" applyFill="1" applyBorder="1" applyAlignment="1">
      <alignment vertical="center" shrinkToFit="1"/>
    </xf>
    <xf numFmtId="0" fontId="63" fillId="25" borderId="151" xfId="0" applyFont="1" applyFill="1" applyBorder="1" applyAlignment="1">
      <alignment vertical="center" shrinkToFit="1"/>
    </xf>
    <xf numFmtId="0" fontId="63" fillId="25" borderId="180" xfId="0" applyFont="1" applyFill="1" applyBorder="1" applyAlignment="1">
      <alignment vertical="center" shrinkToFit="1"/>
    </xf>
    <xf numFmtId="0" fontId="63" fillId="25" borderId="140" xfId="0" applyFont="1" applyFill="1" applyBorder="1" applyAlignment="1">
      <alignment vertical="center" shrinkToFit="1"/>
    </xf>
    <xf numFmtId="0" fontId="63" fillId="25" borderId="169" xfId="0" applyFont="1" applyFill="1" applyBorder="1" applyAlignment="1">
      <alignment vertical="center" shrinkToFit="1"/>
    </xf>
    <xf numFmtId="0" fontId="63" fillId="25" borderId="152" xfId="0" applyFont="1" applyFill="1" applyBorder="1" applyAlignment="1">
      <alignment vertical="center" shrinkToFit="1"/>
    </xf>
    <xf numFmtId="0" fontId="63" fillId="25" borderId="181" xfId="0" applyFont="1" applyFill="1" applyBorder="1" applyAlignment="1">
      <alignment vertical="center" shrinkToFit="1"/>
    </xf>
    <xf numFmtId="0" fontId="63" fillId="25" borderId="137" xfId="0" applyFont="1" applyFill="1" applyBorder="1" applyAlignment="1">
      <alignment vertical="center" shrinkToFit="1"/>
    </xf>
    <xf numFmtId="0" fontId="63" fillId="25" borderId="139" xfId="0" applyFont="1" applyFill="1" applyBorder="1" applyAlignment="1">
      <alignment vertical="center" shrinkToFit="1"/>
    </xf>
    <xf numFmtId="0" fontId="63" fillId="29" borderId="151" xfId="0" applyFont="1" applyFill="1" applyBorder="1" applyAlignment="1">
      <alignment vertical="center" shrinkToFit="1"/>
    </xf>
    <xf numFmtId="0" fontId="63" fillId="29" borderId="180" xfId="0" applyFont="1" applyFill="1" applyBorder="1" applyAlignment="1">
      <alignment vertical="center" shrinkToFit="1"/>
    </xf>
    <xf numFmtId="0" fontId="63" fillId="29" borderId="140" xfId="0" applyFont="1" applyFill="1" applyBorder="1" applyAlignment="1">
      <alignment vertical="center" shrinkToFit="1"/>
    </xf>
    <xf numFmtId="0" fontId="63" fillId="29" borderId="169" xfId="0" applyFont="1" applyFill="1" applyBorder="1" applyAlignment="1">
      <alignment vertical="center" shrinkToFit="1"/>
    </xf>
    <xf numFmtId="0" fontId="63" fillId="29" borderId="152" xfId="0" applyFont="1" applyFill="1" applyBorder="1" applyAlignment="1">
      <alignment vertical="center" shrinkToFit="1"/>
    </xf>
    <xf numFmtId="0" fontId="63" fillId="29" borderId="181" xfId="0" applyFont="1" applyFill="1" applyBorder="1" applyAlignment="1">
      <alignment vertical="center" shrinkToFit="1"/>
    </xf>
    <xf numFmtId="0" fontId="63" fillId="29" borderId="137" xfId="0" applyFont="1" applyFill="1" applyBorder="1" applyAlignment="1">
      <alignment vertical="center" shrinkToFit="1"/>
    </xf>
    <xf numFmtId="0" fontId="63" fillId="29" borderId="139" xfId="0" applyFont="1" applyFill="1" applyBorder="1" applyAlignment="1">
      <alignment vertical="center" shrinkToFit="1"/>
    </xf>
    <xf numFmtId="0" fontId="7" fillId="48" borderId="188" xfId="0" applyFont="1" applyFill="1" applyBorder="1" applyAlignment="1">
      <alignment horizontal="center" vertical="center" shrinkToFit="1"/>
    </xf>
    <xf numFmtId="0" fontId="7" fillId="48" borderId="190" xfId="0" applyFont="1" applyFill="1" applyBorder="1" applyAlignment="1">
      <alignment horizontal="center" vertical="center" shrinkToFit="1"/>
    </xf>
    <xf numFmtId="0" fontId="63" fillId="52" borderId="172" xfId="0" applyFont="1" applyFill="1" applyBorder="1" applyAlignment="1">
      <alignment vertical="center" shrinkToFit="1"/>
    </xf>
    <xf numFmtId="0" fontId="63" fillId="52" borderId="169" xfId="0" applyFont="1" applyFill="1" applyBorder="1" applyAlignment="1">
      <alignment vertical="center" shrinkToFit="1"/>
    </xf>
    <xf numFmtId="0" fontId="63" fillId="52" borderId="171" xfId="0" applyFont="1" applyFill="1" applyBorder="1" applyAlignment="1">
      <alignment vertical="center" shrinkToFit="1"/>
    </xf>
    <xf numFmtId="0" fontId="63" fillId="52" borderId="180" xfId="0" applyFont="1" applyFill="1" applyBorder="1" applyAlignment="1">
      <alignment vertical="center" shrinkToFit="1"/>
    </xf>
    <xf numFmtId="0" fontId="63" fillId="52" borderId="173" xfId="0" applyFont="1" applyFill="1" applyBorder="1" applyAlignment="1">
      <alignment vertical="center" shrinkToFit="1"/>
    </xf>
    <xf numFmtId="0" fontId="63" fillId="52" borderId="181" xfId="0" applyFont="1" applyFill="1" applyBorder="1" applyAlignment="1">
      <alignment vertical="center" shrinkToFit="1"/>
    </xf>
    <xf numFmtId="0" fontId="63" fillId="52" borderId="160" xfId="0" applyFont="1" applyFill="1" applyBorder="1" applyAlignment="1">
      <alignment vertical="center" shrinkToFit="1"/>
    </xf>
    <xf numFmtId="0" fontId="63" fillId="52" borderId="139" xfId="0" applyFont="1" applyFill="1" applyBorder="1" applyAlignment="1">
      <alignment vertical="center" shrinkToFit="1"/>
    </xf>
    <xf numFmtId="0" fontId="7" fillId="53" borderId="183" xfId="0" applyFont="1" applyFill="1" applyBorder="1" applyAlignment="1">
      <alignment vertical="center" shrinkToFit="1"/>
    </xf>
    <xf numFmtId="0" fontId="7" fillId="53" borderId="176" xfId="0" applyFont="1" applyFill="1" applyBorder="1" applyAlignment="1">
      <alignment vertical="center" shrinkToFit="1"/>
    </xf>
    <xf numFmtId="0" fontId="7" fillId="53" borderId="184" xfId="0" applyFont="1" applyFill="1" applyBorder="1" applyAlignment="1">
      <alignment vertical="center" shrinkToFit="1"/>
    </xf>
    <xf numFmtId="0" fontId="7" fillId="53" borderId="177" xfId="0" applyFont="1" applyFill="1" applyBorder="1" applyAlignment="1">
      <alignment vertical="center" shrinkToFit="1"/>
    </xf>
    <xf numFmtId="0" fontId="7" fillId="54" borderId="151" xfId="0" applyFont="1" applyFill="1" applyBorder="1" applyAlignment="1">
      <alignment horizontal="center" vertical="center" shrinkToFit="1"/>
    </xf>
    <xf numFmtId="0" fontId="64" fillId="55" borderId="137" xfId="0" applyFont="1" applyFill="1" applyBorder="1" applyAlignment="1">
      <alignment horizontal="center" vertical="center"/>
    </xf>
    <xf numFmtId="0" fontId="12" fillId="52" borderId="131" xfId="0" applyFont="1" applyFill="1" applyBorder="1" applyAlignment="1">
      <alignment horizontal="center" vertical="center" shrinkToFit="1"/>
    </xf>
    <xf numFmtId="0" fontId="12" fillId="52" borderId="185" xfId="0" applyFont="1" applyFill="1" applyBorder="1" applyAlignment="1">
      <alignment horizontal="center" vertical="center" shrinkToFit="1"/>
    </xf>
    <xf numFmtId="0" fontId="7" fillId="58" borderId="167" xfId="0" applyFont="1" applyFill="1" applyBorder="1" applyAlignment="1">
      <alignment horizontal="center" vertical="center" shrinkToFit="1"/>
    </xf>
    <xf numFmtId="0" fontId="61" fillId="60" borderId="182" xfId="0" applyFont="1" applyFill="1" applyBorder="1" applyAlignment="1">
      <alignment vertical="center" shrinkToFit="1"/>
    </xf>
    <xf numFmtId="0" fontId="61" fillId="60" borderId="179" xfId="0" applyFont="1" applyFill="1" applyBorder="1" applyAlignment="1">
      <alignment vertical="center" shrinkToFit="1"/>
    </xf>
    <xf numFmtId="0" fontId="61" fillId="56" borderId="178" xfId="0" applyFont="1" applyFill="1" applyBorder="1" applyAlignment="1">
      <alignment vertical="center" shrinkToFit="1"/>
    </xf>
    <xf numFmtId="0" fontId="61" fillId="56" borderId="170" xfId="0" applyFont="1" applyFill="1" applyBorder="1" applyAlignment="1">
      <alignment vertical="center" shrinkToFit="1"/>
    </xf>
    <xf numFmtId="0" fontId="67" fillId="40" borderId="162" xfId="0" applyFont="1" applyFill="1" applyBorder="1" applyAlignment="1">
      <alignment horizontal="center" vertical="center" shrinkToFit="1"/>
    </xf>
    <xf numFmtId="0" fontId="61" fillId="40" borderId="191" xfId="0" applyFont="1" applyFill="1" applyBorder="1" applyAlignment="1">
      <alignment horizontal="center" vertical="center" shrinkToFit="1"/>
    </xf>
    <xf numFmtId="0" fontId="67" fillId="40" borderId="191" xfId="0" applyFont="1" applyFill="1" applyBorder="1" applyAlignment="1">
      <alignment horizontal="center" vertical="center" shrinkToFit="1"/>
    </xf>
    <xf numFmtId="0" fontId="61" fillId="40" borderId="186" xfId="0" applyFont="1" applyFill="1" applyBorder="1" applyAlignment="1">
      <alignment horizontal="center" vertical="center" shrinkToFit="1"/>
    </xf>
    <xf numFmtId="0" fontId="25" fillId="26" borderId="1" xfId="18" applyFont="1" applyFill="1" applyBorder="1" applyAlignment="1">
      <alignment horizontal="center" vertical="center" shrinkToFit="1"/>
    </xf>
    <xf numFmtId="0" fontId="7" fillId="52" borderId="191" xfId="0" applyFont="1" applyFill="1" applyBorder="1" applyAlignment="1">
      <alignment horizontal="center" vertical="center" shrinkToFit="1"/>
    </xf>
    <xf numFmtId="0" fontId="7" fillId="61" borderId="186" xfId="0" applyFont="1" applyFill="1" applyBorder="1" applyAlignment="1">
      <alignment horizontal="center" vertical="center" shrinkToFit="1"/>
    </xf>
    <xf numFmtId="0" fontId="7" fillId="43" borderId="190" xfId="0" applyFont="1" applyFill="1" applyBorder="1" applyAlignment="1">
      <alignment horizontal="center" vertical="center" shrinkToFit="1"/>
    </xf>
    <xf numFmtId="0" fontId="7" fillId="25" borderId="187" xfId="0" applyFont="1" applyFill="1" applyBorder="1" applyAlignment="1">
      <alignment horizontal="center" vertical="center" shrinkToFit="1"/>
    </xf>
    <xf numFmtId="0" fontId="40" fillId="25" borderId="189" xfId="0" applyFont="1" applyFill="1" applyBorder="1" applyAlignment="1">
      <alignment horizontal="center" vertical="center" shrinkToFit="1"/>
    </xf>
    <xf numFmtId="0" fontId="7" fillId="28" borderId="185" xfId="0" applyFont="1" applyFill="1" applyBorder="1" applyAlignment="1">
      <alignment horizontal="center" vertical="center" shrinkToFit="1"/>
    </xf>
    <xf numFmtId="176" fontId="7" fillId="42" borderId="143" xfId="0" applyNumberFormat="1" applyFont="1" applyFill="1" applyBorder="1" applyAlignment="1">
      <alignment horizontal="left" shrinkToFit="1"/>
    </xf>
    <xf numFmtId="176" fontId="7" fillId="43" borderId="143" xfId="0" applyNumberFormat="1" applyFont="1" applyFill="1" applyBorder="1" applyAlignment="1">
      <alignment horizontal="left" shrinkToFit="1"/>
    </xf>
    <xf numFmtId="0" fontId="7" fillId="64" borderId="198" xfId="0" applyFont="1" applyFill="1" applyBorder="1" applyAlignment="1">
      <alignment horizontal="center" shrinkToFit="1"/>
    </xf>
    <xf numFmtId="0" fontId="7" fillId="64" borderId="199" xfId="0" applyFont="1" applyFill="1" applyBorder="1" applyAlignment="1">
      <alignment horizontal="center" shrinkToFit="1"/>
    </xf>
    <xf numFmtId="0" fontId="7" fillId="64" borderId="199" xfId="0" applyFont="1" applyFill="1" applyBorder="1" applyAlignment="1">
      <alignment horizontal="center" vertical="center" shrinkToFit="1"/>
    </xf>
    <xf numFmtId="0" fontId="7" fillId="64" borderId="13" xfId="0" applyFont="1" applyFill="1" applyBorder="1" applyAlignment="1">
      <alignment horizontal="center" vertical="center" shrinkToFit="1"/>
    </xf>
    <xf numFmtId="0" fontId="7" fillId="64" borderId="14" xfId="0" applyFont="1" applyFill="1" applyBorder="1" applyAlignment="1">
      <alignment horizontal="center" vertical="center" shrinkToFit="1"/>
    </xf>
    <xf numFmtId="0" fontId="7" fillId="64" borderId="32" xfId="0" applyFont="1" applyFill="1" applyBorder="1" applyAlignment="1">
      <alignment horizontal="center" vertical="center" shrinkToFit="1"/>
    </xf>
    <xf numFmtId="180" fontId="7" fillId="57" borderId="188" xfId="0" applyNumberFormat="1" applyFont="1" applyFill="1" applyBorder="1" applyAlignment="1">
      <alignment horizontal="center" vertical="center" shrinkToFit="1"/>
    </xf>
    <xf numFmtId="0" fontId="7" fillId="57" borderId="188" xfId="0" applyFont="1" applyFill="1" applyBorder="1" applyAlignment="1">
      <alignment horizontal="center" vertical="center" shrinkToFit="1"/>
    </xf>
    <xf numFmtId="181" fontId="7" fillId="57" borderId="188" xfId="0" applyNumberFormat="1" applyFont="1" applyFill="1" applyBorder="1" applyAlignment="1">
      <alignment horizontal="center" vertical="center" shrinkToFit="1"/>
    </xf>
    <xf numFmtId="0" fontId="6" fillId="65" borderId="27" xfId="0" applyFont="1" applyFill="1" applyBorder="1" applyAlignment="1">
      <alignment horizontal="center" shrinkToFit="1"/>
    </xf>
    <xf numFmtId="0" fontId="6" fillId="65" borderId="13" xfId="0" applyFont="1" applyFill="1" applyBorder="1" applyAlignment="1">
      <alignment horizontal="center" shrinkToFit="1"/>
    </xf>
    <xf numFmtId="0" fontId="6" fillId="65" borderId="201" xfId="0" applyFont="1" applyFill="1" applyBorder="1" applyAlignment="1">
      <alignment horizontal="center" shrinkToFit="1"/>
    </xf>
    <xf numFmtId="0" fontId="7" fillId="48" borderId="186" xfId="0" applyFont="1" applyFill="1" applyBorder="1" applyAlignment="1">
      <alignment horizontal="center" vertical="center" shrinkToFit="1"/>
    </xf>
    <xf numFmtId="0" fontId="66" fillId="40" borderId="195" xfId="0" applyFont="1" applyFill="1" applyBorder="1" applyAlignment="1">
      <alignment horizontal="center" vertical="center" shrinkToFit="1"/>
    </xf>
    <xf numFmtId="0" fontId="10" fillId="41" borderId="200" xfId="0" applyFont="1" applyFill="1" applyBorder="1" applyAlignment="1">
      <alignment horizontal="center" vertical="center" shrinkToFit="1"/>
    </xf>
    <xf numFmtId="0" fontId="66" fillId="41" borderId="141" xfId="0" applyFont="1" applyFill="1" applyBorder="1" applyAlignment="1">
      <alignment horizontal="center" vertical="center" shrinkToFit="1"/>
    </xf>
    <xf numFmtId="179" fontId="12" fillId="50" borderId="180" xfId="0" applyNumberFormat="1" applyFont="1" applyFill="1" applyBorder="1" applyAlignment="1">
      <alignment horizontal="center" vertical="center" shrinkToFit="1"/>
    </xf>
    <xf numFmtId="0" fontId="62" fillId="23" borderId="139" xfId="0" applyFont="1" applyFill="1" applyBorder="1" applyAlignment="1">
      <alignment horizontal="center"/>
    </xf>
    <xf numFmtId="0" fontId="71" fillId="69" borderId="131" xfId="0" applyFont="1" applyFill="1" applyBorder="1" applyAlignment="1">
      <alignment horizontal="center" vertical="center" wrapText="1"/>
    </xf>
    <xf numFmtId="0" fontId="71" fillId="69" borderId="140" xfId="0" applyFont="1" applyFill="1" applyBorder="1" applyAlignment="1">
      <alignment horizontal="center" vertical="center"/>
    </xf>
    <xf numFmtId="0" fontId="71" fillId="69" borderId="144" xfId="0" applyFont="1" applyFill="1" applyBorder="1" applyAlignment="1">
      <alignment horizontal="center" vertical="center"/>
    </xf>
    <xf numFmtId="0" fontId="71" fillId="69" borderId="141" xfId="0" applyFont="1" applyFill="1" applyBorder="1" applyAlignment="1">
      <alignment horizontal="center" vertical="center"/>
    </xf>
    <xf numFmtId="0" fontId="71" fillId="69" borderId="140" xfId="0" applyFont="1" applyFill="1" applyBorder="1" applyAlignment="1">
      <alignment horizontal="center" vertical="center" wrapText="1"/>
    </xf>
    <xf numFmtId="0" fontId="71" fillId="69" borderId="144" xfId="19" applyFont="1" applyFill="1" applyBorder="1" applyAlignment="1">
      <alignment horizontal="center" vertical="center"/>
    </xf>
    <xf numFmtId="0" fontId="71" fillId="69" borderId="140" xfId="19" applyFont="1" applyFill="1" applyBorder="1" applyAlignment="1">
      <alignment horizontal="center" vertical="center"/>
    </xf>
    <xf numFmtId="0" fontId="71" fillId="69" borderId="141" xfId="19" applyFont="1" applyFill="1" applyBorder="1" applyAlignment="1">
      <alignment horizontal="center" vertical="center"/>
    </xf>
    <xf numFmtId="0" fontId="71" fillId="69" borderId="131" xfId="0" applyFont="1" applyFill="1" applyBorder="1" applyAlignment="1">
      <alignment horizontal="center" vertical="center"/>
    </xf>
    <xf numFmtId="0" fontId="71" fillId="69" borderId="161" xfId="0" applyFont="1" applyFill="1" applyBorder="1" applyAlignment="1">
      <alignment horizontal="center" vertical="center"/>
    </xf>
    <xf numFmtId="0" fontId="71" fillId="69" borderId="134" xfId="0" applyFont="1" applyFill="1" applyBorder="1" applyAlignment="1">
      <alignment horizontal="center" vertical="center"/>
    </xf>
    <xf numFmtId="0" fontId="71" fillId="69" borderId="140" xfId="19" applyFont="1" applyFill="1" applyBorder="1" applyAlignment="1">
      <alignment horizontal="center" vertical="center" wrapText="1"/>
    </xf>
    <xf numFmtId="0" fontId="71" fillId="69" borderId="151" xfId="19" applyFont="1" applyFill="1" applyBorder="1" applyAlignment="1">
      <alignment horizontal="center" vertical="center"/>
    </xf>
    <xf numFmtId="0" fontId="71" fillId="69" borderId="141" xfId="19" applyFont="1" applyFill="1" applyBorder="1" applyAlignment="1">
      <alignment horizontal="center" vertical="center" wrapText="1"/>
    </xf>
    <xf numFmtId="0" fontId="71" fillId="69" borderId="144" xfId="19" applyFont="1" applyFill="1" applyBorder="1" applyAlignment="1">
      <alignment horizontal="center" vertical="center" wrapText="1"/>
    </xf>
    <xf numFmtId="0" fontId="71" fillId="69" borderId="137" xfId="19" applyFont="1" applyFill="1" applyBorder="1" applyAlignment="1">
      <alignment horizontal="center" vertical="center"/>
    </xf>
    <xf numFmtId="0" fontId="0" fillId="27" borderId="0" xfId="0" applyFill="1"/>
    <xf numFmtId="0" fontId="23" fillId="24" borderId="136" xfId="18" applyFont="1" applyFill="1" applyBorder="1" applyAlignment="1">
      <alignment horizontal="center" vertical="center" shrinkToFit="1"/>
    </xf>
    <xf numFmtId="0" fontId="25" fillId="26" borderId="216" xfId="18" applyFont="1" applyFill="1" applyBorder="1" applyAlignment="1">
      <alignment horizontal="center" vertical="center" shrinkToFit="1"/>
    </xf>
    <xf numFmtId="0" fontId="0" fillId="0" borderId="219" xfId="0" applyBorder="1" applyAlignment="1">
      <alignment horizontal="center" vertical="center"/>
    </xf>
    <xf numFmtId="0" fontId="1" fillId="25" borderId="203" xfId="0" applyFont="1" applyFill="1" applyBorder="1" applyAlignment="1">
      <alignment horizontal="center" vertical="center" shrinkToFit="1"/>
    </xf>
    <xf numFmtId="0" fontId="1" fillId="25" borderId="202" xfId="0" applyFont="1" applyFill="1" applyBorder="1" applyAlignment="1">
      <alignment horizontal="center" vertical="center" shrinkToFit="1"/>
    </xf>
    <xf numFmtId="0" fontId="1" fillId="68" borderId="133" xfId="0" applyFont="1" applyFill="1" applyBorder="1" applyAlignment="1">
      <alignment horizontal="center" vertical="center" shrinkToFit="1"/>
    </xf>
    <xf numFmtId="0" fontId="1" fillId="68" borderId="134" xfId="0" applyFont="1" applyFill="1" applyBorder="1" applyAlignment="1">
      <alignment horizontal="center" vertical="center" shrinkToFit="1"/>
    </xf>
    <xf numFmtId="0" fontId="7" fillId="64" borderId="167" xfId="0" applyFont="1" applyFill="1" applyBorder="1" applyAlignment="1">
      <alignment horizontal="center" vertical="center" shrinkToFit="1"/>
    </xf>
    <xf numFmtId="0" fontId="6" fillId="65" borderId="222" xfId="0" applyFont="1" applyFill="1" applyBorder="1" applyAlignment="1">
      <alignment horizontal="center" shrinkToFit="1"/>
    </xf>
    <xf numFmtId="0" fontId="6" fillId="65" borderId="223" xfId="0" applyFont="1" applyFill="1" applyBorder="1" applyAlignment="1" applyProtection="1">
      <alignment horizontal="center" vertical="center" shrinkToFit="1"/>
      <protection locked="0"/>
    </xf>
    <xf numFmtId="0" fontId="0" fillId="67" borderId="129" xfId="0" applyFill="1" applyBorder="1" applyAlignment="1">
      <alignment horizontal="center" vertical="center"/>
    </xf>
    <xf numFmtId="0" fontId="6" fillId="65" borderId="225" xfId="0" applyFont="1" applyFill="1" applyBorder="1" applyAlignment="1" applyProtection="1">
      <alignment horizontal="center" vertical="center" shrinkToFit="1"/>
      <protection locked="0"/>
    </xf>
    <xf numFmtId="0" fontId="0" fillId="67" borderId="226" xfId="0" applyFill="1" applyBorder="1" applyAlignment="1">
      <alignment horizontal="center" vertical="center"/>
    </xf>
    <xf numFmtId="0" fontId="6" fillId="0" borderId="0" xfId="0" applyFont="1"/>
    <xf numFmtId="0" fontId="22" fillId="0" borderId="0" xfId="0" applyFont="1" applyAlignment="1">
      <alignment vertical="center" shrinkToFit="1"/>
    </xf>
    <xf numFmtId="0" fontId="4" fillId="74" borderId="5" xfId="0" applyFont="1" applyFill="1" applyBorder="1" applyAlignment="1">
      <alignment horizontal="center" vertical="center"/>
    </xf>
    <xf numFmtId="0" fontId="4" fillId="74" borderId="9" xfId="0" applyFont="1" applyFill="1" applyBorder="1" applyAlignment="1">
      <alignment horizontal="center" vertical="center"/>
    </xf>
    <xf numFmtId="0" fontId="4" fillId="26" borderId="5" xfId="0" applyFont="1" applyFill="1" applyBorder="1" applyAlignment="1">
      <alignment horizontal="center" vertical="center"/>
    </xf>
    <xf numFmtId="0" fontId="0" fillId="29" borderId="1" xfId="0" applyFill="1" applyBorder="1" applyAlignment="1">
      <alignment horizontal="center" vertical="center" shrinkToFit="1"/>
    </xf>
    <xf numFmtId="0" fontId="0" fillId="29" borderId="210" xfId="0" applyFill="1" applyBorder="1" applyAlignment="1">
      <alignment horizontal="center" vertical="center" shrinkToFit="1"/>
    </xf>
    <xf numFmtId="0" fontId="1" fillId="25" borderId="221" xfId="0" applyFont="1" applyFill="1" applyBorder="1" applyAlignment="1">
      <alignment horizontal="center" vertical="center" shrinkToFit="1"/>
    </xf>
    <xf numFmtId="0" fontId="75" fillId="0" borderId="0" xfId="20" applyFont="1">
      <alignment vertical="center"/>
    </xf>
    <xf numFmtId="0" fontId="19" fillId="0" borderId="229" xfId="0" applyFont="1" applyBorder="1" applyAlignment="1">
      <alignment vertical="center"/>
    </xf>
    <xf numFmtId="0" fontId="0" fillId="0" borderId="229" xfId="0" applyBorder="1" applyAlignment="1">
      <alignment vertical="center"/>
    </xf>
    <xf numFmtId="0" fontId="0" fillId="0" borderId="229" xfId="0" applyBorder="1"/>
    <xf numFmtId="0" fontId="0" fillId="0" borderId="0" xfId="0" applyAlignment="1">
      <alignment vertical="center"/>
    </xf>
    <xf numFmtId="0" fontId="75" fillId="76" borderId="0" xfId="20" applyFont="1" applyFill="1">
      <alignment vertical="center"/>
    </xf>
    <xf numFmtId="0" fontId="0" fillId="0" borderId="229" xfId="0" applyBorder="1" applyAlignment="1">
      <alignment horizontal="center" vertical="center"/>
    </xf>
    <xf numFmtId="0" fontId="0" fillId="76" borderId="0" xfId="0" applyFill="1"/>
    <xf numFmtId="0" fontId="17" fillId="76" borderId="0" xfId="0" applyFont="1" applyFill="1"/>
    <xf numFmtId="0" fontId="76" fillId="76" borderId="0" xfId="20" applyFont="1" applyFill="1">
      <alignment vertical="center"/>
    </xf>
    <xf numFmtId="0" fontId="75" fillId="0" borderId="259" xfId="20" applyFont="1" applyBorder="1">
      <alignment vertical="center"/>
    </xf>
    <xf numFmtId="0" fontId="75" fillId="0" borderId="260" xfId="20" applyFont="1" applyBorder="1">
      <alignment vertical="center"/>
    </xf>
    <xf numFmtId="0" fontId="75" fillId="0" borderId="261" xfId="20" applyFont="1" applyBorder="1">
      <alignment vertical="center"/>
    </xf>
    <xf numFmtId="0" fontId="75" fillId="0" borderId="262" xfId="20" applyFont="1" applyBorder="1">
      <alignment vertical="center"/>
    </xf>
    <xf numFmtId="0" fontId="75" fillId="0" borderId="263" xfId="20" applyFont="1" applyBorder="1">
      <alignment vertical="center"/>
    </xf>
    <xf numFmtId="0" fontId="75" fillId="0" borderId="264" xfId="20" applyFont="1" applyBorder="1">
      <alignment vertical="center"/>
    </xf>
    <xf numFmtId="0" fontId="75" fillId="0" borderId="265" xfId="20" applyFont="1" applyBorder="1">
      <alignment vertical="center"/>
    </xf>
    <xf numFmtId="0" fontId="75" fillId="0" borderId="266" xfId="20" applyFont="1" applyBorder="1">
      <alignment vertical="center"/>
    </xf>
    <xf numFmtId="0" fontId="75" fillId="0" borderId="267" xfId="20" applyFont="1" applyBorder="1">
      <alignment vertical="center"/>
    </xf>
    <xf numFmtId="0" fontId="75" fillId="0" borderId="268" xfId="20" applyFont="1" applyBorder="1">
      <alignment vertical="center"/>
    </xf>
    <xf numFmtId="0" fontId="75" fillId="0" borderId="229" xfId="20" applyFont="1" applyBorder="1">
      <alignment vertical="center"/>
    </xf>
    <xf numFmtId="0" fontId="75" fillId="0" borderId="269" xfId="20" applyFont="1" applyBorder="1">
      <alignment vertical="center"/>
    </xf>
    <xf numFmtId="0" fontId="75" fillId="0" borderId="270" xfId="20" applyFont="1" applyBorder="1">
      <alignment vertical="center"/>
    </xf>
    <xf numFmtId="0" fontId="75" fillId="0" borderId="271" xfId="20" applyFont="1" applyBorder="1">
      <alignment vertical="center"/>
    </xf>
    <xf numFmtId="0" fontId="75" fillId="0" borderId="272" xfId="20" applyFont="1" applyBorder="1">
      <alignment vertical="center"/>
    </xf>
    <xf numFmtId="0" fontId="19" fillId="76" borderId="229" xfId="0" applyFont="1" applyFill="1" applyBorder="1" applyAlignment="1">
      <alignment vertical="center"/>
    </xf>
    <xf numFmtId="0" fontId="0" fillId="76" borderId="229" xfId="0" applyFill="1" applyBorder="1" applyAlignment="1">
      <alignment vertical="center"/>
    </xf>
    <xf numFmtId="0" fontId="0" fillId="76" borderId="229" xfId="0" applyFill="1" applyBorder="1"/>
    <xf numFmtId="0" fontId="0" fillId="76" borderId="229" xfId="0" applyFill="1" applyBorder="1" applyAlignment="1">
      <alignment horizontal="center" vertical="center"/>
    </xf>
    <xf numFmtId="0" fontId="0" fillId="76" borderId="219" xfId="0" applyFill="1" applyBorder="1" applyAlignment="1">
      <alignment horizontal="center" vertical="center"/>
    </xf>
    <xf numFmtId="0" fontId="22" fillId="0" borderId="268" xfId="0" applyFont="1" applyBorder="1"/>
    <xf numFmtId="0" fontId="0" fillId="0" borderId="269" xfId="0" applyBorder="1"/>
    <xf numFmtId="0" fontId="0" fillId="0" borderId="272" xfId="0" applyBorder="1"/>
    <xf numFmtId="0" fontId="19" fillId="0" borderId="0" xfId="0" applyFont="1" applyAlignment="1">
      <alignment vertical="center"/>
    </xf>
    <xf numFmtId="0" fontId="0" fillId="0" borderId="0" xfId="0" applyAlignment="1">
      <alignment horizontal="center" vertical="center"/>
    </xf>
    <xf numFmtId="0" fontId="12" fillId="42" borderId="130" xfId="0" applyFont="1" applyFill="1" applyBorder="1" applyAlignment="1">
      <alignment horizontal="right" vertical="center" shrinkToFit="1"/>
    </xf>
    <xf numFmtId="0" fontId="12" fillId="43" borderId="130" xfId="0" applyFont="1" applyFill="1" applyBorder="1" applyAlignment="1">
      <alignment horizontal="center" vertical="center" shrinkToFit="1"/>
    </xf>
    <xf numFmtId="191" fontId="7" fillId="58" borderId="197" xfId="0" applyNumberFormat="1" applyFont="1" applyFill="1" applyBorder="1" applyAlignment="1">
      <alignment horizontal="center" vertical="center" shrinkToFit="1"/>
    </xf>
    <xf numFmtId="191" fontId="7" fillId="58" borderId="190" xfId="0" applyNumberFormat="1" applyFont="1" applyFill="1" applyBorder="1" applyAlignment="1">
      <alignment horizontal="center" vertical="center" shrinkToFit="1"/>
    </xf>
    <xf numFmtId="191" fontId="6" fillId="50" borderId="13" xfId="0" applyNumberFormat="1" applyFont="1" applyFill="1" applyBorder="1" applyAlignment="1">
      <alignment horizontal="center" vertical="center" shrinkToFit="1"/>
    </xf>
    <xf numFmtId="191" fontId="6" fillId="50" borderId="201" xfId="0" applyNumberFormat="1" applyFont="1" applyFill="1" applyBorder="1" applyAlignment="1">
      <alignment horizontal="center" vertical="center" shrinkToFit="1"/>
    </xf>
    <xf numFmtId="0" fontId="77" fillId="0" borderId="0" xfId="20" applyFont="1" applyAlignment="1">
      <alignment horizontal="center" vertical="center"/>
    </xf>
    <xf numFmtId="0" fontId="6" fillId="0" borderId="0" xfId="0" applyFont="1" applyAlignment="1">
      <alignment horizontal="center"/>
    </xf>
    <xf numFmtId="0" fontId="17" fillId="0" borderId="0" xfId="0" applyFont="1" applyAlignment="1">
      <alignment horizontal="center"/>
    </xf>
    <xf numFmtId="0" fontId="78" fillId="24" borderId="4" xfId="0" applyFont="1" applyFill="1" applyBorder="1" applyAlignment="1">
      <alignment horizontal="center" vertical="center" shrinkToFit="1"/>
    </xf>
    <xf numFmtId="0" fontId="78" fillId="24" borderId="9" xfId="0" applyFont="1" applyFill="1" applyBorder="1" applyAlignment="1">
      <alignment horizontal="center" vertical="center" shrinkToFit="1"/>
    </xf>
    <xf numFmtId="0" fontId="4" fillId="26" borderId="310" xfId="0" applyFont="1" applyFill="1" applyBorder="1" applyAlignment="1">
      <alignment horizontal="center" vertical="center"/>
    </xf>
    <xf numFmtId="0" fontId="4" fillId="26" borderId="311" xfId="0" applyFont="1" applyFill="1" applyBorder="1" applyAlignment="1">
      <alignment horizontal="center" vertical="center"/>
    </xf>
    <xf numFmtId="0" fontId="1" fillId="26" borderId="312" xfId="0" applyFont="1" applyFill="1" applyBorder="1" applyAlignment="1">
      <alignment horizontal="center" vertical="center" shrinkToFit="1"/>
    </xf>
    <xf numFmtId="0" fontId="16" fillId="77" borderId="0" xfId="19" applyFill="1"/>
    <xf numFmtId="0" fontId="16" fillId="77" borderId="0" xfId="19" applyFill="1" applyAlignment="1">
      <alignment horizontal="center"/>
    </xf>
    <xf numFmtId="0" fontId="16" fillId="78" borderId="300" xfId="19" applyFill="1" applyBorder="1" applyAlignment="1">
      <alignment horizontal="center"/>
    </xf>
    <xf numFmtId="0" fontId="40" fillId="78" borderId="320" xfId="19" applyFont="1" applyFill="1" applyBorder="1" applyAlignment="1">
      <alignment horizontal="left" vertical="center"/>
    </xf>
    <xf numFmtId="0" fontId="16" fillId="78" borderId="320" xfId="19" applyFill="1" applyBorder="1" applyAlignment="1">
      <alignment horizontal="center" vertical="center"/>
    </xf>
    <xf numFmtId="0" fontId="16" fillId="78" borderId="320" xfId="19" applyFill="1" applyBorder="1" applyAlignment="1">
      <alignment horizontal="center"/>
    </xf>
    <xf numFmtId="0" fontId="16" fillId="78" borderId="283" xfId="19" applyFill="1" applyBorder="1" applyAlignment="1">
      <alignment horizontal="center"/>
    </xf>
    <xf numFmtId="0" fontId="16" fillId="78" borderId="130" xfId="19" applyFill="1" applyBorder="1" applyAlignment="1">
      <alignment horizontal="center"/>
    </xf>
    <xf numFmtId="0" fontId="16" fillId="78" borderId="0" xfId="19" applyFill="1" applyAlignment="1">
      <alignment horizontal="center" vertical="center"/>
    </xf>
    <xf numFmtId="0" fontId="0" fillId="55" borderId="133" xfId="0" applyFill="1" applyBorder="1" applyAlignment="1">
      <alignment horizontal="center" vertical="center"/>
    </xf>
    <xf numFmtId="0" fontId="71" fillId="69" borderId="295" xfId="19" applyFont="1" applyFill="1" applyBorder="1" applyAlignment="1">
      <alignment horizontal="center" vertical="center"/>
    </xf>
    <xf numFmtId="0" fontId="72" fillId="69" borderId="326" xfId="0" applyFont="1" applyFill="1" applyBorder="1" applyAlignment="1">
      <alignment horizontal="center" vertical="center" wrapText="1"/>
    </xf>
    <xf numFmtId="0" fontId="71" fillId="69" borderId="327" xfId="0" applyFont="1" applyFill="1" applyBorder="1" applyAlignment="1">
      <alignment horizontal="center" vertical="center" wrapText="1"/>
    </xf>
    <xf numFmtId="0" fontId="71" fillId="69" borderId="326" xfId="0" applyFont="1" applyFill="1" applyBorder="1" applyAlignment="1">
      <alignment horizontal="center" vertical="center" wrapText="1"/>
    </xf>
    <xf numFmtId="0" fontId="71" fillId="69" borderId="295" xfId="0" applyFont="1" applyFill="1" applyBorder="1" applyAlignment="1">
      <alignment horizontal="center" vertical="center"/>
    </xf>
    <xf numFmtId="0" fontId="0" fillId="23" borderId="328" xfId="0" applyFill="1" applyBorder="1" applyAlignment="1">
      <alignment horizontal="center" vertical="center"/>
    </xf>
    <xf numFmtId="0" fontId="71" fillId="69" borderId="329" xfId="0" applyFont="1" applyFill="1" applyBorder="1" applyAlignment="1">
      <alignment horizontal="center" vertical="center"/>
    </xf>
    <xf numFmtId="0" fontId="16" fillId="77" borderId="130" xfId="19" applyFill="1" applyBorder="1" applyAlignment="1">
      <alignment horizontal="center"/>
    </xf>
    <xf numFmtId="0" fontId="16" fillId="78" borderId="0" xfId="19" applyFill="1" applyAlignment="1">
      <alignment horizontal="center"/>
    </xf>
    <xf numFmtId="0" fontId="16" fillId="78" borderId="153" xfId="19" applyFill="1" applyBorder="1" applyAlignment="1">
      <alignment horizontal="center" vertical="center"/>
    </xf>
    <xf numFmtId="0" fontId="53" fillId="78" borderId="154" xfId="19" applyFont="1" applyFill="1" applyBorder="1" applyAlignment="1">
      <alignment vertical="center"/>
    </xf>
    <xf numFmtId="0" fontId="53" fillId="78" borderId="0" xfId="19" applyFont="1" applyFill="1" applyAlignment="1">
      <alignment vertical="center"/>
    </xf>
    <xf numFmtId="0" fontId="71" fillId="69" borderId="330" xfId="19" applyFont="1" applyFill="1" applyBorder="1" applyAlignment="1">
      <alignment horizontal="center" vertical="center"/>
    </xf>
    <xf numFmtId="0" fontId="53" fillId="78" borderId="153" xfId="19" applyFont="1" applyFill="1" applyBorder="1" applyAlignment="1">
      <alignment vertical="center"/>
    </xf>
    <xf numFmtId="0" fontId="16" fillId="78" borderId="0" xfId="19" applyFill="1" applyAlignment="1">
      <alignment horizontal="center" vertical="center" wrapText="1"/>
    </xf>
    <xf numFmtId="0" fontId="51" fillId="78" borderId="0" xfId="19" applyFont="1" applyFill="1" applyAlignment="1">
      <alignment horizontal="center" vertical="center"/>
    </xf>
    <xf numFmtId="0" fontId="71" fillId="69" borderId="330" xfId="0" applyFont="1" applyFill="1" applyBorder="1" applyAlignment="1">
      <alignment horizontal="center" vertical="center"/>
    </xf>
    <xf numFmtId="0" fontId="71" fillId="69" borderId="330" xfId="19" applyFont="1" applyFill="1" applyBorder="1" applyAlignment="1">
      <alignment horizontal="center" vertical="center" wrapText="1"/>
    </xf>
    <xf numFmtId="0" fontId="71" fillId="69" borderId="333" xfId="19" applyFont="1" applyFill="1" applyBorder="1" applyAlignment="1">
      <alignment horizontal="center" vertical="center"/>
    </xf>
    <xf numFmtId="0" fontId="16" fillId="78" borderId="135" xfId="19" applyFill="1" applyBorder="1" applyAlignment="1">
      <alignment horizontal="center"/>
    </xf>
    <xf numFmtId="0" fontId="16" fillId="78" borderId="0" xfId="19" applyFill="1" applyAlignment="1">
      <alignment horizontal="left" vertical="center"/>
    </xf>
    <xf numFmtId="0" fontId="16" fillId="78" borderId="0" xfId="19" applyFill="1" applyAlignment="1">
      <alignment horizontal="left"/>
    </xf>
    <xf numFmtId="0" fontId="53" fillId="78" borderId="158" xfId="19" applyFont="1" applyFill="1" applyBorder="1" applyAlignment="1">
      <alignment vertical="center"/>
    </xf>
    <xf numFmtId="0" fontId="53" fillId="78" borderId="143" xfId="19" applyFont="1" applyFill="1" applyBorder="1" applyAlignment="1">
      <alignment vertical="center"/>
    </xf>
    <xf numFmtId="0" fontId="53" fillId="77" borderId="0" xfId="19" applyFont="1" applyFill="1" applyAlignment="1">
      <alignment vertical="center"/>
    </xf>
    <xf numFmtId="0" fontId="71" fillId="69" borderId="278" xfId="19" applyFont="1" applyFill="1" applyBorder="1" applyAlignment="1">
      <alignment horizontal="center" vertical="center"/>
    </xf>
    <xf numFmtId="0" fontId="16" fillId="78" borderId="278" xfId="19" applyFill="1" applyBorder="1" applyAlignment="1">
      <alignment horizontal="center"/>
    </xf>
    <xf numFmtId="0" fontId="16" fillId="78" borderId="279" xfId="19" applyFill="1" applyBorder="1" applyAlignment="1">
      <alignment horizontal="center"/>
    </xf>
    <xf numFmtId="0" fontId="16" fillId="78" borderId="279" xfId="19" applyFill="1" applyBorder="1" applyAlignment="1">
      <alignment horizontal="center" vertical="center"/>
    </xf>
    <xf numFmtId="0" fontId="16" fillId="78" borderId="280" xfId="19" applyFill="1" applyBorder="1" applyAlignment="1">
      <alignment horizontal="center"/>
    </xf>
    <xf numFmtId="0" fontId="16" fillId="77" borderId="0" xfId="19" applyFill="1" applyAlignment="1">
      <alignment horizontal="center" vertical="center"/>
    </xf>
    <xf numFmtId="0" fontId="0" fillId="77" borderId="0" xfId="0" applyFill="1"/>
    <xf numFmtId="0" fontId="16" fillId="77" borderId="0" xfId="19" applyFill="1" applyAlignment="1">
      <alignment horizontal="left" vertical="center"/>
    </xf>
    <xf numFmtId="0" fontId="53" fillId="77" borderId="0" xfId="0" applyFont="1" applyFill="1" applyAlignment="1">
      <alignment vertical="center"/>
    </xf>
    <xf numFmtId="0" fontId="16" fillId="79" borderId="0" xfId="19" applyFill="1" applyAlignment="1">
      <alignment horizontal="center"/>
    </xf>
    <xf numFmtId="0" fontId="16" fillId="79" borderId="143" xfId="19" applyFill="1" applyBorder="1" applyAlignment="1">
      <alignment horizontal="center"/>
    </xf>
    <xf numFmtId="0" fontId="82" fillId="79" borderId="320" xfId="0" applyFont="1" applyFill="1" applyBorder="1" applyAlignment="1">
      <alignment vertical="center"/>
    </xf>
    <xf numFmtId="0" fontId="0" fillId="79" borderId="320" xfId="0" applyFill="1" applyBorder="1"/>
    <xf numFmtId="0" fontId="16" fillId="79" borderId="320" xfId="19" applyFill="1" applyBorder="1"/>
    <xf numFmtId="0" fontId="16" fillId="79" borderId="283" xfId="19" applyFill="1" applyBorder="1"/>
    <xf numFmtId="0" fontId="53" fillId="79" borderId="342" xfId="0" applyFont="1" applyFill="1" applyBorder="1" applyAlignment="1">
      <alignment vertical="center"/>
    </xf>
    <xf numFmtId="0" fontId="16" fillId="79" borderId="336" xfId="19" applyFill="1" applyBorder="1"/>
    <xf numFmtId="0" fontId="0" fillId="79" borderId="336" xfId="0" applyFill="1" applyBorder="1"/>
    <xf numFmtId="0" fontId="16" fillId="79" borderId="337" xfId="19" applyFill="1" applyBorder="1"/>
    <xf numFmtId="0" fontId="82" fillId="79" borderId="0" xfId="0" applyFont="1" applyFill="1" applyAlignment="1">
      <alignment vertical="center"/>
    </xf>
    <xf numFmtId="0" fontId="0" fillId="79" borderId="0" xfId="0" applyFill="1"/>
    <xf numFmtId="0" fontId="16" fillId="79" borderId="0" xfId="19" applyFill="1"/>
    <xf numFmtId="0" fontId="16" fillId="79" borderId="143" xfId="19" applyFill="1" applyBorder="1"/>
    <xf numFmtId="0" fontId="53" fillId="79" borderId="0" xfId="0" applyFont="1" applyFill="1" applyAlignment="1">
      <alignment vertical="center"/>
    </xf>
    <xf numFmtId="0" fontId="82" fillId="79" borderId="341" xfId="0" applyFont="1" applyFill="1" applyBorder="1" applyAlignment="1">
      <alignment vertical="center"/>
    </xf>
    <xf numFmtId="0" fontId="0" fillId="79" borderId="334" xfId="0" applyFill="1" applyBorder="1"/>
    <xf numFmtId="0" fontId="16" fillId="79" borderId="334" xfId="19" applyFill="1" applyBorder="1" applyAlignment="1">
      <alignment horizontal="center"/>
    </xf>
    <xf numFmtId="0" fontId="16" fillId="79" borderId="335" xfId="19" applyFill="1" applyBorder="1" applyAlignment="1">
      <alignment horizontal="center"/>
    </xf>
    <xf numFmtId="0" fontId="16" fillId="79" borderId="336" xfId="19" applyFill="1" applyBorder="1" applyAlignment="1">
      <alignment horizontal="center"/>
    </xf>
    <xf numFmtId="0" fontId="16" fillId="79" borderId="337" xfId="19" applyFill="1" applyBorder="1" applyAlignment="1">
      <alignment horizontal="center"/>
    </xf>
    <xf numFmtId="0" fontId="53" fillId="79" borderId="279" xfId="0" applyFont="1" applyFill="1" applyBorder="1" applyAlignment="1">
      <alignment horizontal="left" vertical="center"/>
    </xf>
    <xf numFmtId="0" fontId="16" fillId="79" borderId="279" xfId="19" applyFill="1" applyBorder="1" applyAlignment="1">
      <alignment horizontal="center"/>
    </xf>
    <xf numFmtId="0" fontId="0" fillId="79" borderId="279" xfId="0" applyFill="1" applyBorder="1"/>
    <xf numFmtId="0" fontId="16" fillId="79" borderId="280" xfId="19" applyFill="1" applyBorder="1" applyAlignment="1">
      <alignment horizontal="center"/>
    </xf>
    <xf numFmtId="0" fontId="0" fillId="79" borderId="320" xfId="0" applyFill="1" applyBorder="1" applyAlignment="1">
      <alignment vertical="center"/>
    </xf>
    <xf numFmtId="0" fontId="16" fillId="79" borderId="320" xfId="19" applyFill="1" applyBorder="1" applyAlignment="1">
      <alignment horizontal="center" vertical="center"/>
    </xf>
    <xf numFmtId="0" fontId="16" fillId="79" borderId="283" xfId="19" applyFill="1" applyBorder="1" applyAlignment="1">
      <alignment horizontal="center" vertical="center"/>
    </xf>
    <xf numFmtId="0" fontId="16" fillId="79" borderId="336" xfId="19" applyFill="1" applyBorder="1" applyAlignment="1">
      <alignment horizontal="center" vertical="center"/>
    </xf>
    <xf numFmtId="0" fontId="0" fillId="79" borderId="336" xfId="0" applyFill="1" applyBorder="1" applyAlignment="1">
      <alignment vertical="center"/>
    </xf>
    <xf numFmtId="0" fontId="16" fillId="79" borderId="337" xfId="19" applyFill="1" applyBorder="1" applyAlignment="1">
      <alignment horizontal="center" vertical="center"/>
    </xf>
    <xf numFmtId="0" fontId="0" fillId="79" borderId="0" xfId="0" applyFill="1" applyAlignment="1">
      <alignment vertical="center"/>
    </xf>
    <xf numFmtId="0" fontId="16" fillId="79" borderId="0" xfId="19" applyFill="1" applyAlignment="1">
      <alignment horizontal="center" vertical="center"/>
    </xf>
    <xf numFmtId="0" fontId="16" fillId="79" borderId="143" xfId="19" applyFill="1" applyBorder="1" applyAlignment="1">
      <alignment horizontal="center" vertical="center"/>
    </xf>
    <xf numFmtId="0" fontId="16" fillId="79" borderId="0" xfId="19" applyFill="1" applyAlignment="1">
      <alignment vertical="center"/>
    </xf>
    <xf numFmtId="0" fontId="16" fillId="79" borderId="143" xfId="19" applyFill="1" applyBorder="1" applyAlignment="1">
      <alignment vertical="center"/>
    </xf>
    <xf numFmtId="0" fontId="82" fillId="79" borderId="334" xfId="0" applyFont="1" applyFill="1" applyBorder="1" applyAlignment="1">
      <alignment vertical="center"/>
    </xf>
    <xf numFmtId="0" fontId="0" fillId="79" borderId="334" xfId="0" applyFill="1" applyBorder="1" applyAlignment="1">
      <alignment vertical="center"/>
    </xf>
    <xf numFmtId="0" fontId="16" fillId="79" borderId="334" xfId="19" applyFill="1" applyBorder="1" applyAlignment="1">
      <alignment vertical="center"/>
    </xf>
    <xf numFmtId="0" fontId="16" fillId="79" borderId="335" xfId="19" applyFill="1" applyBorder="1" applyAlignment="1">
      <alignment vertical="center"/>
    </xf>
    <xf numFmtId="0" fontId="53" fillId="79" borderId="336" xfId="0" applyFont="1" applyFill="1" applyBorder="1" applyAlignment="1">
      <alignment vertical="center"/>
    </xf>
    <xf numFmtId="0" fontId="16" fillId="79" borderId="336" xfId="19" applyFill="1" applyBorder="1" applyAlignment="1">
      <alignment vertical="center"/>
    </xf>
    <xf numFmtId="0" fontId="16" fillId="79" borderId="337" xfId="19" applyFill="1" applyBorder="1" applyAlignment="1">
      <alignment vertical="center"/>
    </xf>
    <xf numFmtId="0" fontId="53" fillId="79" borderId="279" xfId="0" applyFont="1" applyFill="1" applyBorder="1" applyAlignment="1">
      <alignment vertical="center"/>
    </xf>
    <xf numFmtId="0" fontId="16" fillId="79" borderId="279" xfId="19" applyFill="1" applyBorder="1" applyAlignment="1">
      <alignment vertical="center"/>
    </xf>
    <xf numFmtId="0" fontId="0" fillId="79" borderId="279" xfId="0" applyFill="1" applyBorder="1" applyAlignment="1">
      <alignment vertical="center"/>
    </xf>
    <xf numFmtId="0" fontId="16" fillId="79" borderId="280" xfId="19" applyFill="1" applyBorder="1" applyAlignment="1">
      <alignment vertical="center"/>
    </xf>
    <xf numFmtId="0" fontId="16" fillId="77" borderId="0" xfId="19" applyFill="1" applyAlignment="1">
      <alignment vertical="center"/>
    </xf>
    <xf numFmtId="0" fontId="82" fillId="79" borderId="322" xfId="0" applyFont="1" applyFill="1" applyBorder="1" applyAlignment="1">
      <alignment vertical="center"/>
    </xf>
    <xf numFmtId="0" fontId="16" fillId="79" borderId="320" xfId="19" applyFill="1" applyBorder="1" applyAlignment="1">
      <alignment vertical="center"/>
    </xf>
    <xf numFmtId="0" fontId="16" fillId="79" borderId="283" xfId="19" applyFill="1" applyBorder="1" applyAlignment="1">
      <alignment vertical="center"/>
    </xf>
    <xf numFmtId="0" fontId="53" fillId="79" borderId="146" xfId="0" applyFont="1" applyFill="1" applyBorder="1" applyAlignment="1">
      <alignment vertical="center"/>
    </xf>
    <xf numFmtId="0" fontId="0" fillId="0" borderId="328" xfId="0" applyBorder="1" applyAlignment="1">
      <alignment horizontal="center" vertical="center"/>
    </xf>
    <xf numFmtId="0" fontId="65" fillId="81" borderId="355" xfId="19" applyFont="1" applyFill="1" applyBorder="1" applyAlignment="1">
      <alignment horizontal="center" vertical="center"/>
    </xf>
    <xf numFmtId="0" fontId="1" fillId="82" borderId="363" xfId="0" applyFont="1" applyFill="1" applyBorder="1" applyAlignment="1">
      <alignment horizontal="center" vertical="center"/>
    </xf>
    <xf numFmtId="0" fontId="1" fillId="82" borderId="370" xfId="0" applyFont="1" applyFill="1" applyBorder="1" applyAlignment="1">
      <alignment horizontal="center" vertical="center"/>
    </xf>
    <xf numFmtId="0" fontId="1" fillId="82" borderId="141" xfId="0" applyFont="1" applyFill="1" applyBorder="1" applyAlignment="1">
      <alignment horizontal="center" vertical="center"/>
    </xf>
    <xf numFmtId="180" fontId="7" fillId="57" borderId="297" xfId="0" applyNumberFormat="1" applyFont="1" applyFill="1" applyBorder="1" applyAlignment="1">
      <alignment horizontal="center" vertical="center" shrinkToFit="1"/>
    </xf>
    <xf numFmtId="0" fontId="61" fillId="40" borderId="305" xfId="0" applyFont="1" applyFill="1" applyBorder="1" applyAlignment="1">
      <alignment horizontal="center" vertical="center" shrinkToFit="1"/>
    </xf>
    <xf numFmtId="191" fontId="7" fillId="58" borderId="380" xfId="0" applyNumberFormat="1" applyFont="1" applyFill="1" applyBorder="1" applyAlignment="1">
      <alignment horizontal="center" vertical="center" shrinkToFit="1"/>
    </xf>
    <xf numFmtId="191" fontId="7" fillId="58" borderId="381" xfId="0" applyNumberFormat="1" applyFont="1" applyFill="1" applyBorder="1" applyAlignment="1">
      <alignment horizontal="center" vertical="center" shrinkToFit="1"/>
    </xf>
    <xf numFmtId="191" fontId="6" fillId="50" borderId="382" xfId="0" applyNumberFormat="1" applyFont="1" applyFill="1" applyBorder="1" applyAlignment="1">
      <alignment horizontal="center" vertical="center" shrinkToFit="1"/>
    </xf>
    <xf numFmtId="0" fontId="7" fillId="57" borderId="297" xfId="0" applyFont="1" applyFill="1" applyBorder="1" applyAlignment="1">
      <alignment horizontal="center" vertical="center" shrinkToFit="1"/>
    </xf>
    <xf numFmtId="177" fontId="7" fillId="44" borderId="0" xfId="0" applyNumberFormat="1" applyFont="1" applyFill="1" applyAlignment="1">
      <alignment horizontal="right" vertical="center" shrinkToFit="1"/>
    </xf>
    <xf numFmtId="178" fontId="12" fillId="44" borderId="0" xfId="0" applyNumberFormat="1" applyFont="1" applyFill="1" applyAlignment="1">
      <alignment horizontal="center" vertical="center" shrinkToFit="1"/>
    </xf>
    <xf numFmtId="0" fontId="7" fillId="68" borderId="381" xfId="0" applyFont="1" applyFill="1" applyBorder="1" applyAlignment="1">
      <alignment horizontal="center" vertical="center" shrinkToFit="1"/>
    </xf>
    <xf numFmtId="0" fontId="7" fillId="29" borderId="287" xfId="0" applyFont="1" applyFill="1" applyBorder="1" applyAlignment="1">
      <alignment horizontal="center" vertical="center" shrinkToFit="1"/>
    </xf>
    <xf numFmtId="181" fontId="7" fillId="57" borderId="297" xfId="0" applyNumberFormat="1" applyFont="1" applyFill="1" applyBorder="1" applyAlignment="1">
      <alignment horizontal="center" vertical="center" shrinkToFit="1"/>
    </xf>
    <xf numFmtId="0" fontId="64" fillId="62" borderId="279" xfId="0" applyFont="1" applyFill="1" applyBorder="1" applyAlignment="1">
      <alignment horizontal="center" vertical="center"/>
    </xf>
    <xf numFmtId="0" fontId="7" fillId="57" borderId="298" xfId="0" applyFont="1" applyFill="1" applyBorder="1" applyAlignment="1">
      <alignment horizontal="center" vertical="center" shrinkToFit="1"/>
    </xf>
    <xf numFmtId="191" fontId="6" fillId="50" borderId="383" xfId="0" applyNumberFormat="1" applyFont="1" applyFill="1" applyBorder="1" applyAlignment="1">
      <alignment horizontal="center" vertical="center" shrinkToFit="1"/>
    </xf>
    <xf numFmtId="0" fontId="7" fillId="58" borderId="280" xfId="0" applyFont="1" applyFill="1" applyBorder="1" applyAlignment="1">
      <alignment horizontal="center" vertical="center" shrinkToFit="1"/>
    </xf>
    <xf numFmtId="0" fontId="82" fillId="79" borderId="320" xfId="0" applyFont="1" applyFill="1" applyBorder="1"/>
    <xf numFmtId="0" fontId="83" fillId="79" borderId="0" xfId="0" applyFont="1" applyFill="1"/>
    <xf numFmtId="0" fontId="82" fillId="79" borderId="341" xfId="0" applyFont="1" applyFill="1" applyBorder="1"/>
    <xf numFmtId="0" fontId="16" fillId="79" borderId="334" xfId="19" applyFill="1" applyBorder="1"/>
    <xf numFmtId="0" fontId="16" fillId="79" borderId="335" xfId="19" applyFill="1" applyBorder="1"/>
    <xf numFmtId="0" fontId="83" fillId="79" borderId="342" xfId="0" applyFont="1" applyFill="1" applyBorder="1"/>
    <xf numFmtId="0" fontId="82" fillId="79" borderId="0" xfId="0" applyFont="1" applyFill="1"/>
    <xf numFmtId="0" fontId="83" fillId="79" borderId="279" xfId="0" applyFont="1" applyFill="1" applyBorder="1"/>
    <xf numFmtId="0" fontId="16" fillId="79" borderId="279" xfId="19" applyFill="1" applyBorder="1"/>
    <xf numFmtId="0" fontId="16" fillId="79" borderId="280" xfId="19" applyFill="1" applyBorder="1"/>
    <xf numFmtId="0" fontId="7" fillId="59" borderId="167" xfId="0" applyFont="1" applyFill="1" applyBorder="1" applyAlignment="1">
      <alignment horizontal="center" vertical="center" shrinkToFit="1"/>
    </xf>
    <xf numFmtId="0" fontId="71" fillId="69" borderId="141" xfId="0" applyFont="1" applyFill="1" applyBorder="1" applyAlignment="1">
      <alignment horizontal="center" vertical="center" wrapText="1"/>
    </xf>
    <xf numFmtId="0" fontId="75" fillId="0" borderId="140" xfId="20" applyFont="1" applyBorder="1">
      <alignment vertical="center"/>
    </xf>
    <xf numFmtId="0" fontId="75" fillId="0" borderId="168" xfId="20" applyFont="1" applyBorder="1">
      <alignment vertical="center"/>
    </xf>
    <xf numFmtId="0" fontId="75" fillId="0" borderId="169" xfId="20" applyFont="1" applyBorder="1">
      <alignment vertical="center"/>
    </xf>
    <xf numFmtId="0" fontId="75" fillId="0" borderId="333" xfId="20" applyFont="1" applyBorder="1">
      <alignment vertical="center"/>
    </xf>
    <xf numFmtId="0" fontId="75" fillId="0" borderId="394" xfId="20" applyFont="1" applyBorder="1">
      <alignment vertical="center"/>
    </xf>
    <xf numFmtId="0" fontId="0" fillId="0" borderId="395" xfId="0" applyBorder="1"/>
    <xf numFmtId="0" fontId="77" fillId="0" borderId="0" xfId="20" applyFont="1">
      <alignment vertical="center"/>
    </xf>
    <xf numFmtId="0" fontId="77" fillId="0" borderId="0" xfId="20" applyFont="1" applyAlignment="1">
      <alignment horizontal="left" vertical="center"/>
    </xf>
    <xf numFmtId="0" fontId="77" fillId="0" borderId="0" xfId="20" applyFont="1" applyAlignment="1">
      <alignment vertical="center" wrapText="1"/>
    </xf>
    <xf numFmtId="0" fontId="6" fillId="0" borderId="0" xfId="0" applyFont="1" applyAlignment="1">
      <alignment wrapText="1"/>
    </xf>
    <xf numFmtId="0" fontId="6" fillId="0" borderId="0" xfId="20" applyFont="1" applyAlignment="1">
      <alignment vertical="center" wrapText="1"/>
    </xf>
    <xf numFmtId="0" fontId="89" fillId="0" borderId="0" xfId="20" applyFont="1">
      <alignment vertical="center"/>
    </xf>
    <xf numFmtId="0" fontId="23" fillId="24" borderId="301" xfId="18" applyFont="1" applyFill="1" applyBorder="1" applyAlignment="1">
      <alignment horizontal="center" vertical="center" shrinkToFit="1"/>
    </xf>
    <xf numFmtId="0" fontId="23" fillId="24" borderId="276" xfId="18" applyFont="1" applyFill="1" applyBorder="1" applyAlignment="1">
      <alignment horizontal="center" vertical="center" shrinkToFit="1"/>
    </xf>
    <xf numFmtId="0" fontId="23" fillId="24" borderId="392" xfId="18" applyFont="1" applyFill="1" applyBorder="1" applyAlignment="1">
      <alignment horizontal="center" vertical="center" shrinkToFit="1"/>
    </xf>
    <xf numFmtId="0" fontId="24" fillId="12" borderId="206" xfId="18" applyFont="1" applyFill="1" applyBorder="1" applyAlignment="1">
      <alignment horizontal="center" vertical="center" shrinkToFit="1"/>
    </xf>
    <xf numFmtId="0" fontId="24" fillId="12" borderId="207" xfId="18" applyFont="1" applyFill="1" applyBorder="1" applyAlignment="1">
      <alignment horizontal="center" vertical="center" shrinkToFit="1"/>
    </xf>
    <xf numFmtId="0" fontId="24" fillId="12" borderId="390" xfId="18" applyFont="1" applyFill="1" applyBorder="1" applyAlignment="1">
      <alignment horizontal="center" vertical="center" shrinkToFit="1"/>
    </xf>
    <xf numFmtId="0" fontId="24" fillId="12" borderId="250" xfId="18" applyFont="1" applyFill="1" applyBorder="1" applyAlignment="1">
      <alignment horizontal="center" vertical="center" shrinkToFit="1"/>
    </xf>
    <xf numFmtId="0" fontId="24" fillId="12" borderId="208" xfId="18" applyFont="1" applyFill="1" applyBorder="1" applyAlignment="1">
      <alignment horizontal="center" vertical="center" shrinkToFit="1"/>
    </xf>
    <xf numFmtId="0" fontId="24" fillId="12" borderId="391" xfId="18" applyFont="1" applyFill="1" applyBorder="1" applyAlignment="1">
      <alignment horizontal="center" vertical="center" shrinkToFit="1"/>
    </xf>
    <xf numFmtId="0" fontId="73" fillId="12" borderId="168" xfId="18" applyFont="1" applyFill="1" applyBorder="1" applyAlignment="1">
      <alignment horizontal="center" vertical="center" shrinkToFit="1"/>
    </xf>
    <xf numFmtId="0" fontId="0" fillId="26" borderId="61" xfId="0" applyFill="1" applyBorder="1" applyAlignment="1">
      <alignment horizontal="center" vertical="center" shrinkToFit="1"/>
    </xf>
    <xf numFmtId="0" fontId="9" fillId="26" borderId="6" xfId="18" applyFont="1" applyFill="1" applyBorder="1" applyAlignment="1">
      <alignment horizontal="center" vertical="center" shrinkToFit="1"/>
    </xf>
    <xf numFmtId="185" fontId="20" fillId="29" borderId="10" xfId="18" applyNumberFormat="1" applyFont="1" applyFill="1" applyBorder="1" applyAlignment="1">
      <alignment horizontal="center" vertical="center" shrinkToFit="1"/>
    </xf>
    <xf numFmtId="0" fontId="22" fillId="26" borderId="36" xfId="0" applyFont="1" applyFill="1" applyBorder="1" applyAlignment="1">
      <alignment horizontal="center" vertical="center" shrinkToFit="1"/>
    </xf>
    <xf numFmtId="0" fontId="22" fillId="26" borderId="38" xfId="0" applyFont="1" applyFill="1" applyBorder="1" applyAlignment="1">
      <alignment horizontal="center" vertical="center" shrinkToFit="1"/>
    </xf>
    <xf numFmtId="0" fontId="23" fillId="24" borderId="389" xfId="18" applyFont="1" applyFill="1" applyBorder="1" applyAlignment="1">
      <alignment horizontal="center" vertical="center" shrinkToFit="1"/>
    </xf>
    <xf numFmtId="0" fontId="23" fillId="24" borderId="302" xfId="18" applyFont="1" applyFill="1" applyBorder="1" applyAlignment="1">
      <alignment horizontal="center" vertical="center" shrinkToFit="1"/>
    </xf>
    <xf numFmtId="0" fontId="19" fillId="26" borderId="74" xfId="0" applyFont="1" applyFill="1" applyBorder="1" applyAlignment="1">
      <alignment horizontal="center" vertical="center" shrinkToFit="1"/>
    </xf>
    <xf numFmtId="0" fontId="34" fillId="0" borderId="2" xfId="18" applyFont="1" applyBorder="1" applyAlignment="1">
      <alignment horizontal="center" vertical="center" shrinkToFit="1"/>
    </xf>
    <xf numFmtId="0" fontId="9" fillId="29" borderId="10" xfId="0" applyFont="1" applyFill="1" applyBorder="1" applyAlignment="1">
      <alignment horizontal="center" vertical="center" shrinkToFit="1"/>
    </xf>
    <xf numFmtId="0" fontId="8" fillId="12" borderId="387" xfId="18" applyFont="1" applyFill="1" applyBorder="1" applyAlignment="1">
      <alignment horizontal="center" vertical="center" shrinkToFit="1"/>
    </xf>
    <xf numFmtId="0" fontId="8" fillId="12" borderId="207" xfId="18" applyFont="1" applyFill="1" applyBorder="1" applyAlignment="1">
      <alignment horizontal="center" vertical="center" shrinkToFit="1"/>
    </xf>
    <xf numFmtId="0" fontId="8" fillId="12" borderId="282" xfId="18" applyFont="1" applyFill="1" applyBorder="1" applyAlignment="1">
      <alignment horizontal="center" vertical="center" shrinkToFit="1"/>
    </xf>
    <xf numFmtId="0" fontId="8" fillId="12" borderId="388" xfId="18" applyFont="1" applyFill="1" applyBorder="1" applyAlignment="1">
      <alignment horizontal="center" vertical="center" shrinkToFit="1"/>
    </xf>
    <xf numFmtId="0" fontId="8" fillId="12" borderId="208" xfId="18" applyFont="1" applyFill="1" applyBorder="1" applyAlignment="1">
      <alignment horizontal="center" vertical="center" shrinkToFit="1"/>
    </xf>
    <xf numFmtId="0" fontId="8" fillId="12" borderId="386" xfId="18" applyFont="1" applyFill="1" applyBorder="1" applyAlignment="1">
      <alignment horizontal="center" vertical="center" shrinkToFit="1"/>
    </xf>
    <xf numFmtId="187" fontId="20" fillId="29" borderId="90" xfId="18" applyNumberFormat="1" applyFont="1" applyFill="1" applyBorder="1" applyAlignment="1">
      <alignment horizontal="center" vertical="center" shrinkToFit="1"/>
    </xf>
    <xf numFmtId="0" fontId="25" fillId="0" borderId="212" xfId="18" applyFont="1" applyBorder="1" applyAlignment="1">
      <alignment horizontal="center" vertical="center" shrinkToFit="1"/>
    </xf>
    <xf numFmtId="0" fontId="25" fillId="0" borderId="6" xfId="18" applyFont="1" applyBorder="1" applyAlignment="1">
      <alignment horizontal="center" vertical="center" shrinkToFit="1"/>
    </xf>
    <xf numFmtId="0" fontId="25" fillId="0" borderId="1" xfId="18" applyFont="1" applyBorder="1" applyAlignment="1">
      <alignment horizontal="center" vertical="center" shrinkToFit="1"/>
    </xf>
    <xf numFmtId="0" fontId="25" fillId="29" borderId="1" xfId="18" applyFont="1" applyFill="1" applyBorder="1" applyAlignment="1">
      <alignment horizontal="center" vertical="center" shrinkToFit="1"/>
    </xf>
    <xf numFmtId="0" fontId="20" fillId="29" borderId="10" xfId="18" applyFont="1" applyFill="1" applyBorder="1" applyAlignment="1">
      <alignment horizontal="center" vertical="center" shrinkToFit="1"/>
    </xf>
    <xf numFmtId="0" fontId="20" fillId="29" borderId="210" xfId="18" applyFont="1" applyFill="1" applyBorder="1" applyAlignment="1">
      <alignment horizontal="center" vertical="center" shrinkToFit="1"/>
    </xf>
    <xf numFmtId="0" fontId="9" fillId="26" borderId="36" xfId="18" applyFont="1" applyFill="1" applyBorder="1" applyAlignment="1">
      <alignment horizontal="center" vertical="center" shrinkToFit="1"/>
    </xf>
    <xf numFmtId="0" fontId="31" fillId="29" borderId="37" xfId="0" applyFont="1" applyFill="1" applyBorder="1" applyAlignment="1">
      <alignment horizontal="center" vertical="center" shrinkToFit="1"/>
    </xf>
    <xf numFmtId="0" fontId="25" fillId="26" borderId="212" xfId="18" applyFont="1" applyFill="1" applyBorder="1" applyAlignment="1">
      <alignment horizontal="center" vertical="center" shrinkToFit="1"/>
    </xf>
    <xf numFmtId="0" fontId="25" fillId="26" borderId="6" xfId="18" applyFont="1" applyFill="1" applyBorder="1" applyAlignment="1">
      <alignment horizontal="center" vertical="center" shrinkToFit="1"/>
    </xf>
    <xf numFmtId="0" fontId="25" fillId="26" borderId="1" xfId="18" applyFont="1" applyFill="1" applyBorder="1" applyAlignment="1">
      <alignment horizontal="center" vertical="center" shrinkToFit="1"/>
    </xf>
    <xf numFmtId="0" fontId="25" fillId="26" borderId="204" xfId="18" applyFont="1" applyFill="1" applyBorder="1" applyAlignment="1">
      <alignment horizontal="center" vertical="center" shrinkToFit="1"/>
    </xf>
    <xf numFmtId="0" fontId="3" fillId="24" borderId="10" xfId="18" applyFont="1" applyFill="1" applyBorder="1" applyAlignment="1">
      <alignment horizontal="center" vertical="center" shrinkToFit="1"/>
    </xf>
    <xf numFmtId="0" fontId="3" fillId="24" borderId="210" xfId="18" applyFont="1" applyFill="1" applyBorder="1" applyAlignment="1">
      <alignment horizontal="center" vertical="center" shrinkToFit="1"/>
    </xf>
    <xf numFmtId="0" fontId="9" fillId="26" borderId="89" xfId="18" applyFont="1" applyFill="1" applyBorder="1" applyAlignment="1">
      <alignment horizontal="center" vertical="center" shrinkToFit="1"/>
    </xf>
    <xf numFmtId="0" fontId="9" fillId="29" borderId="217" xfId="18" applyFont="1" applyFill="1" applyBorder="1" applyAlignment="1">
      <alignment horizontal="center" vertical="center" shrinkToFit="1"/>
    </xf>
    <xf numFmtId="0" fontId="9" fillId="29" borderId="218" xfId="18" applyFont="1" applyFill="1" applyBorder="1" applyAlignment="1">
      <alignment horizontal="center" vertical="center" shrinkToFit="1"/>
    </xf>
    <xf numFmtId="0" fontId="31" fillId="29" borderId="43" xfId="0" applyFont="1" applyFill="1" applyBorder="1" applyAlignment="1">
      <alignment horizontal="center" vertical="center" shrinkToFit="1"/>
    </xf>
    <xf numFmtId="0" fontId="31" fillId="29" borderId="35" xfId="0" applyFont="1" applyFill="1" applyBorder="1" applyAlignment="1">
      <alignment horizontal="center" vertical="center" shrinkToFit="1"/>
    </xf>
    <xf numFmtId="0" fontId="25" fillId="31" borderId="174" xfId="18" applyFont="1" applyFill="1" applyBorder="1" applyAlignment="1">
      <alignment horizontal="center" vertical="center" shrinkToFit="1"/>
    </xf>
    <xf numFmtId="0" fontId="25" fillId="31" borderId="233" xfId="18" applyFont="1" applyFill="1" applyBorder="1" applyAlignment="1">
      <alignment horizontal="center" vertical="center" shrinkToFit="1"/>
    </xf>
    <xf numFmtId="0" fontId="25" fillId="31" borderId="119" xfId="18" applyFont="1" applyFill="1" applyBorder="1" applyAlignment="1">
      <alignment horizontal="center" vertical="center" shrinkToFit="1"/>
    </xf>
    <xf numFmtId="0" fontId="4" fillId="31" borderId="0" xfId="18" applyFont="1" applyFill="1" applyAlignment="1">
      <alignment horizontal="center" vertical="center" shrinkToFit="1"/>
    </xf>
    <xf numFmtId="0" fontId="9" fillId="29" borderId="10" xfId="18" applyFont="1" applyFill="1" applyBorder="1" applyAlignment="1">
      <alignment horizontal="center" vertical="center" shrinkToFit="1"/>
    </xf>
    <xf numFmtId="0" fontId="9" fillId="29" borderId="210" xfId="18" applyFont="1" applyFill="1" applyBorder="1" applyAlignment="1">
      <alignment horizontal="center" vertical="center" shrinkToFit="1"/>
    </xf>
    <xf numFmtId="0" fontId="31" fillId="29" borderId="38" xfId="0" applyFont="1" applyFill="1" applyBorder="1" applyAlignment="1">
      <alignment horizontal="center" vertical="center" shrinkToFit="1"/>
    </xf>
    <xf numFmtId="0" fontId="31" fillId="29" borderId="33" xfId="0" applyFont="1" applyFill="1" applyBorder="1" applyAlignment="1">
      <alignment horizontal="center" vertical="center" shrinkToFit="1"/>
    </xf>
    <xf numFmtId="0" fontId="25" fillId="31" borderId="231" xfId="18" applyFont="1" applyFill="1" applyBorder="1" applyAlignment="1">
      <alignment horizontal="center" vertical="center" shrinkToFit="1"/>
    </xf>
    <xf numFmtId="0" fontId="25" fillId="31" borderId="232" xfId="18" applyFont="1" applyFill="1" applyBorder="1" applyAlignment="1">
      <alignment horizontal="center" vertical="center" shrinkToFit="1"/>
    </xf>
    <xf numFmtId="0" fontId="25" fillId="25" borderId="230" xfId="18" applyFont="1" applyFill="1" applyBorder="1" applyAlignment="1">
      <alignment horizontal="center" vertical="center" shrinkToFit="1"/>
    </xf>
    <xf numFmtId="0" fontId="25" fillId="25" borderId="84" xfId="18" applyFont="1" applyFill="1" applyBorder="1" applyAlignment="1">
      <alignment horizontal="center" vertical="center" shrinkToFit="1"/>
    </xf>
    <xf numFmtId="0" fontId="6" fillId="25" borderId="230" xfId="18" applyFont="1" applyFill="1" applyBorder="1" applyAlignment="1">
      <alignment horizontal="center" vertical="center" shrinkToFit="1"/>
    </xf>
    <xf numFmtId="0" fontId="6" fillId="25" borderId="84" xfId="18" applyFont="1" applyFill="1" applyBorder="1" applyAlignment="1">
      <alignment horizontal="center" vertical="center" shrinkToFit="1"/>
    </xf>
    <xf numFmtId="0" fontId="8" fillId="12" borderId="2" xfId="18" applyFont="1" applyFill="1" applyBorder="1" applyAlignment="1">
      <alignment horizontal="center" vertical="center" shrinkToFit="1"/>
    </xf>
    <xf numFmtId="0" fontId="3" fillId="24" borderId="74" xfId="0" applyFont="1" applyFill="1" applyBorder="1" applyAlignment="1">
      <alignment horizontal="center" vertical="center" shrinkToFit="1"/>
    </xf>
    <xf numFmtId="0" fontId="8" fillId="12" borderId="14" xfId="18" applyFont="1" applyFill="1" applyBorder="1" applyAlignment="1">
      <alignment horizontal="center" vertical="center" shrinkToFit="1"/>
    </xf>
    <xf numFmtId="0" fontId="22" fillId="26" borderId="43" xfId="0" applyFont="1" applyFill="1" applyBorder="1" applyAlignment="1">
      <alignment horizontal="center" vertical="center" shrinkToFit="1"/>
    </xf>
    <xf numFmtId="0" fontId="20" fillId="29" borderId="1" xfId="18" applyFont="1" applyFill="1" applyBorder="1" applyAlignment="1">
      <alignment horizontal="center" vertical="center" shrinkToFit="1"/>
    </xf>
    <xf numFmtId="0" fontId="8" fillId="26" borderId="1" xfId="18" applyFont="1" applyFill="1" applyBorder="1" applyAlignment="1">
      <alignment horizontal="center" vertical="center" shrinkToFit="1"/>
    </xf>
    <xf numFmtId="0" fontId="20" fillId="29" borderId="10" xfId="0" applyFont="1" applyFill="1" applyBorder="1" applyAlignment="1">
      <alignment horizontal="center" vertical="center" shrinkToFit="1"/>
    </xf>
    <xf numFmtId="0" fontId="20" fillId="29" borderId="76" xfId="18" applyFont="1" applyFill="1" applyBorder="1" applyAlignment="1">
      <alignment horizontal="center" vertical="center" shrinkToFit="1"/>
    </xf>
    <xf numFmtId="0" fontId="8" fillId="26" borderId="76" xfId="18" applyFont="1" applyFill="1" applyBorder="1" applyAlignment="1">
      <alignment horizontal="center" vertical="center" shrinkToFit="1"/>
    </xf>
    <xf numFmtId="0" fontId="8" fillId="12" borderId="15" xfId="18" applyFont="1" applyFill="1" applyBorder="1" applyAlignment="1">
      <alignment horizontal="center" vertical="center" shrinkToFit="1"/>
    </xf>
    <xf numFmtId="0" fontId="3" fillId="24" borderId="74" xfId="18" applyFont="1" applyFill="1" applyBorder="1" applyAlignment="1">
      <alignment horizontal="center" vertical="center" shrinkToFit="1"/>
    </xf>
    <xf numFmtId="0" fontId="8" fillId="0" borderId="2" xfId="18" applyFont="1" applyBorder="1" applyAlignment="1">
      <alignment horizontal="center" vertical="center" shrinkToFit="1"/>
    </xf>
    <xf numFmtId="0" fontId="24" fillId="25" borderId="10" xfId="18" applyFont="1" applyFill="1" applyBorder="1" applyAlignment="1">
      <alignment horizontal="center" vertical="center" shrinkToFit="1"/>
    </xf>
    <xf numFmtId="0" fontId="8" fillId="26" borderId="6" xfId="18" applyFont="1" applyFill="1" applyBorder="1" applyAlignment="1">
      <alignment horizontal="center" vertical="center" shrinkToFit="1"/>
    </xf>
    <xf numFmtId="0" fontId="27" fillId="29" borderId="73" xfId="18" applyFont="1" applyFill="1" applyBorder="1" applyAlignment="1">
      <alignment horizontal="center" vertical="center" shrinkToFit="1"/>
    </xf>
    <xf numFmtId="0" fontId="23" fillId="24" borderId="4" xfId="0" applyFont="1" applyFill="1" applyBorder="1" applyAlignment="1">
      <alignment horizontal="center" vertical="center" shrinkToFit="1"/>
    </xf>
    <xf numFmtId="0" fontId="22" fillId="0" borderId="14" xfId="18" applyFont="1" applyBorder="1" applyAlignment="1">
      <alignment horizontal="center" vertical="center" shrinkToFit="1"/>
    </xf>
    <xf numFmtId="0" fontId="22" fillId="0" borderId="33" xfId="18" applyFont="1" applyBorder="1" applyAlignment="1">
      <alignment horizontal="center" vertical="center" shrinkToFit="1"/>
    </xf>
    <xf numFmtId="0" fontId="20" fillId="0" borderId="38" xfId="18" applyFont="1" applyBorder="1" applyAlignment="1">
      <alignment horizontal="center" vertical="center" shrinkToFit="1"/>
    </xf>
    <xf numFmtId="0" fontId="25" fillId="0" borderId="33" xfId="18" applyFont="1" applyBorder="1" applyAlignment="1">
      <alignment horizontal="center" vertical="center" shrinkToFit="1"/>
    </xf>
    <xf numFmtId="0" fontId="20" fillId="0" borderId="36" xfId="18" applyFont="1" applyBorder="1" applyAlignment="1">
      <alignment horizontal="center" vertical="center" shrinkToFit="1"/>
    </xf>
    <xf numFmtId="0" fontId="22" fillId="0" borderId="12" xfId="18" applyFont="1" applyBorder="1" applyAlignment="1">
      <alignment horizontal="center" vertical="center" shrinkToFit="1"/>
    </xf>
    <xf numFmtId="0" fontId="25" fillId="0" borderId="37" xfId="18" applyFont="1" applyBorder="1" applyAlignment="1">
      <alignment horizontal="center" vertical="center" shrinkToFit="1"/>
    </xf>
    <xf numFmtId="0" fontId="6" fillId="33" borderId="0" xfId="0" applyFont="1" applyFill="1" applyAlignment="1">
      <alignment horizontal="center" vertical="center" wrapText="1" shrinkToFit="1"/>
    </xf>
    <xf numFmtId="0" fontId="6" fillId="34" borderId="0" xfId="0" applyFont="1" applyFill="1" applyAlignment="1">
      <alignment horizontal="center" vertical="center" wrapText="1" shrinkToFit="1"/>
    </xf>
    <xf numFmtId="0" fontId="22" fillId="0" borderId="16" xfId="0" applyFont="1" applyBorder="1" applyAlignment="1">
      <alignment horizontal="center" vertical="center" shrinkToFit="1"/>
    </xf>
    <xf numFmtId="0" fontId="25" fillId="0" borderId="37" xfId="18" applyFont="1" applyBorder="1" applyAlignment="1">
      <alignment horizontal="left" vertical="center" indent="1" shrinkToFit="1"/>
    </xf>
    <xf numFmtId="188" fontId="6" fillId="25" borderId="7" xfId="0" applyNumberFormat="1" applyFont="1" applyFill="1" applyBorder="1" applyAlignment="1">
      <alignment horizontal="center" vertical="center" shrinkToFit="1"/>
    </xf>
    <xf numFmtId="0" fontId="22" fillId="0" borderId="25" xfId="0" applyFont="1" applyBorder="1" applyAlignment="1">
      <alignment horizontal="center" vertical="center" shrinkToFit="1"/>
    </xf>
    <xf numFmtId="0" fontId="25" fillId="0" borderId="33" xfId="18" applyFont="1" applyBorder="1" applyAlignment="1">
      <alignment horizontal="left" vertical="center" indent="1" shrinkToFit="1"/>
    </xf>
    <xf numFmtId="185" fontId="24" fillId="25" borderId="85" xfId="18" applyNumberFormat="1" applyFont="1" applyFill="1" applyBorder="1" applyAlignment="1">
      <alignment horizontal="right" vertical="center" shrinkToFit="1"/>
    </xf>
    <xf numFmtId="0" fontId="0" fillId="0" borderId="8" xfId="0" applyBorder="1" applyAlignment="1">
      <alignment horizontal="center" vertical="center" shrinkToFit="1"/>
    </xf>
    <xf numFmtId="0" fontId="22" fillId="0" borderId="2" xfId="0" applyFont="1" applyBorder="1" applyAlignment="1">
      <alignment horizontal="center" vertical="center" shrinkToFit="1"/>
    </xf>
    <xf numFmtId="0" fontId="8" fillId="0" borderId="121" xfId="18" applyFont="1" applyBorder="1" applyAlignment="1">
      <alignment horizontal="center" vertical="center" shrinkToFit="1"/>
    </xf>
    <xf numFmtId="0" fontId="8" fillId="31" borderId="36" xfId="18" applyFont="1" applyFill="1" applyBorder="1" applyAlignment="1">
      <alignment horizontal="center" vertical="center" shrinkToFit="1"/>
    </xf>
    <xf numFmtId="0" fontId="25" fillId="0" borderId="14" xfId="18" applyFont="1" applyBorder="1" applyAlignment="1">
      <alignment horizontal="center" vertical="center" shrinkToFit="1"/>
    </xf>
    <xf numFmtId="0" fontId="25" fillId="26" borderId="75" xfId="18" applyFont="1" applyFill="1" applyBorder="1" applyAlignment="1">
      <alignment horizontal="center" vertical="center" shrinkToFit="1"/>
    </xf>
    <xf numFmtId="0" fontId="20" fillId="0" borderId="43" xfId="18" applyFont="1" applyBorder="1" applyAlignment="1">
      <alignment horizontal="center" vertical="center" shrinkToFit="1"/>
    </xf>
    <xf numFmtId="0" fontId="25" fillId="0" borderId="15" xfId="18" applyFont="1" applyBorder="1" applyAlignment="1">
      <alignment horizontal="center" vertical="center" shrinkToFit="1"/>
    </xf>
    <xf numFmtId="0" fontId="25" fillId="0" borderId="35" xfId="18" applyFont="1" applyBorder="1" applyAlignment="1">
      <alignment horizontal="center" vertical="center" shrinkToFit="1"/>
    </xf>
    <xf numFmtId="0" fontId="0" fillId="26" borderId="6" xfId="0" applyFill="1" applyBorder="1" applyAlignment="1">
      <alignment horizontal="center" vertical="center" shrinkToFit="1"/>
    </xf>
    <xf numFmtId="0" fontId="0" fillId="31" borderId="2" xfId="0" applyFill="1" applyBorder="1" applyAlignment="1">
      <alignment horizontal="center" vertical="center" shrinkToFit="1"/>
    </xf>
    <xf numFmtId="188" fontId="6" fillId="25" borderId="8" xfId="0" applyNumberFormat="1" applyFont="1" applyFill="1" applyBorder="1" applyAlignment="1">
      <alignment horizontal="center" vertical="center" shrinkToFit="1"/>
    </xf>
    <xf numFmtId="0" fontId="1" fillId="31" borderId="2" xfId="0" applyFont="1" applyFill="1" applyBorder="1" applyAlignment="1">
      <alignment horizontal="center" vertical="center" wrapText="1" shrinkToFit="1"/>
    </xf>
    <xf numFmtId="0" fontId="87" fillId="31" borderId="396" xfId="18" applyFont="1" applyFill="1" applyBorder="1" applyAlignment="1">
      <alignment horizontal="center" vertical="center" shrinkToFit="1"/>
    </xf>
    <xf numFmtId="0" fontId="4" fillId="26" borderId="6" xfId="18" applyFont="1" applyFill="1" applyBorder="1" applyAlignment="1">
      <alignment horizontal="center" vertical="center" shrinkToFit="1"/>
    </xf>
    <xf numFmtId="0" fontId="4" fillId="26" borderId="10" xfId="18" applyFont="1" applyFill="1" applyBorder="1" applyAlignment="1">
      <alignment horizontal="center" vertical="center" shrinkToFit="1"/>
    </xf>
    <xf numFmtId="0" fontId="25" fillId="31" borderId="108" xfId="18" applyFont="1" applyFill="1" applyBorder="1" applyAlignment="1">
      <alignment horizontal="center" vertical="center" shrinkToFit="1"/>
    </xf>
    <xf numFmtId="0" fontId="0" fillId="26" borderId="75" xfId="0" applyFill="1" applyBorder="1" applyAlignment="1">
      <alignment horizontal="center" vertical="center" shrinkToFit="1"/>
    </xf>
    <xf numFmtId="0" fontId="8" fillId="6" borderId="105" xfId="18" applyFont="1" applyFill="1" applyBorder="1" applyAlignment="1">
      <alignment horizontal="center" vertical="center" shrinkToFit="1"/>
    </xf>
    <xf numFmtId="0" fontId="28" fillId="29" borderId="8" xfId="0" applyFont="1" applyFill="1" applyBorder="1" applyAlignment="1">
      <alignment horizontal="center" vertical="center" shrinkToFit="1"/>
    </xf>
    <xf numFmtId="0" fontId="0" fillId="31" borderId="104" xfId="0" applyFill="1" applyBorder="1" applyAlignment="1">
      <alignment horizontal="center" vertical="center" shrinkToFit="1"/>
    </xf>
    <xf numFmtId="0" fontId="22" fillId="0" borderId="17" xfId="0" applyFont="1" applyBorder="1" applyAlignment="1">
      <alignment horizontal="center" vertical="center" shrinkToFit="1"/>
    </xf>
    <xf numFmtId="0" fontId="25" fillId="0" borderId="35" xfId="18" applyFont="1" applyBorder="1" applyAlignment="1">
      <alignment horizontal="left" vertical="center" indent="1" shrinkToFit="1"/>
    </xf>
    <xf numFmtId="0" fontId="25" fillId="29" borderId="6" xfId="18" applyFont="1" applyFill="1" applyBorder="1" applyAlignment="1">
      <alignment horizontal="center" vertical="center" shrinkToFit="1"/>
    </xf>
    <xf numFmtId="0" fontId="25" fillId="0" borderId="10" xfId="18" applyFont="1" applyBorder="1" applyAlignment="1">
      <alignment horizontal="center" vertical="center" shrinkToFit="1"/>
    </xf>
    <xf numFmtId="0" fontId="25" fillId="0" borderId="10" xfId="0" applyFont="1" applyBorder="1" applyAlignment="1">
      <alignment horizontal="center" vertical="center" shrinkToFit="1"/>
    </xf>
    <xf numFmtId="0" fontId="25" fillId="31" borderId="112" xfId="18" applyFont="1" applyFill="1" applyBorder="1" applyAlignment="1">
      <alignment horizontal="center" vertical="center" shrinkToFit="1"/>
    </xf>
    <xf numFmtId="0" fontId="0" fillId="31" borderId="0" xfId="0" applyFill="1" applyAlignment="1">
      <alignment horizontal="center" vertical="center"/>
    </xf>
    <xf numFmtId="0" fontId="27" fillId="12" borderId="7" xfId="18" applyFont="1" applyFill="1" applyBorder="1" applyAlignment="1">
      <alignment horizontal="center" vertical="center" shrinkToFit="1"/>
    </xf>
    <xf numFmtId="0" fontId="19" fillId="6" borderId="51" xfId="0" applyFont="1" applyFill="1" applyBorder="1" applyAlignment="1">
      <alignment horizontal="center" vertical="center" wrapText="1"/>
    </xf>
    <xf numFmtId="0" fontId="37" fillId="12" borderId="51" xfId="0" applyFont="1" applyFill="1" applyBorder="1" applyAlignment="1">
      <alignment horizontal="center" vertical="center" wrapText="1"/>
    </xf>
    <xf numFmtId="0" fontId="2" fillId="22" borderId="51" xfId="0" applyFont="1" applyFill="1" applyBorder="1" applyAlignment="1">
      <alignment horizontal="center" vertical="center" wrapText="1"/>
    </xf>
    <xf numFmtId="0" fontId="38" fillId="12" borderId="51" xfId="0" applyFont="1" applyFill="1" applyBorder="1" applyAlignment="1">
      <alignment horizontal="center" vertical="center" wrapText="1"/>
    </xf>
    <xf numFmtId="0" fontId="73" fillId="83" borderId="393" xfId="0" applyFont="1" applyFill="1" applyBorder="1" applyAlignment="1">
      <alignment horizontal="center" vertical="center"/>
    </xf>
    <xf numFmtId="0" fontId="73" fillId="83" borderId="335" xfId="0" applyFont="1" applyFill="1" applyBorder="1" applyAlignment="1">
      <alignment horizontal="center" vertical="center"/>
    </xf>
    <xf numFmtId="0" fontId="73" fillId="83" borderId="130" xfId="0" applyFont="1" applyFill="1" applyBorder="1" applyAlignment="1">
      <alignment horizontal="center" vertical="center"/>
    </xf>
    <xf numFmtId="0" fontId="73" fillId="83" borderId="143" xfId="0" applyFont="1" applyFill="1" applyBorder="1" applyAlignment="1">
      <alignment horizontal="center" vertical="center"/>
    </xf>
    <xf numFmtId="0" fontId="73" fillId="83" borderId="278" xfId="0" applyFont="1" applyFill="1" applyBorder="1" applyAlignment="1">
      <alignment horizontal="center" vertical="center"/>
    </xf>
    <xf numFmtId="0" fontId="73" fillId="83" borderId="280" xfId="0" applyFont="1" applyFill="1" applyBorder="1" applyAlignment="1">
      <alignment horizontal="center" vertical="center"/>
    </xf>
    <xf numFmtId="0" fontId="8" fillId="12" borderId="8" xfId="18" applyFont="1" applyFill="1" applyBorder="1" applyAlignment="1">
      <alignment horizontal="left" vertical="center" wrapText="1" indent="1" shrinkToFit="1"/>
    </xf>
    <xf numFmtId="0" fontId="8" fillId="6" borderId="14" xfId="18" applyFont="1" applyFill="1" applyBorder="1" applyAlignment="1">
      <alignment horizontal="center" vertical="center" shrinkToFit="1"/>
    </xf>
    <xf numFmtId="0" fontId="25" fillId="25" borderId="10" xfId="18" applyFont="1" applyFill="1" applyBorder="1" applyAlignment="1">
      <alignment horizontal="center" vertical="center" shrinkToFit="1"/>
    </xf>
    <xf numFmtId="0" fontId="8" fillId="31" borderId="16" xfId="18" applyFont="1" applyFill="1" applyBorder="1" applyAlignment="1">
      <alignment horizontal="center" vertical="center" shrinkToFit="1"/>
    </xf>
    <xf numFmtId="0" fontId="35" fillId="31" borderId="14" xfId="18" applyFont="1" applyFill="1" applyBorder="1" applyAlignment="1">
      <alignment horizontal="center" vertical="center" shrinkToFit="1"/>
    </xf>
    <xf numFmtId="0" fontId="25" fillId="25" borderId="77" xfId="18" applyFont="1" applyFill="1" applyBorder="1" applyAlignment="1">
      <alignment horizontal="center" vertical="center" shrinkToFit="1"/>
    </xf>
    <xf numFmtId="0" fontId="8" fillId="26" borderId="7" xfId="18" applyFont="1" applyFill="1" applyBorder="1" applyAlignment="1">
      <alignment horizontal="center" vertical="center" shrinkToFit="1"/>
    </xf>
    <xf numFmtId="0" fontId="0" fillId="31" borderId="16" xfId="0" applyFill="1" applyBorder="1" applyAlignment="1">
      <alignment horizontal="center" vertical="center" shrinkToFit="1"/>
    </xf>
    <xf numFmtId="0" fontId="30" fillId="30" borderId="2" xfId="0" applyFont="1" applyFill="1" applyBorder="1" applyAlignment="1">
      <alignment horizontal="center" vertical="center"/>
    </xf>
    <xf numFmtId="0" fontId="8" fillId="31" borderId="43" xfId="18" applyFont="1" applyFill="1" applyBorder="1" applyAlignment="1">
      <alignment horizontal="center" vertical="center" shrinkToFit="1"/>
    </xf>
    <xf numFmtId="190" fontId="8" fillId="25" borderId="17" xfId="18" applyNumberFormat="1" applyFont="1" applyFill="1" applyBorder="1" applyAlignment="1">
      <alignment horizontal="center" vertical="center" shrinkToFit="1"/>
    </xf>
    <xf numFmtId="0" fontId="8" fillId="31" borderId="38" xfId="18" applyFont="1" applyFill="1" applyBorder="1" applyAlignment="1">
      <alignment horizontal="center" vertical="center" shrinkToFit="1"/>
    </xf>
    <xf numFmtId="0" fontId="8" fillId="31" borderId="25" xfId="18" applyFont="1" applyFill="1" applyBorder="1" applyAlignment="1">
      <alignment horizontal="center" vertical="center" shrinkToFit="1"/>
    </xf>
    <xf numFmtId="190" fontId="8" fillId="25" borderId="25" xfId="18" applyNumberFormat="1" applyFont="1" applyFill="1" applyBorder="1" applyAlignment="1">
      <alignment horizontal="center" vertical="center" shrinkToFit="1"/>
    </xf>
    <xf numFmtId="0" fontId="86" fillId="84" borderId="323" xfId="0" applyFont="1" applyFill="1" applyBorder="1" applyAlignment="1">
      <alignment horizontal="center"/>
    </xf>
    <xf numFmtId="0" fontId="19" fillId="84" borderId="332" xfId="0" applyFont="1" applyFill="1" applyBorder="1" applyAlignment="1">
      <alignment horizontal="center"/>
    </xf>
    <xf numFmtId="0" fontId="26" fillId="24" borderId="71" xfId="18" applyFont="1" applyFill="1" applyBorder="1" applyAlignment="1">
      <alignment horizontal="center" vertical="center" shrinkToFit="1"/>
    </xf>
    <xf numFmtId="0" fontId="8" fillId="26" borderId="75" xfId="18" applyFont="1" applyFill="1" applyBorder="1" applyAlignment="1">
      <alignment horizontal="center" vertical="center" shrinkToFit="1"/>
    </xf>
    <xf numFmtId="0" fontId="24" fillId="25" borderId="85" xfId="18" applyFont="1" applyFill="1" applyBorder="1" applyAlignment="1">
      <alignment horizontal="center" vertical="center" shrinkToFit="1"/>
    </xf>
    <xf numFmtId="0" fontId="24" fillId="25" borderId="87" xfId="18" applyFont="1" applyFill="1" applyBorder="1" applyAlignment="1">
      <alignment horizontal="center" vertical="center" shrinkToFit="1"/>
    </xf>
    <xf numFmtId="185" fontId="24" fillId="25" borderId="87" xfId="18" applyNumberFormat="1" applyFont="1" applyFill="1" applyBorder="1" applyAlignment="1">
      <alignment horizontal="right" vertical="center" shrinkToFit="1"/>
    </xf>
    <xf numFmtId="183" fontId="24" fillId="25" borderId="88" xfId="18" applyNumberFormat="1" applyFont="1" applyFill="1" applyBorder="1" applyAlignment="1">
      <alignment horizontal="left" vertical="center" shrinkToFit="1"/>
    </xf>
    <xf numFmtId="186" fontId="22" fillId="25" borderId="88" xfId="18" applyNumberFormat="1" applyFont="1" applyFill="1" applyBorder="1" applyAlignment="1">
      <alignment horizontal="left" vertical="center" shrinkToFit="1"/>
    </xf>
    <xf numFmtId="0" fontId="8" fillId="26" borderId="4" xfId="18" applyFont="1" applyFill="1" applyBorder="1" applyAlignment="1">
      <alignment horizontal="center" vertical="center" shrinkToFit="1"/>
    </xf>
    <xf numFmtId="0" fontId="24" fillId="25" borderId="77" xfId="18" applyFont="1" applyFill="1" applyBorder="1" applyAlignment="1">
      <alignment horizontal="center" vertical="center" shrinkToFit="1"/>
    </xf>
    <xf numFmtId="186" fontId="22" fillId="25" borderId="86" xfId="18" applyNumberFormat="1" applyFont="1" applyFill="1" applyBorder="1" applyAlignment="1">
      <alignment horizontal="left" vertical="center" shrinkToFit="1"/>
    </xf>
    <xf numFmtId="0" fontId="1" fillId="26" borderId="8" xfId="0" applyFont="1" applyFill="1" applyBorder="1" applyAlignment="1">
      <alignment horizontal="center" vertical="center" shrinkToFit="1"/>
    </xf>
    <xf numFmtId="0" fontId="25" fillId="26" borderId="213" xfId="18" applyFont="1" applyFill="1" applyBorder="1" applyAlignment="1">
      <alignment horizontal="center" vertical="center" shrinkToFit="1"/>
    </xf>
    <xf numFmtId="0" fontId="25" fillId="26" borderId="214" xfId="18" applyFont="1" applyFill="1" applyBorder="1" applyAlignment="1">
      <alignment horizontal="center" vertical="center" shrinkToFit="1"/>
    </xf>
    <xf numFmtId="0" fontId="25" fillId="26" borderId="215" xfId="18" applyFont="1" applyFill="1" applyBorder="1" applyAlignment="1">
      <alignment horizontal="center" vertical="center" shrinkToFit="1"/>
    </xf>
    <xf numFmtId="0" fontId="8" fillId="12" borderId="76" xfId="18" applyFont="1" applyFill="1" applyBorder="1" applyAlignment="1">
      <alignment horizontal="center" vertical="center" shrinkToFit="1"/>
    </xf>
    <xf numFmtId="0" fontId="8" fillId="12" borderId="216" xfId="18" applyFont="1" applyFill="1" applyBorder="1" applyAlignment="1">
      <alignment horizontal="center" vertical="center" shrinkToFit="1"/>
    </xf>
    <xf numFmtId="0" fontId="27" fillId="29" borderId="84" xfId="18" applyFont="1" applyFill="1" applyBorder="1" applyAlignment="1">
      <alignment horizontal="center" vertical="center" shrinkToFit="1"/>
    </xf>
    <xf numFmtId="0" fontId="28" fillId="29" borderId="84" xfId="18" applyFont="1" applyFill="1" applyBorder="1" applyAlignment="1">
      <alignment horizontal="center" vertical="center" shrinkToFit="1"/>
    </xf>
    <xf numFmtId="0" fontId="8" fillId="26" borderId="75" xfId="0" applyFont="1" applyFill="1" applyBorder="1" applyAlignment="1">
      <alignment horizontal="center" vertical="center" shrinkToFit="1"/>
    </xf>
    <xf numFmtId="0" fontId="27" fillId="29" borderId="72" xfId="18" applyFont="1" applyFill="1" applyBorder="1" applyAlignment="1">
      <alignment horizontal="center" vertical="center" shrinkToFit="1"/>
    </xf>
    <xf numFmtId="0" fontId="24" fillId="25" borderId="9" xfId="18" applyFont="1" applyFill="1" applyBorder="1" applyAlignment="1">
      <alignment horizontal="center" vertical="center" shrinkToFit="1"/>
    </xf>
    <xf numFmtId="183" fontId="24" fillId="25" borderId="86" xfId="18" applyNumberFormat="1" applyFont="1" applyFill="1" applyBorder="1" applyAlignment="1">
      <alignment horizontal="left" vertical="center" shrinkToFit="1"/>
    </xf>
    <xf numFmtId="0" fontId="26" fillId="24" borderId="72" xfId="18" applyFont="1" applyFill="1" applyBorder="1" applyAlignment="1">
      <alignment horizontal="center" vertical="center" shrinkToFit="1"/>
    </xf>
    <xf numFmtId="178" fontId="24" fillId="25" borderId="10" xfId="18" applyNumberFormat="1" applyFont="1" applyFill="1" applyBorder="1" applyAlignment="1">
      <alignment horizontal="center" vertical="center" shrinkToFit="1"/>
    </xf>
    <xf numFmtId="0" fontId="3" fillId="24" borderId="244" xfId="0" applyFont="1" applyFill="1" applyBorder="1" applyAlignment="1">
      <alignment horizontal="center" vertical="center"/>
    </xf>
    <xf numFmtId="0" fontId="3" fillId="24" borderId="245" xfId="0" applyFont="1" applyFill="1" applyBorder="1" applyAlignment="1">
      <alignment horizontal="center" vertical="center"/>
    </xf>
    <xf numFmtId="0" fontId="3" fillId="24" borderId="246" xfId="0" applyFont="1" applyFill="1" applyBorder="1" applyAlignment="1">
      <alignment horizontal="center" vertical="center"/>
    </xf>
    <xf numFmtId="0" fontId="3" fillId="24" borderId="4" xfId="0" applyFont="1" applyFill="1" applyBorder="1" applyAlignment="1">
      <alignment horizontal="center" vertical="center"/>
    </xf>
    <xf numFmtId="0" fontId="4" fillId="26" borderId="5" xfId="0" applyFont="1" applyFill="1" applyBorder="1" applyAlignment="1">
      <alignment horizontal="center" vertical="center"/>
    </xf>
    <xf numFmtId="0" fontId="4" fillId="26" borderId="241" xfId="0" applyFont="1" applyFill="1" applyBorder="1" applyAlignment="1">
      <alignment horizontal="center" vertical="center"/>
    </xf>
    <xf numFmtId="0" fontId="4" fillId="26" borderId="242" xfId="0" applyFont="1" applyFill="1" applyBorder="1" applyAlignment="1">
      <alignment horizontal="center" vertical="center"/>
    </xf>
    <xf numFmtId="0" fontId="4" fillId="26" borderId="243" xfId="0" applyFont="1" applyFill="1" applyBorder="1" applyAlignment="1">
      <alignment horizontal="center" vertical="center"/>
    </xf>
    <xf numFmtId="0" fontId="4" fillId="26" borderId="85" xfId="0" applyFont="1" applyFill="1" applyBorder="1" applyAlignment="1">
      <alignment horizontal="center" vertical="center"/>
    </xf>
    <xf numFmtId="0" fontId="4" fillId="26" borderId="86" xfId="0" applyFont="1" applyFill="1" applyBorder="1" applyAlignment="1">
      <alignment horizontal="center" vertical="center"/>
    </xf>
    <xf numFmtId="0" fontId="2" fillId="24" borderId="7" xfId="0" applyFont="1" applyFill="1" applyBorder="1" applyAlignment="1">
      <alignment horizontal="center" vertical="center" shrinkToFit="1"/>
    </xf>
    <xf numFmtId="0" fontId="2" fillId="24" borderId="241" xfId="0" applyFont="1" applyFill="1" applyBorder="1" applyAlignment="1">
      <alignment horizontal="center" vertical="center" shrinkToFit="1"/>
    </xf>
    <xf numFmtId="0" fontId="2" fillId="24" borderId="242" xfId="0" applyFont="1" applyFill="1" applyBorder="1" applyAlignment="1">
      <alignment horizontal="center" vertical="center" shrinkToFit="1"/>
    </xf>
    <xf numFmtId="0" fontId="2" fillId="24" borderId="86" xfId="0" applyFont="1" applyFill="1" applyBorder="1" applyAlignment="1">
      <alignment horizontal="center" vertical="center" shrinkToFit="1"/>
    </xf>
    <xf numFmtId="0" fontId="21" fillId="35" borderId="238" xfId="0" applyFont="1" applyFill="1" applyBorder="1" applyAlignment="1">
      <alignment horizontal="left" vertical="center" wrapText="1" indent="1" shrinkToFit="1"/>
    </xf>
    <xf numFmtId="0" fontId="21" fillId="35" borderId="239" xfId="0" applyFont="1" applyFill="1" applyBorder="1" applyAlignment="1">
      <alignment horizontal="left" vertical="center" wrapText="1" indent="1" shrinkToFit="1"/>
    </xf>
    <xf numFmtId="0" fontId="21" fillId="35" borderId="240" xfId="0" applyFont="1" applyFill="1" applyBorder="1" applyAlignment="1">
      <alignment horizontal="left" vertical="center" wrapText="1" indent="1" shrinkToFit="1"/>
    </xf>
    <xf numFmtId="0" fontId="21" fillId="35" borderId="81" xfId="0" applyFont="1" applyFill="1" applyBorder="1" applyAlignment="1">
      <alignment horizontal="left" vertical="center" wrapText="1" indent="1" shrinkToFit="1"/>
    </xf>
    <xf numFmtId="0" fontId="58" fillId="29" borderId="236" xfId="0" applyFont="1" applyFill="1" applyBorder="1" applyAlignment="1">
      <alignment horizontal="center" vertical="center" shrinkToFit="1"/>
    </xf>
    <xf numFmtId="0" fontId="58" fillId="29" borderId="237" xfId="0" applyFont="1" applyFill="1" applyBorder="1" applyAlignment="1">
      <alignment horizontal="center" vertical="center" shrinkToFit="1"/>
    </xf>
    <xf numFmtId="0" fontId="58" fillId="29" borderId="234" xfId="0" applyFont="1" applyFill="1" applyBorder="1" applyAlignment="1">
      <alignment horizontal="center" vertical="center" shrinkToFit="1"/>
    </xf>
    <xf numFmtId="0" fontId="58" fillId="29" borderId="235" xfId="0" applyFont="1" applyFill="1" applyBorder="1" applyAlignment="1">
      <alignment horizontal="center" vertical="center" shrinkToFit="1"/>
    </xf>
    <xf numFmtId="0" fontId="0" fillId="29" borderId="247" xfId="0" applyFill="1" applyBorder="1" applyAlignment="1">
      <alignment horizontal="center" vertical="center" shrinkToFit="1"/>
    </xf>
    <xf numFmtId="0" fontId="0" fillId="29" borderId="248" xfId="0" applyFill="1" applyBorder="1" applyAlignment="1">
      <alignment horizontal="center" vertical="center" shrinkToFit="1"/>
    </xf>
    <xf numFmtId="0" fontId="0" fillId="29" borderId="203" xfId="0" applyFill="1" applyBorder="1" applyAlignment="1">
      <alignment horizontal="center" vertical="center" shrinkToFit="1"/>
    </xf>
    <xf numFmtId="0" fontId="0" fillId="29" borderId="204" xfId="0" applyFill="1" applyBorder="1" applyAlignment="1">
      <alignment horizontal="center" vertical="center" shrinkToFit="1"/>
    </xf>
    <xf numFmtId="0" fontId="60" fillId="29" borderId="1" xfId="0" applyFont="1" applyFill="1" applyBorder="1" applyAlignment="1">
      <alignment horizontal="center" vertical="center" shrinkToFit="1"/>
    </xf>
    <xf numFmtId="0" fontId="6" fillId="12" borderId="80" xfId="0" applyFont="1" applyFill="1" applyBorder="1" applyAlignment="1">
      <alignment horizontal="left" vertical="center" wrapText="1" indent="1" shrinkToFit="1"/>
    </xf>
    <xf numFmtId="0" fontId="5" fillId="12" borderId="6" xfId="0" applyFont="1" applyFill="1" applyBorder="1" applyAlignment="1">
      <alignment horizontal="center" vertical="center" shrinkToFit="1"/>
    </xf>
    <xf numFmtId="0" fontId="6" fillId="12" borderId="206" xfId="0" applyFont="1" applyFill="1" applyBorder="1" applyAlignment="1">
      <alignment horizontal="left" vertical="center" wrapText="1" indent="1" shrinkToFit="1"/>
    </xf>
    <xf numFmtId="0" fontId="6" fillId="12" borderId="207" xfId="0" applyFont="1" applyFill="1" applyBorder="1" applyAlignment="1">
      <alignment horizontal="left" vertical="center" wrapText="1" indent="1" shrinkToFit="1"/>
    </xf>
    <xf numFmtId="0" fontId="6" fillId="12" borderId="249" xfId="0" applyFont="1" applyFill="1" applyBorder="1" applyAlignment="1">
      <alignment horizontal="left" vertical="center" wrapText="1" indent="1" shrinkToFit="1"/>
    </xf>
    <xf numFmtId="0" fontId="6" fillId="12" borderId="116" xfId="0" applyFont="1" applyFill="1" applyBorder="1" applyAlignment="1">
      <alignment horizontal="left" vertical="center" wrapText="1" indent="1" shrinkToFit="1"/>
    </xf>
    <xf numFmtId="0" fontId="6" fillId="12" borderId="0" xfId="0" applyFont="1" applyFill="1" applyAlignment="1">
      <alignment horizontal="left" vertical="center" wrapText="1" indent="1" shrinkToFit="1"/>
    </xf>
    <xf numFmtId="0" fontId="6" fillId="12" borderId="39" xfId="0" applyFont="1" applyFill="1" applyBorder="1" applyAlignment="1">
      <alignment horizontal="left" vertical="center" wrapText="1" indent="1" shrinkToFit="1"/>
    </xf>
    <xf numFmtId="0" fontId="22" fillId="71" borderId="203" xfId="0" applyFont="1" applyFill="1" applyBorder="1" applyAlignment="1">
      <alignment horizontal="center" vertical="center" shrinkToFit="1"/>
    </xf>
    <xf numFmtId="0" fontId="22" fillId="71" borderId="204" xfId="0" applyFont="1" applyFill="1" applyBorder="1" applyAlignment="1">
      <alignment horizontal="center" vertical="center" shrinkToFit="1"/>
    </xf>
    <xf numFmtId="0" fontId="58" fillId="29" borderId="83" xfId="0" applyFont="1" applyFill="1" applyBorder="1" applyAlignment="1">
      <alignment horizontal="center" vertical="center" shrinkToFit="1"/>
    </xf>
    <xf numFmtId="0" fontId="1" fillId="12" borderId="206" xfId="0" applyFont="1" applyFill="1" applyBorder="1" applyAlignment="1">
      <alignment horizontal="center" vertical="center" shrinkToFit="1"/>
    </xf>
    <xf numFmtId="0" fontId="1" fillId="12" borderId="207" xfId="0" applyFont="1" applyFill="1" applyBorder="1" applyAlignment="1">
      <alignment horizontal="center" vertical="center" shrinkToFit="1"/>
    </xf>
    <xf numFmtId="0" fontId="1" fillId="12" borderId="205" xfId="0" applyFont="1" applyFill="1" applyBorder="1" applyAlignment="1">
      <alignment horizontal="center" vertical="center" shrinkToFit="1"/>
    </xf>
    <xf numFmtId="0" fontId="1" fillId="12" borderId="250" xfId="0" applyFont="1" applyFill="1" applyBorder="1" applyAlignment="1">
      <alignment horizontal="center" vertical="center" shrinkToFit="1"/>
    </xf>
    <xf numFmtId="0" fontId="1" fillId="12" borderId="208" xfId="0" applyFont="1" applyFill="1" applyBorder="1" applyAlignment="1">
      <alignment horizontal="center" vertical="center" shrinkToFit="1"/>
    </xf>
    <xf numFmtId="0" fontId="1" fillId="12" borderId="251" xfId="0" applyFont="1" applyFill="1" applyBorder="1" applyAlignment="1">
      <alignment horizontal="center" vertical="center" shrinkToFit="1"/>
    </xf>
    <xf numFmtId="0" fontId="1" fillId="26" borderId="253" xfId="0" applyFont="1" applyFill="1" applyBorder="1" applyAlignment="1">
      <alignment horizontal="center" vertical="center" wrapText="1" shrinkToFit="1"/>
    </xf>
    <xf numFmtId="0" fontId="1" fillId="26" borderId="103" xfId="0" applyFont="1" applyFill="1" applyBorder="1" applyAlignment="1">
      <alignment horizontal="center" vertical="center" wrapText="1" shrinkToFit="1"/>
    </xf>
    <xf numFmtId="0" fontId="1" fillId="26" borderId="121" xfId="0" applyFont="1" applyFill="1" applyBorder="1" applyAlignment="1">
      <alignment horizontal="center" vertical="center" wrapText="1" shrinkToFit="1"/>
    </xf>
    <xf numFmtId="0" fontId="1" fillId="26" borderId="250" xfId="0" applyFont="1" applyFill="1" applyBorder="1" applyAlignment="1">
      <alignment horizontal="center" vertical="center" wrapText="1" shrinkToFit="1"/>
    </xf>
    <xf numFmtId="0" fontId="1" fillId="26" borderId="208" xfId="0" applyFont="1" applyFill="1" applyBorder="1" applyAlignment="1">
      <alignment horizontal="center" vertical="center" wrapText="1" shrinkToFit="1"/>
    </xf>
    <xf numFmtId="0" fontId="1" fillId="26" borderId="254" xfId="0" applyFont="1" applyFill="1" applyBorder="1" applyAlignment="1">
      <alignment horizontal="center" vertical="center" wrapText="1" shrinkToFit="1"/>
    </xf>
    <xf numFmtId="0" fontId="22" fillId="12" borderId="10" xfId="0" applyFont="1" applyFill="1" applyBorder="1" applyAlignment="1">
      <alignment horizontal="center" vertical="center" shrinkToFit="1"/>
    </xf>
    <xf numFmtId="0" fontId="22" fillId="72" borderId="202" xfId="0" applyFont="1" applyFill="1" applyBorder="1" applyAlignment="1">
      <alignment horizontal="center" vertical="center" shrinkToFit="1"/>
    </xf>
    <xf numFmtId="0" fontId="22" fillId="72" borderId="252" xfId="0" applyFont="1" applyFill="1" applyBorder="1" applyAlignment="1">
      <alignment horizontal="center" vertical="center" shrinkToFit="1"/>
    </xf>
    <xf numFmtId="0" fontId="19" fillId="26" borderId="258" xfId="0" applyFont="1" applyFill="1" applyBorder="1" applyAlignment="1">
      <alignment horizontal="center" vertical="center" shrinkToFit="1"/>
    </xf>
    <xf numFmtId="0" fontId="19" fillId="26" borderId="257" xfId="0" applyFont="1" applyFill="1" applyBorder="1" applyAlignment="1">
      <alignment horizontal="center" vertical="center" shrinkToFit="1"/>
    </xf>
    <xf numFmtId="0" fontId="19" fillId="26" borderId="256" xfId="0" applyFont="1" applyFill="1" applyBorder="1" applyAlignment="1">
      <alignment horizontal="center" vertical="center" shrinkToFit="1"/>
    </xf>
    <xf numFmtId="0" fontId="19" fillId="26" borderId="161" xfId="0" applyFont="1" applyFill="1" applyBorder="1" applyAlignment="1">
      <alignment horizontal="center" vertical="center" shrinkToFit="1"/>
    </xf>
    <xf numFmtId="0" fontId="19" fillId="26" borderId="220" xfId="0" applyFont="1" applyFill="1" applyBorder="1" applyAlignment="1">
      <alignment horizontal="center" vertical="center" shrinkToFit="1"/>
    </xf>
    <xf numFmtId="0" fontId="19" fillId="73" borderId="132" xfId="0" applyFont="1" applyFill="1" applyBorder="1" applyAlignment="1">
      <alignment horizontal="center" vertical="center" shrinkToFit="1"/>
    </xf>
    <xf numFmtId="0" fontId="19" fillId="73" borderId="255" xfId="0" applyFont="1" applyFill="1" applyBorder="1" applyAlignment="1">
      <alignment horizontal="center" vertical="center" shrinkToFit="1"/>
    </xf>
    <xf numFmtId="0" fontId="28" fillId="76" borderId="0" xfId="0" applyFont="1" applyFill="1" applyAlignment="1">
      <alignment horizontal="left"/>
    </xf>
    <xf numFmtId="0" fontId="9" fillId="12" borderId="8" xfId="18" applyFont="1" applyFill="1" applyBorder="1" applyAlignment="1">
      <alignment horizontal="left" vertical="center" wrapText="1" indent="1" shrinkToFit="1"/>
    </xf>
    <xf numFmtId="0" fontId="9" fillId="25" borderId="1" xfId="18" applyFont="1" applyFill="1" applyBorder="1" applyAlignment="1">
      <alignment horizontal="center" vertical="center" shrinkToFit="1"/>
    </xf>
    <xf numFmtId="0" fontId="9" fillId="25" borderId="10" xfId="18" applyFont="1" applyFill="1" applyBorder="1" applyAlignment="1">
      <alignment horizontal="center" vertical="center" shrinkToFit="1"/>
    </xf>
    <xf numFmtId="0" fontId="9" fillId="26" borderId="7" xfId="18" applyFont="1" applyFill="1" applyBorder="1" applyAlignment="1">
      <alignment horizontal="center" vertical="center" shrinkToFit="1"/>
    </xf>
    <xf numFmtId="0" fontId="2" fillId="24" borderId="308" xfId="0" applyFont="1" applyFill="1" applyBorder="1" applyAlignment="1">
      <alignment horizontal="center" vertical="center" shrinkToFit="1"/>
    </xf>
    <xf numFmtId="0" fontId="2" fillId="24" borderId="309" xfId="0" applyFont="1" applyFill="1" applyBorder="1" applyAlignment="1">
      <alignment horizontal="center" vertical="center" shrinkToFit="1"/>
    </xf>
    <xf numFmtId="0" fontId="21" fillId="35" borderId="317" xfId="0" applyFont="1" applyFill="1" applyBorder="1" applyAlignment="1">
      <alignment horizontal="left" vertical="center" wrapText="1" indent="1" shrinkToFit="1"/>
    </xf>
    <xf numFmtId="0" fontId="21" fillId="35" borderId="318" xfId="0" applyFont="1" applyFill="1" applyBorder="1" applyAlignment="1">
      <alignment horizontal="left" vertical="center" wrapText="1" indent="1" shrinkToFit="1"/>
    </xf>
    <xf numFmtId="0" fontId="21" fillId="35" borderId="319" xfId="0" applyFont="1" applyFill="1" applyBorder="1" applyAlignment="1">
      <alignment horizontal="left" vertical="center" wrapText="1" indent="1" shrinkToFit="1"/>
    </xf>
    <xf numFmtId="0" fontId="3" fillId="24" borderId="313" xfId="0" applyFont="1" applyFill="1" applyBorder="1" applyAlignment="1">
      <alignment horizontal="center" vertical="center"/>
    </xf>
    <xf numFmtId="0" fontId="3" fillId="24" borderId="314" xfId="0" applyFont="1" applyFill="1" applyBorder="1" applyAlignment="1">
      <alignment horizontal="center" vertical="center"/>
    </xf>
    <xf numFmtId="0" fontId="0" fillId="0" borderId="8" xfId="0" applyBorder="1" applyAlignment="1">
      <alignment horizontal="right" shrinkToFit="1"/>
    </xf>
    <xf numFmtId="0" fontId="1" fillId="12" borderId="212" xfId="0" applyFont="1" applyFill="1" applyBorder="1" applyAlignment="1">
      <alignment horizontal="center" vertical="center" shrinkToFit="1"/>
    </xf>
    <xf numFmtId="0" fontId="1" fillId="12" borderId="6" xfId="0" applyFont="1" applyFill="1" applyBorder="1" applyAlignment="1">
      <alignment horizontal="center" vertical="center" shrinkToFit="1"/>
    </xf>
    <xf numFmtId="0" fontId="9" fillId="12" borderId="9" xfId="18" applyFont="1" applyFill="1" applyBorder="1" applyAlignment="1">
      <alignment horizontal="center" vertical="center" shrinkToFit="1"/>
    </xf>
    <xf numFmtId="0" fontId="2" fillId="24" borderId="4" xfId="0" applyFont="1" applyFill="1" applyBorder="1" applyAlignment="1">
      <alignment horizontal="center" vertical="center" shrinkToFit="1"/>
    </xf>
    <xf numFmtId="0" fontId="4" fillId="26" borderId="1" xfId="0" applyFont="1" applyFill="1" applyBorder="1" applyAlignment="1">
      <alignment horizontal="center" vertical="center"/>
    </xf>
    <xf numFmtId="0" fontId="4" fillId="26" borderId="10" xfId="0" applyFont="1" applyFill="1" applyBorder="1" applyAlignment="1">
      <alignment horizontal="center" vertical="center"/>
    </xf>
    <xf numFmtId="0" fontId="4" fillId="26" borderId="210" xfId="0" applyFont="1" applyFill="1" applyBorder="1" applyAlignment="1">
      <alignment horizontal="center" vertical="center"/>
    </xf>
    <xf numFmtId="0" fontId="2" fillId="24" borderId="4" xfId="18" applyFont="1" applyFill="1" applyBorder="1" applyAlignment="1">
      <alignment horizontal="center" vertical="center" shrinkToFit="1"/>
    </xf>
    <xf numFmtId="0" fontId="58" fillId="29" borderId="1" xfId="0" applyFont="1" applyFill="1" applyBorder="1" applyAlignment="1">
      <alignment horizontal="center" vertical="center" shrinkToFit="1"/>
    </xf>
    <xf numFmtId="0" fontId="22" fillId="71" borderId="1" xfId="0" applyFont="1" applyFill="1" applyBorder="1" applyAlignment="1">
      <alignment horizontal="center" vertical="center" shrinkToFit="1"/>
    </xf>
    <xf numFmtId="0" fontId="0" fillId="29" borderId="212" xfId="0" applyFill="1" applyBorder="1" applyAlignment="1">
      <alignment horizontal="center" vertical="center" shrinkToFit="1"/>
    </xf>
    <xf numFmtId="0" fontId="18" fillId="24" borderId="74" xfId="18" applyFont="1" applyFill="1" applyBorder="1" applyAlignment="1">
      <alignment horizontal="center" vertical="center" shrinkToFit="1"/>
    </xf>
    <xf numFmtId="0" fontId="4" fillId="26" borderId="212" xfId="0" applyFont="1" applyFill="1" applyBorder="1" applyAlignment="1">
      <alignment horizontal="center" vertical="center"/>
    </xf>
    <xf numFmtId="0" fontId="4" fillId="26" borderId="6" xfId="0" applyFont="1" applyFill="1" applyBorder="1" applyAlignment="1">
      <alignment horizontal="center" vertical="center"/>
    </xf>
    <xf numFmtId="0" fontId="0" fillId="29" borderId="1" xfId="0" applyFill="1" applyBorder="1" applyAlignment="1">
      <alignment horizontal="center" vertical="center" shrinkToFit="1"/>
    </xf>
    <xf numFmtId="0" fontId="6" fillId="12" borderId="315" xfId="0" applyFont="1" applyFill="1" applyBorder="1" applyAlignment="1">
      <alignment horizontal="left" vertical="center" wrapText="1" indent="1" shrinkToFit="1"/>
    </xf>
    <xf numFmtId="0" fontId="6" fillId="12" borderId="316" xfId="0" applyFont="1" applyFill="1" applyBorder="1" applyAlignment="1">
      <alignment horizontal="left" vertical="center" wrapText="1" indent="1" shrinkToFit="1"/>
    </xf>
    <xf numFmtId="0" fontId="22" fillId="71" borderId="227" xfId="0" applyFont="1" applyFill="1" applyBorder="1" applyAlignment="1">
      <alignment horizontal="center" vertical="center" shrinkToFit="1"/>
    </xf>
    <xf numFmtId="0" fontId="22" fillId="71" borderId="228" xfId="0" applyFont="1" applyFill="1" applyBorder="1" applyAlignment="1">
      <alignment horizontal="center" vertical="center" shrinkToFit="1"/>
    </xf>
    <xf numFmtId="0" fontId="22" fillId="71" borderId="210" xfId="0" applyFont="1" applyFill="1" applyBorder="1" applyAlignment="1">
      <alignment horizontal="center" vertical="center" shrinkToFit="1"/>
    </xf>
    <xf numFmtId="0" fontId="2" fillId="24" borderId="74" xfId="0" applyFont="1" applyFill="1" applyBorder="1" applyAlignment="1">
      <alignment horizontal="center" vertical="center" shrinkToFit="1"/>
    </xf>
    <xf numFmtId="0" fontId="2" fillId="24" borderId="74" xfId="0" applyFont="1" applyFill="1" applyBorder="1" applyAlignment="1">
      <alignment horizontal="center" vertical="center" indent="1" shrinkToFit="1"/>
    </xf>
    <xf numFmtId="0" fontId="18" fillId="24" borderId="74" xfId="0" applyFont="1" applyFill="1" applyBorder="1" applyAlignment="1">
      <alignment horizontal="center" vertical="center" shrinkToFit="1"/>
    </xf>
    <xf numFmtId="0" fontId="2" fillId="24" borderId="71" xfId="0" applyFont="1" applyFill="1" applyBorder="1" applyAlignment="1">
      <alignment horizontal="left" vertical="center" indent="1" shrinkToFit="1"/>
    </xf>
    <xf numFmtId="0" fontId="1" fillId="12" borderId="72" xfId="0" applyFont="1" applyFill="1" applyBorder="1" applyAlignment="1">
      <alignment horizontal="center" vertical="center" shrinkToFit="1"/>
    </xf>
    <xf numFmtId="0" fontId="2" fillId="24" borderId="72" xfId="0" applyFont="1" applyFill="1" applyBorder="1" applyAlignment="1">
      <alignment horizontal="left" vertical="center" indent="1" shrinkToFit="1"/>
    </xf>
    <xf numFmtId="0" fontId="1" fillId="29" borderId="73" xfId="0" applyFont="1" applyFill="1" applyBorder="1" applyAlignment="1">
      <alignment horizontal="center" vertical="center" shrinkToFit="1"/>
    </xf>
    <xf numFmtId="0" fontId="1" fillId="26" borderId="74" xfId="0" applyFont="1" applyFill="1" applyBorder="1" applyAlignment="1">
      <alignment horizontal="center" vertical="center" wrapText="1" shrinkToFit="1"/>
    </xf>
    <xf numFmtId="0" fontId="19" fillId="26" borderId="75" xfId="0" applyFont="1" applyFill="1" applyBorder="1" applyAlignment="1">
      <alignment horizontal="center" vertical="center" shrinkToFit="1"/>
    </xf>
    <xf numFmtId="0" fontId="19" fillId="26" borderId="76" xfId="0" applyFont="1" applyFill="1" applyBorder="1" applyAlignment="1">
      <alignment horizontal="center" vertical="center" shrinkToFit="1"/>
    </xf>
    <xf numFmtId="0" fontId="1" fillId="25" borderId="77" xfId="0" applyFont="1" applyFill="1" applyBorder="1" applyAlignment="1">
      <alignment horizontal="center" vertical="center" shrinkToFit="1"/>
    </xf>
    <xf numFmtId="0" fontId="1" fillId="25" borderId="76" xfId="0" applyFont="1" applyFill="1" applyBorder="1" applyAlignment="1">
      <alignment horizontal="center" vertical="center" shrinkToFit="1"/>
    </xf>
    <xf numFmtId="0" fontId="0" fillId="29" borderId="73" xfId="0" applyFill="1" applyBorder="1" applyAlignment="1">
      <alignment horizontal="center" vertical="center" shrinkToFit="1"/>
    </xf>
    <xf numFmtId="0" fontId="17" fillId="25" borderId="72" xfId="0" applyFont="1" applyFill="1" applyBorder="1" applyAlignment="1">
      <alignment horizontal="center" vertical="center" shrinkToFit="1"/>
    </xf>
    <xf numFmtId="0" fontId="20" fillId="29" borderId="73" xfId="18" applyFont="1" applyFill="1" applyBorder="1" applyAlignment="1">
      <alignment horizontal="center" vertical="center" shrinkToFit="1"/>
    </xf>
    <xf numFmtId="0" fontId="2" fillId="24" borderId="281" xfId="0" applyFont="1" applyFill="1" applyBorder="1" applyAlignment="1">
      <alignment horizontal="center" vertical="center" shrinkToFit="1"/>
    </xf>
    <xf numFmtId="0" fontId="2" fillId="24" borderId="275" xfId="0" applyFont="1" applyFill="1" applyBorder="1" applyAlignment="1">
      <alignment horizontal="center" vertical="center" shrinkToFit="1"/>
    </xf>
    <xf numFmtId="0" fontId="21" fillId="35" borderId="278" xfId="0" applyFont="1" applyFill="1" applyBorder="1" applyAlignment="1">
      <alignment horizontal="left" vertical="center" wrapText="1" indent="1" shrinkToFit="1"/>
    </xf>
    <xf numFmtId="0" fontId="21" fillId="35" borderId="279" xfId="0" applyFont="1" applyFill="1" applyBorder="1" applyAlignment="1">
      <alignment horizontal="left" vertical="center" wrapText="1" indent="1" shrinkToFit="1"/>
    </xf>
    <xf numFmtId="0" fontId="21" fillId="35" borderId="280" xfId="0" applyFont="1" applyFill="1" applyBorder="1" applyAlignment="1">
      <alignment horizontal="left" vertical="center" wrapText="1" indent="1" shrinkToFit="1"/>
    </xf>
    <xf numFmtId="0" fontId="3" fillId="24" borderId="301" xfId="0" applyFont="1" applyFill="1" applyBorder="1" applyAlignment="1">
      <alignment horizontal="center" vertical="center"/>
    </xf>
    <xf numFmtId="0" fontId="3" fillId="24" borderId="276" xfId="0" applyFont="1" applyFill="1" applyBorder="1" applyAlignment="1">
      <alignment horizontal="center" vertical="center"/>
    </xf>
    <xf numFmtId="0" fontId="3" fillId="24" borderId="277" xfId="0" applyFont="1" applyFill="1" applyBorder="1" applyAlignment="1">
      <alignment horizontal="center" vertical="center"/>
    </xf>
    <xf numFmtId="0" fontId="1" fillId="12" borderId="209" xfId="0" applyFont="1" applyFill="1" applyBorder="1" applyAlignment="1">
      <alignment horizontal="center" vertical="center" shrinkToFit="1"/>
    </xf>
    <xf numFmtId="0" fontId="1" fillId="12" borderId="211" xfId="0" applyFont="1" applyFill="1" applyBorder="1" applyAlignment="1">
      <alignment horizontal="center" vertical="center" shrinkToFit="1"/>
    </xf>
    <xf numFmtId="0" fontId="4" fillId="26" borderId="275" xfId="0" applyFont="1" applyFill="1" applyBorder="1" applyAlignment="1">
      <alignment horizontal="center" vertical="center"/>
    </xf>
    <xf numFmtId="0" fontId="0" fillId="29" borderId="273" xfId="0" applyFill="1" applyBorder="1" applyAlignment="1">
      <alignment horizontal="center" vertical="center" shrinkToFit="1"/>
    </xf>
    <xf numFmtId="0" fontId="0" fillId="29" borderId="274" xfId="0" applyFill="1" applyBorder="1" applyAlignment="1">
      <alignment horizontal="center" vertical="center" shrinkToFit="1"/>
    </xf>
    <xf numFmtId="0" fontId="4" fillId="26" borderId="281" xfId="0" applyFont="1" applyFill="1" applyBorder="1" applyAlignment="1">
      <alignment horizontal="center" vertical="center"/>
    </xf>
    <xf numFmtId="0" fontId="6" fillId="12" borderId="209" xfId="0" applyFont="1" applyFill="1" applyBorder="1" applyAlignment="1">
      <alignment horizontal="left" vertical="center" wrapText="1" indent="1" shrinkToFit="1"/>
    </xf>
    <xf numFmtId="0" fontId="6" fillId="12" borderId="282" xfId="0" applyFont="1" applyFill="1" applyBorder="1" applyAlignment="1">
      <alignment horizontal="left" vertical="center" wrapText="1" indent="1" shrinkToFit="1"/>
    </xf>
    <xf numFmtId="0" fontId="6" fillId="12" borderId="130" xfId="0" applyFont="1" applyFill="1" applyBorder="1" applyAlignment="1">
      <alignment horizontal="left" vertical="center" wrapText="1" indent="1" shrinkToFit="1"/>
    </xf>
    <xf numFmtId="0" fontId="6" fillId="12" borderId="143" xfId="0" applyFont="1" applyFill="1" applyBorder="1" applyAlignment="1">
      <alignment horizontal="left" vertical="center" wrapText="1" indent="1" shrinkToFit="1"/>
    </xf>
    <xf numFmtId="0" fontId="7" fillId="20" borderId="14" xfId="0" applyFont="1" applyFill="1" applyBorder="1" applyAlignment="1">
      <alignment horizontal="center" vertical="center" shrinkToFit="1"/>
    </xf>
    <xf numFmtId="0" fontId="13" fillId="15" borderId="25" xfId="0" applyFont="1" applyFill="1" applyBorder="1" applyAlignment="1">
      <alignment horizontal="center" vertical="center" shrinkToFit="1"/>
    </xf>
    <xf numFmtId="0" fontId="13" fillId="10" borderId="25" xfId="0" applyFont="1" applyFill="1" applyBorder="1" applyAlignment="1">
      <alignment horizontal="center" vertical="center" shrinkToFit="1"/>
    </xf>
    <xf numFmtId="0" fontId="0" fillId="10" borderId="39" xfId="0" applyFill="1" applyBorder="1" applyAlignment="1">
      <alignment horizontal="center" vertical="center" shrinkToFit="1"/>
    </xf>
    <xf numFmtId="0" fontId="0" fillId="10" borderId="38" xfId="0" applyFill="1" applyBorder="1" applyAlignment="1">
      <alignment horizontal="center" vertical="center" shrinkToFit="1"/>
    </xf>
    <xf numFmtId="182" fontId="0" fillId="15" borderId="14" xfId="0" applyNumberFormat="1" applyFill="1" applyBorder="1" applyAlignment="1">
      <alignment horizontal="center" vertical="center" shrinkToFit="1"/>
    </xf>
    <xf numFmtId="0" fontId="7" fillId="20" borderId="12" xfId="0" applyFont="1" applyFill="1" applyBorder="1" applyAlignment="1">
      <alignment horizontal="center" vertical="center" shrinkToFit="1"/>
    </xf>
    <xf numFmtId="0" fontId="7" fillId="20" borderId="37" xfId="0" applyFont="1" applyFill="1" applyBorder="1" applyAlignment="1">
      <alignment horizontal="center" vertical="center" shrinkToFit="1"/>
    </xf>
    <xf numFmtId="0" fontId="13" fillId="13" borderId="25" xfId="0" applyFont="1" applyFill="1" applyBorder="1" applyAlignment="1">
      <alignment horizontal="center" vertical="center" shrinkToFit="1"/>
    </xf>
    <xf numFmtId="0" fontId="10" fillId="11" borderId="36" xfId="0" applyFont="1" applyFill="1" applyBorder="1" applyAlignment="1">
      <alignment horizontal="center" vertical="center" shrinkToFit="1"/>
    </xf>
    <xf numFmtId="0" fontId="13" fillId="14" borderId="25" xfId="0" applyFont="1" applyFill="1" applyBorder="1" applyAlignment="1">
      <alignment horizontal="center" vertical="center" shrinkToFit="1"/>
    </xf>
    <xf numFmtId="0" fontId="0" fillId="10" borderId="39" xfId="0" applyFill="1" applyBorder="1" applyAlignment="1">
      <alignment horizontal="center" vertical="center"/>
    </xf>
    <xf numFmtId="0" fontId="0" fillId="10" borderId="38" xfId="0" applyFill="1" applyBorder="1" applyAlignment="1">
      <alignment horizontal="center" vertical="center"/>
    </xf>
    <xf numFmtId="0" fontId="0" fillId="10" borderId="14" xfId="0" applyFill="1" applyBorder="1" applyAlignment="1">
      <alignment horizontal="center" vertical="center"/>
    </xf>
    <xf numFmtId="0" fontId="12" fillId="19" borderId="30" xfId="0" applyFont="1" applyFill="1" applyBorder="1" applyAlignment="1">
      <alignment horizontal="center" vertical="center" shrinkToFit="1"/>
    </xf>
    <xf numFmtId="0" fontId="7" fillId="12" borderId="31" xfId="0" applyFont="1" applyFill="1" applyBorder="1" applyAlignment="1">
      <alignment horizontal="center" vertical="center" shrinkToFit="1"/>
    </xf>
    <xf numFmtId="0" fontId="7" fillId="19" borderId="33" xfId="0" applyFont="1" applyFill="1" applyBorder="1" applyAlignment="1">
      <alignment horizontal="center" vertical="center" shrinkToFit="1"/>
    </xf>
    <xf numFmtId="0" fontId="10" fillId="11" borderId="25" xfId="0" applyFont="1" applyFill="1" applyBorder="1" applyAlignment="1">
      <alignment horizontal="center" vertical="center" shrinkToFit="1"/>
    </xf>
    <xf numFmtId="0" fontId="10" fillId="11" borderId="38" xfId="0" applyFont="1" applyFill="1" applyBorder="1" applyAlignment="1">
      <alignment horizontal="center" vertical="center" shrinkToFit="1"/>
    </xf>
    <xf numFmtId="0" fontId="10" fillId="11" borderId="14" xfId="0" applyFont="1" applyFill="1" applyBorder="1" applyAlignment="1">
      <alignment horizontal="center" vertical="center" shrinkToFit="1"/>
    </xf>
    <xf numFmtId="0" fontId="7" fillId="19" borderId="35" xfId="0" applyFont="1" applyFill="1" applyBorder="1" applyAlignment="1">
      <alignment horizontal="center" vertical="center" shrinkToFit="1"/>
    </xf>
    <xf numFmtId="0" fontId="7" fillId="0" borderId="66" xfId="0" applyFont="1" applyBorder="1" applyAlignment="1">
      <alignment horizontal="center" vertical="center" shrinkToFit="1"/>
    </xf>
    <xf numFmtId="0" fontId="7" fillId="0" borderId="11" xfId="0" applyFont="1" applyBorder="1" applyAlignment="1">
      <alignment horizontal="center" vertical="center" shrinkToFit="1"/>
    </xf>
    <xf numFmtId="0" fontId="7" fillId="0" borderId="20" xfId="0" applyFont="1" applyBorder="1" applyAlignment="1">
      <alignment horizontal="center" vertical="center" shrinkToFit="1"/>
    </xf>
    <xf numFmtId="0" fontId="7" fillId="0" borderId="21" xfId="0" applyFont="1" applyBorder="1" applyAlignment="1">
      <alignment horizontal="center" vertical="center" shrinkToFit="1"/>
    </xf>
    <xf numFmtId="0" fontId="7" fillId="10" borderId="38" xfId="0" applyFont="1" applyFill="1" applyBorder="1" applyAlignment="1">
      <alignment horizontal="center" vertical="center" shrinkToFit="1"/>
    </xf>
    <xf numFmtId="0" fontId="7" fillId="10" borderId="14" xfId="0" applyFont="1" applyFill="1" applyBorder="1" applyAlignment="1">
      <alignment horizontal="center" vertical="center" shrinkToFit="1"/>
    </xf>
    <xf numFmtId="0" fontId="11" fillId="14" borderId="22" xfId="0" applyFont="1" applyFill="1" applyBorder="1" applyAlignment="1">
      <alignment horizontal="center" vertical="center" shrinkToFit="1"/>
    </xf>
    <xf numFmtId="0" fontId="11" fillId="15" borderId="23" xfId="0" applyFont="1" applyFill="1" applyBorder="1" applyAlignment="1">
      <alignment horizontal="center" vertical="center" shrinkToFit="1"/>
    </xf>
    <xf numFmtId="0" fontId="11" fillId="10" borderId="24" xfId="0" applyFont="1" applyFill="1" applyBorder="1" applyAlignment="1">
      <alignment horizontal="center" vertical="center" shrinkToFit="1"/>
    </xf>
    <xf numFmtId="0" fontId="10" fillId="11" borderId="16" xfId="0" applyFont="1" applyFill="1" applyBorder="1" applyAlignment="1">
      <alignment horizontal="center" vertical="center" shrinkToFit="1"/>
    </xf>
    <xf numFmtId="0" fontId="7" fillId="0" borderId="61" xfId="0" applyFont="1" applyBorder="1" applyAlignment="1">
      <alignment horizontal="center" vertical="center" shrinkToFit="1"/>
    </xf>
    <xf numFmtId="0" fontId="10" fillId="11" borderId="18" xfId="0" applyFont="1" applyFill="1" applyBorder="1" applyAlignment="1">
      <alignment horizontal="center" vertical="center" shrinkToFit="1"/>
    </xf>
    <xf numFmtId="0" fontId="10" fillId="11" borderId="19" xfId="0" applyFont="1" applyFill="1" applyBorder="1" applyAlignment="1">
      <alignment horizontal="center" vertical="center" shrinkToFit="1"/>
    </xf>
    <xf numFmtId="0" fontId="7" fillId="0" borderId="49" xfId="0" applyFont="1" applyBorder="1" applyAlignment="1">
      <alignment horizontal="center" vertical="center"/>
    </xf>
    <xf numFmtId="0" fontId="10" fillId="11" borderId="52" xfId="0" applyFont="1" applyFill="1" applyBorder="1" applyAlignment="1">
      <alignment horizontal="center" vertical="center" wrapText="1" shrinkToFit="1"/>
    </xf>
    <xf numFmtId="0" fontId="9" fillId="12" borderId="53" xfId="0" applyFont="1" applyFill="1" applyBorder="1" applyAlignment="1">
      <alignment horizontal="center" vertical="center"/>
    </xf>
    <xf numFmtId="0" fontId="11" fillId="14" borderId="55" xfId="0" applyFont="1" applyFill="1" applyBorder="1" applyAlignment="1">
      <alignment horizontal="center" vertical="center" shrinkToFit="1"/>
    </xf>
    <xf numFmtId="0" fontId="12" fillId="19" borderId="52" xfId="0" applyFont="1" applyFill="1" applyBorder="1" applyAlignment="1">
      <alignment horizontal="center" vertical="center" shrinkToFit="1"/>
    </xf>
    <xf numFmtId="0" fontId="10" fillId="11" borderId="45" xfId="0" applyFont="1" applyFill="1" applyBorder="1" applyAlignment="1">
      <alignment horizontal="center" vertical="center" shrinkToFit="1"/>
    </xf>
    <xf numFmtId="0" fontId="10" fillId="11" borderId="46" xfId="0" applyFont="1" applyFill="1" applyBorder="1" applyAlignment="1">
      <alignment horizontal="center" vertical="center" wrapText="1" shrinkToFit="1"/>
    </xf>
    <xf numFmtId="0" fontId="9" fillId="12" borderId="47" xfId="0" applyFont="1" applyFill="1" applyBorder="1" applyAlignment="1">
      <alignment horizontal="center" vertical="center" shrinkToFit="1"/>
    </xf>
    <xf numFmtId="0" fontId="10" fillId="11" borderId="48" xfId="0" applyFont="1" applyFill="1" applyBorder="1" applyAlignment="1">
      <alignment horizontal="center" vertical="center" shrinkToFit="1"/>
    </xf>
    <xf numFmtId="0" fontId="7" fillId="12" borderId="52" xfId="0" applyFont="1" applyFill="1" applyBorder="1" applyAlignment="1">
      <alignment horizontal="center" vertical="center" shrinkToFit="1"/>
    </xf>
    <xf numFmtId="0" fontId="7" fillId="0" borderId="52" xfId="0" applyFont="1" applyBorder="1" applyAlignment="1">
      <alignment horizontal="center" vertical="center" shrinkToFit="1"/>
    </xf>
    <xf numFmtId="0" fontId="15" fillId="0" borderId="0" xfId="0" applyFont="1" applyAlignment="1">
      <alignment horizontal="center" vertical="center"/>
    </xf>
    <xf numFmtId="0" fontId="16" fillId="0" borderId="0" xfId="0" applyFont="1" applyAlignment="1">
      <alignment horizontal="center" vertical="center"/>
    </xf>
    <xf numFmtId="0" fontId="16" fillId="0" borderId="2" xfId="0" applyFont="1" applyBorder="1" applyAlignment="1">
      <alignment horizontal="center" vertical="center" shrinkToFit="1"/>
    </xf>
    <xf numFmtId="0" fontId="2" fillId="21" borderId="39" xfId="0" applyFont="1" applyFill="1" applyBorder="1" applyAlignment="1">
      <alignment horizontal="center" vertical="center"/>
    </xf>
    <xf numFmtId="0" fontId="13" fillId="16" borderId="25" xfId="0" applyFont="1" applyFill="1" applyBorder="1" applyAlignment="1">
      <alignment horizontal="center" vertical="center" shrinkToFit="1"/>
    </xf>
    <xf numFmtId="0" fontId="2" fillId="21" borderId="39" xfId="0" applyFont="1" applyFill="1" applyBorder="1" applyAlignment="1">
      <alignment horizontal="center" vertical="center" shrinkToFit="1"/>
    </xf>
    <xf numFmtId="0" fontId="0" fillId="15" borderId="0" xfId="0" applyFill="1" applyAlignment="1">
      <alignment horizontal="center" vertical="center" shrinkToFit="1"/>
    </xf>
    <xf numFmtId="0" fontId="0" fillId="15" borderId="14" xfId="0" applyFill="1" applyBorder="1" applyAlignment="1">
      <alignment horizontal="center" vertical="center" shrinkToFit="1"/>
    </xf>
    <xf numFmtId="0" fontId="0" fillId="15" borderId="0" xfId="0" applyFill="1" applyAlignment="1">
      <alignment horizontal="center" vertical="center"/>
    </xf>
    <xf numFmtId="0" fontId="7" fillId="0" borderId="11" xfId="0" applyFont="1" applyBorder="1" applyAlignment="1">
      <alignment horizontal="center" vertical="center" wrapText="1" shrinkToFit="1"/>
    </xf>
    <xf numFmtId="0" fontId="7" fillId="0" borderId="66" xfId="0" applyFont="1" applyBorder="1" applyAlignment="1">
      <alignment horizontal="center" vertical="center" wrapText="1" shrinkToFit="1"/>
    </xf>
    <xf numFmtId="0" fontId="10" fillId="11" borderId="12" xfId="0" applyFont="1" applyFill="1" applyBorder="1" applyAlignment="1">
      <alignment horizontal="center" vertical="center" shrinkToFit="1"/>
    </xf>
    <xf numFmtId="0" fontId="0" fillId="0" borderId="166" xfId="0" applyBorder="1" applyAlignment="1">
      <alignment horizontal="center"/>
    </xf>
    <xf numFmtId="0" fontId="0" fillId="0" borderId="69" xfId="0" applyBorder="1" applyAlignment="1">
      <alignment horizontal="center"/>
    </xf>
    <xf numFmtId="0" fontId="0" fillId="0" borderId="167" xfId="0" applyBorder="1" applyAlignment="1">
      <alignment horizontal="center"/>
    </xf>
    <xf numFmtId="0" fontId="0" fillId="0" borderId="130" xfId="0" applyBorder="1" applyAlignment="1">
      <alignment horizontal="center"/>
    </xf>
    <xf numFmtId="0" fontId="0" fillId="0" borderId="0" xfId="0" applyAlignment="1">
      <alignment horizontal="center"/>
    </xf>
    <xf numFmtId="0" fontId="0" fillId="0" borderId="143" xfId="0" applyBorder="1" applyAlignment="1">
      <alignment horizontal="center"/>
    </xf>
    <xf numFmtId="0" fontId="0" fillId="0" borderId="145" xfId="0" applyBorder="1" applyAlignment="1">
      <alignment horizontal="center"/>
    </xf>
    <xf numFmtId="0" fontId="0" fillId="0" borderId="147" xfId="0" applyBorder="1" applyAlignment="1">
      <alignment horizontal="center"/>
    </xf>
    <xf numFmtId="0" fontId="0" fillId="0" borderId="148" xfId="0" applyBorder="1" applyAlignment="1">
      <alignment horizontal="center"/>
    </xf>
    <xf numFmtId="0" fontId="0" fillId="0" borderId="163" xfId="0" applyBorder="1" applyAlignment="1">
      <alignment horizontal="center" vertical="center"/>
    </xf>
    <xf numFmtId="0" fontId="0" fillId="0" borderId="164" xfId="0" applyBorder="1" applyAlignment="1">
      <alignment horizontal="center" vertical="center"/>
    </xf>
    <xf numFmtId="0" fontId="0" fillId="0" borderId="165" xfId="0" applyBorder="1" applyAlignment="1">
      <alignment horizontal="center" vertical="center"/>
    </xf>
    <xf numFmtId="0" fontId="7" fillId="0" borderId="61" xfId="0" applyFont="1" applyBorder="1" applyAlignment="1">
      <alignment horizontal="center" vertical="center" wrapText="1" shrinkToFit="1"/>
    </xf>
    <xf numFmtId="0" fontId="63" fillId="38" borderId="172" xfId="0" applyFont="1" applyFill="1" applyBorder="1" applyAlignment="1">
      <alignment horizontal="center" vertical="center" shrinkToFit="1"/>
    </xf>
    <xf numFmtId="0" fontId="63" fillId="38" borderId="168" xfId="0" applyFont="1" applyFill="1" applyBorder="1" applyAlignment="1">
      <alignment horizontal="center" vertical="center" shrinkToFit="1"/>
    </xf>
    <xf numFmtId="0" fontId="63" fillId="38" borderId="169" xfId="0" applyFont="1" applyFill="1" applyBorder="1" applyAlignment="1">
      <alignment horizontal="center" vertical="center" shrinkToFit="1"/>
    </xf>
    <xf numFmtId="0" fontId="63" fillId="38" borderId="160" xfId="0" applyFont="1" applyFill="1" applyBorder="1" applyAlignment="1">
      <alignment horizontal="center" vertical="center" shrinkToFit="1"/>
    </xf>
    <xf numFmtId="0" fontId="63" fillId="38" borderId="138" xfId="0" applyFont="1" applyFill="1" applyBorder="1" applyAlignment="1">
      <alignment horizontal="center" vertical="center" shrinkToFit="1"/>
    </xf>
    <xf numFmtId="0" fontId="63" fillId="38" borderId="139" xfId="0" applyFont="1" applyFill="1" applyBorder="1" applyAlignment="1">
      <alignment horizontal="center" vertical="center" shrinkToFit="1"/>
    </xf>
    <xf numFmtId="0" fontId="0" fillId="66" borderId="322" xfId="0" applyFill="1" applyBorder="1" applyAlignment="1">
      <alignment horizontal="center" vertical="center" shrinkToFit="1"/>
    </xf>
    <xf numFmtId="0" fontId="0" fillId="66" borderId="129" xfId="0" applyFill="1" applyBorder="1" applyAlignment="1">
      <alignment horizontal="center" vertical="center" shrinkToFit="1"/>
    </xf>
    <xf numFmtId="0" fontId="0" fillId="66" borderId="146" xfId="0" applyFill="1" applyBorder="1" applyAlignment="1">
      <alignment horizontal="center" vertical="center" shrinkToFit="1"/>
    </xf>
    <xf numFmtId="0" fontId="0" fillId="66" borderId="280" xfId="0" applyFill="1" applyBorder="1" applyAlignment="1">
      <alignment horizontal="center" vertical="center" shrinkToFit="1"/>
    </xf>
    <xf numFmtId="0" fontId="65" fillId="40" borderId="161" xfId="0" applyFont="1" applyFill="1" applyBorder="1" applyAlignment="1">
      <alignment horizontal="center"/>
    </xf>
    <xf numFmtId="0" fontId="65" fillId="40" borderId="384" xfId="0" applyFont="1" applyFill="1" applyBorder="1" applyAlignment="1">
      <alignment horizontal="center"/>
    </xf>
    <xf numFmtId="0" fontId="7" fillId="0" borderId="193" xfId="0" applyFont="1" applyBorder="1" applyAlignment="1">
      <alignment horizontal="center" vertical="center" shrinkToFit="1"/>
    </xf>
    <xf numFmtId="0" fontId="7" fillId="0" borderId="194" xfId="0" applyFont="1" applyBorder="1" applyAlignment="1">
      <alignment horizontal="center" vertical="center" shrinkToFit="1"/>
    </xf>
    <xf numFmtId="0" fontId="61" fillId="40" borderId="288" xfId="0" applyFont="1" applyFill="1" applyBorder="1" applyAlignment="1">
      <alignment horizontal="center" vertical="center" shrinkToFit="1"/>
    </xf>
    <xf numFmtId="0" fontId="61" fillId="40" borderId="299" xfId="0" applyFont="1" applyFill="1" applyBorder="1" applyAlignment="1">
      <alignment horizontal="center" vertical="center" shrinkToFit="1"/>
    </xf>
    <xf numFmtId="0" fontId="69" fillId="59" borderId="286" xfId="0" applyFont="1" applyFill="1" applyBorder="1" applyAlignment="1">
      <alignment horizontal="center" vertical="center" shrinkToFit="1"/>
    </xf>
    <xf numFmtId="0" fontId="69" fillId="59" borderId="298" xfId="0" applyFont="1" applyFill="1" applyBorder="1" applyAlignment="1">
      <alignment horizontal="center" vertical="center" shrinkToFit="1"/>
    </xf>
    <xf numFmtId="0" fontId="68" fillId="41" borderId="291" xfId="0" applyFont="1" applyFill="1" applyBorder="1" applyAlignment="1">
      <alignment horizontal="center" vertical="center" shrinkToFit="1"/>
    </xf>
    <xf numFmtId="0" fontId="68" fillId="41" borderId="196" xfId="0" applyFont="1" applyFill="1" applyBorder="1" applyAlignment="1">
      <alignment horizontal="center" vertical="center" shrinkToFit="1"/>
    </xf>
    <xf numFmtId="0" fontId="68" fillId="40" borderId="300" xfId="0" applyFont="1" applyFill="1" applyBorder="1" applyAlignment="1">
      <alignment horizontal="center" vertical="center" shrinkToFit="1"/>
    </xf>
    <xf numFmtId="0" fontId="68" fillId="40" borderId="307" xfId="0" applyFont="1" applyFill="1" applyBorder="1" applyAlignment="1">
      <alignment horizontal="center" vertical="center" shrinkToFit="1"/>
    </xf>
    <xf numFmtId="0" fontId="68" fillId="40" borderId="278" xfId="0" applyFont="1" applyFill="1" applyBorder="1" applyAlignment="1">
      <alignment horizontal="center" vertical="center" shrinkToFit="1"/>
    </xf>
    <xf numFmtId="0" fontId="68" fillId="40" borderId="192" xfId="0" applyFont="1" applyFill="1" applyBorder="1" applyAlignment="1">
      <alignment horizontal="center" vertical="center" shrinkToFit="1"/>
    </xf>
    <xf numFmtId="0" fontId="7" fillId="51" borderId="306" xfId="0" applyFont="1" applyFill="1" applyBorder="1" applyAlignment="1">
      <alignment horizontal="center" vertical="center" shrinkToFit="1"/>
    </xf>
    <xf numFmtId="0" fontId="7" fillId="51" borderId="304" xfId="0" applyFont="1" applyFill="1" applyBorder="1" applyAlignment="1">
      <alignment horizontal="center" vertical="center" shrinkToFit="1"/>
    </xf>
    <xf numFmtId="0" fontId="7" fillId="51" borderId="305" xfId="0" applyFont="1" applyFill="1" applyBorder="1" applyAlignment="1">
      <alignment horizontal="center" vertical="center" shrinkToFit="1"/>
    </xf>
    <xf numFmtId="0" fontId="7" fillId="51" borderId="303" xfId="0" applyFont="1" applyFill="1" applyBorder="1" applyAlignment="1">
      <alignment horizontal="center" vertical="center" shrinkToFit="1"/>
    </xf>
    <xf numFmtId="0" fontId="68" fillId="40" borderId="301" xfId="0" applyFont="1" applyFill="1" applyBorder="1" applyAlignment="1">
      <alignment horizontal="center" vertical="center" shrinkToFit="1"/>
    </xf>
    <xf numFmtId="0" fontId="68" fillId="40" borderId="302" xfId="0" applyFont="1" applyFill="1" applyBorder="1" applyAlignment="1">
      <alignment horizontal="center" vertical="center" shrinkToFit="1"/>
    </xf>
    <xf numFmtId="0" fontId="68" fillId="40" borderId="286" xfId="0" applyFont="1" applyFill="1" applyBorder="1" applyAlignment="1">
      <alignment horizontal="center" vertical="center" shrinkToFit="1"/>
    </xf>
    <xf numFmtId="0" fontId="68" fillId="40" borderId="298" xfId="0" applyFont="1" applyFill="1" applyBorder="1" applyAlignment="1">
      <alignment horizontal="center" vertical="center" shrinkToFit="1"/>
    </xf>
    <xf numFmtId="0" fontId="7" fillId="49" borderId="297" xfId="0" applyFont="1" applyFill="1" applyBorder="1" applyAlignment="1">
      <alignment horizontal="center" vertical="center" shrinkToFit="1"/>
    </xf>
    <xf numFmtId="0" fontId="7" fillId="49" borderId="298" xfId="0" applyFont="1" applyFill="1" applyBorder="1" applyAlignment="1">
      <alignment horizontal="center" vertical="center" shrinkToFit="1"/>
    </xf>
    <xf numFmtId="0" fontId="7" fillId="49" borderId="197" xfId="0" applyFont="1" applyFill="1" applyBorder="1" applyAlignment="1">
      <alignment horizontal="center" vertical="center" shrinkToFit="1"/>
    </xf>
    <xf numFmtId="0" fontId="7" fillId="49" borderId="292" xfId="0" applyFont="1" applyFill="1" applyBorder="1" applyAlignment="1">
      <alignment horizontal="center" vertical="center" shrinkToFit="1"/>
    </xf>
    <xf numFmtId="0" fontId="18" fillId="40" borderId="296" xfId="0" applyFont="1" applyFill="1" applyBorder="1" applyAlignment="1">
      <alignment horizontal="center" vertical="center" wrapText="1" shrinkToFit="1"/>
    </xf>
    <xf numFmtId="0" fontId="18" fillId="40" borderId="224" xfId="0" applyFont="1" applyFill="1" applyBorder="1" applyAlignment="1">
      <alignment horizontal="center" vertical="center" wrapText="1" shrinkToFit="1"/>
    </xf>
    <xf numFmtId="0" fontId="18" fillId="40" borderId="295" xfId="0" applyFont="1" applyFill="1" applyBorder="1" applyAlignment="1">
      <alignment horizontal="center" vertical="center" wrapText="1"/>
    </xf>
    <xf numFmtId="0" fontId="18" fillId="40" borderId="141" xfId="0" applyFont="1" applyFill="1" applyBorder="1" applyAlignment="1">
      <alignment horizontal="center" vertical="center" wrapText="1"/>
    </xf>
    <xf numFmtId="0" fontId="16" fillId="0" borderId="385" xfId="0" applyFont="1" applyBorder="1" applyAlignment="1">
      <alignment horizontal="center" vertical="center" shrinkToFit="1"/>
    </xf>
    <xf numFmtId="0" fontId="16" fillId="0" borderId="304" xfId="0" applyFont="1" applyBorder="1" applyAlignment="1">
      <alignment horizontal="center" vertical="center" shrinkToFit="1"/>
    </xf>
    <xf numFmtId="0" fontId="16" fillId="0" borderId="321" xfId="0" applyFont="1" applyBorder="1" applyAlignment="1">
      <alignment horizontal="center" vertical="center" shrinkToFit="1"/>
    </xf>
    <xf numFmtId="0" fontId="61" fillId="40" borderId="149" xfId="0" applyFont="1" applyFill="1" applyBorder="1" applyAlignment="1">
      <alignment horizontal="center" vertical="center" shrinkToFit="1"/>
    </xf>
    <xf numFmtId="0" fontId="61" fillId="40" borderId="150" xfId="0" applyFont="1" applyFill="1" applyBorder="1" applyAlignment="1">
      <alignment horizontal="center" vertical="center" shrinkToFit="1"/>
    </xf>
    <xf numFmtId="0" fontId="69" fillId="59" borderId="285" xfId="0" applyFont="1" applyFill="1" applyBorder="1" applyAlignment="1">
      <alignment horizontal="center" vertical="center" shrinkToFit="1"/>
    </xf>
    <xf numFmtId="0" fontId="69" fillId="59" borderId="292" xfId="0" applyFont="1" applyFill="1" applyBorder="1" applyAlignment="1">
      <alignment horizontal="center" vertical="center" shrinkToFit="1"/>
    </xf>
    <xf numFmtId="0" fontId="0" fillId="63" borderId="293" xfId="0" applyFill="1" applyBorder="1" applyAlignment="1">
      <alignment horizontal="center" vertical="center" shrinkToFit="1"/>
    </xf>
    <xf numFmtId="0" fontId="0" fillId="63" borderId="294" xfId="0" applyFill="1" applyBorder="1" applyAlignment="1">
      <alignment horizontal="center" vertical="center" shrinkToFit="1"/>
    </xf>
    <xf numFmtId="182" fontId="0" fillId="58" borderId="285" xfId="0" applyNumberFormat="1" applyFill="1" applyBorder="1" applyAlignment="1">
      <alignment horizontal="center" vertical="center" shrinkToFit="1"/>
    </xf>
    <xf numFmtId="182" fontId="0" fillId="58" borderId="292" xfId="0" applyNumberFormat="1" applyFill="1" applyBorder="1" applyAlignment="1">
      <alignment horizontal="center" vertical="center" shrinkToFit="1"/>
    </xf>
    <xf numFmtId="0" fontId="0" fillId="50" borderId="289" xfId="0" applyFill="1" applyBorder="1" applyAlignment="1">
      <alignment horizontal="center" vertical="center"/>
    </xf>
    <xf numFmtId="0" fontId="0" fillId="50" borderId="290" xfId="0" applyFill="1" applyBorder="1" applyAlignment="1">
      <alignment horizontal="center" vertical="center"/>
    </xf>
    <xf numFmtId="0" fontId="61" fillId="41" borderId="286" xfId="0" applyFont="1" applyFill="1" applyBorder="1" applyAlignment="1">
      <alignment horizontal="center" vertical="center" shrinkToFit="1"/>
    </xf>
    <xf numFmtId="0" fontId="61" fillId="41" borderId="287" xfId="0" applyFont="1" applyFill="1" applyBorder="1" applyAlignment="1">
      <alignment horizontal="center" vertical="center" shrinkToFit="1"/>
    </xf>
    <xf numFmtId="0" fontId="61" fillId="41" borderId="285" xfId="0" applyFont="1" applyFill="1" applyBorder="1" applyAlignment="1">
      <alignment horizontal="center" vertical="center" shrinkToFit="1"/>
    </xf>
    <xf numFmtId="0" fontId="61" fillId="41" borderId="225" xfId="0" applyFont="1" applyFill="1" applyBorder="1" applyAlignment="1">
      <alignment horizontal="center" vertical="center" shrinkToFit="1"/>
    </xf>
    <xf numFmtId="0" fontId="0" fillId="49" borderId="297" xfId="0" applyFill="1" applyBorder="1" applyAlignment="1">
      <alignment horizontal="center" vertical="center"/>
    </xf>
    <xf numFmtId="0" fontId="0" fillId="49" borderId="298" xfId="0" applyFill="1" applyBorder="1" applyAlignment="1">
      <alignment horizontal="center" vertical="center"/>
    </xf>
    <xf numFmtId="0" fontId="0" fillId="49" borderId="197" xfId="0" applyFill="1" applyBorder="1" applyAlignment="1">
      <alignment horizontal="center" vertical="center"/>
    </xf>
    <xf numFmtId="0" fontId="0" fillId="49" borderId="292" xfId="0" applyFill="1" applyBorder="1" applyAlignment="1">
      <alignment horizontal="center" vertical="center"/>
    </xf>
    <xf numFmtId="0" fontId="61" fillId="40" borderId="286" xfId="0" applyFont="1" applyFill="1" applyBorder="1" applyAlignment="1">
      <alignment horizontal="center" vertical="center" shrinkToFit="1"/>
    </xf>
    <xf numFmtId="0" fontId="61" fillId="40" borderId="298" xfId="0" applyFont="1" applyFill="1" applyBorder="1" applyAlignment="1">
      <alignment horizontal="center" vertical="center" shrinkToFit="1"/>
    </xf>
    <xf numFmtId="0" fontId="68" fillId="41" borderId="293" xfId="0" applyFont="1" applyFill="1" applyBorder="1" applyAlignment="1">
      <alignment horizontal="center" vertical="center" shrinkToFit="1"/>
    </xf>
    <xf numFmtId="0" fontId="68" fillId="41" borderId="294" xfId="0" applyFont="1" applyFill="1" applyBorder="1" applyAlignment="1">
      <alignment horizontal="center" vertical="center" shrinkToFit="1"/>
    </xf>
    <xf numFmtId="0" fontId="22" fillId="12" borderId="2" xfId="0" applyFont="1" applyFill="1" applyBorder="1" applyAlignment="1">
      <alignment horizontal="center" vertical="center" wrapText="1"/>
    </xf>
    <xf numFmtId="0" fontId="53" fillId="23" borderId="322" xfId="19" applyFont="1" applyFill="1" applyBorder="1" applyAlignment="1">
      <alignment horizontal="center" vertical="center"/>
    </xf>
    <xf numFmtId="0" fontId="53" fillId="23" borderId="320" xfId="19" applyFont="1" applyFill="1" applyBorder="1" applyAlignment="1">
      <alignment horizontal="center" vertical="center"/>
    </xf>
    <xf numFmtId="0" fontId="53" fillId="23" borderId="283" xfId="19" applyFont="1" applyFill="1" applyBorder="1" applyAlignment="1">
      <alignment horizontal="center" vertical="center"/>
    </xf>
    <xf numFmtId="0" fontId="53" fillId="23" borderId="142" xfId="19" applyFont="1" applyFill="1" applyBorder="1" applyAlignment="1">
      <alignment horizontal="center" vertical="center"/>
    </xf>
    <xf numFmtId="0" fontId="53" fillId="23" borderId="0" xfId="19" applyFont="1" applyFill="1" applyAlignment="1">
      <alignment horizontal="center" vertical="center"/>
    </xf>
    <xf numFmtId="0" fontId="53" fillId="23" borderId="143" xfId="19" applyFont="1" applyFill="1" applyBorder="1" applyAlignment="1">
      <alignment horizontal="center" vertical="center"/>
    </xf>
    <xf numFmtId="0" fontId="53" fillId="23" borderId="146" xfId="19" applyFont="1" applyFill="1" applyBorder="1" applyAlignment="1">
      <alignment horizontal="center" vertical="center"/>
    </xf>
    <xf numFmtId="0" fontId="53" fillId="23" borderId="279" xfId="19" applyFont="1" applyFill="1" applyBorder="1" applyAlignment="1">
      <alignment horizontal="center" vertical="center"/>
    </xf>
    <xf numFmtId="0" fontId="53" fillId="23" borderId="280" xfId="19" applyFont="1" applyFill="1" applyBorder="1" applyAlignment="1">
      <alignment horizontal="center" vertical="center"/>
    </xf>
    <xf numFmtId="0" fontId="54" fillId="78" borderId="135" xfId="19" applyFont="1" applyFill="1" applyBorder="1" applyAlignment="1">
      <alignment horizontal="left" vertical="top" textRotation="180"/>
    </xf>
    <xf numFmtId="0" fontId="71" fillId="69" borderId="323" xfId="0" applyFont="1" applyFill="1" applyBorder="1" applyAlignment="1">
      <alignment horizontal="center" vertical="center" wrapText="1"/>
    </xf>
    <xf numFmtId="0" fontId="71" fillId="69" borderId="324" xfId="0" applyFont="1" applyFill="1" applyBorder="1" applyAlignment="1">
      <alignment horizontal="center" vertical="center" wrapText="1"/>
    </xf>
    <xf numFmtId="0" fontId="71" fillId="69" borderId="325" xfId="0" applyFont="1" applyFill="1" applyBorder="1" applyAlignment="1">
      <alignment horizontal="center" vertical="center" wrapText="1"/>
    </xf>
    <xf numFmtId="0" fontId="71" fillId="69" borderId="295" xfId="19" applyFont="1" applyFill="1" applyBorder="1" applyAlignment="1">
      <alignment horizontal="center" vertical="center"/>
    </xf>
    <xf numFmtId="0" fontId="71" fillId="69" borderId="144" xfId="19" applyFont="1" applyFill="1" applyBorder="1" applyAlignment="1">
      <alignment horizontal="center" vertical="center"/>
    </xf>
    <xf numFmtId="0" fontId="71" fillId="69" borderId="141" xfId="19" applyFont="1" applyFill="1" applyBorder="1" applyAlignment="1">
      <alignment horizontal="center" vertical="center"/>
    </xf>
    <xf numFmtId="0" fontId="53" fillId="23" borderId="284" xfId="0" applyFont="1" applyFill="1" applyBorder="1" applyAlignment="1">
      <alignment horizontal="left" vertical="center" wrapText="1"/>
    </xf>
    <xf numFmtId="0" fontId="53" fillId="23" borderId="351" xfId="0" applyFont="1" applyFill="1" applyBorder="1" applyAlignment="1">
      <alignment horizontal="left" vertical="center" wrapText="1"/>
    </xf>
    <xf numFmtId="0" fontId="53" fillId="23" borderId="283" xfId="0" applyFont="1" applyFill="1" applyBorder="1" applyAlignment="1">
      <alignment horizontal="left" vertical="center" wrapText="1"/>
    </xf>
    <xf numFmtId="0" fontId="53" fillId="23" borderId="142" xfId="0" applyFont="1" applyFill="1" applyBorder="1" applyAlignment="1">
      <alignment horizontal="left" vertical="center" wrapText="1"/>
    </xf>
    <xf numFmtId="0" fontId="53" fillId="23" borderId="0" xfId="0" applyFont="1" applyFill="1" applyAlignment="1">
      <alignment horizontal="left" vertical="center" wrapText="1"/>
    </xf>
    <xf numFmtId="0" fontId="53" fillId="23" borderId="143" xfId="0" applyFont="1" applyFill="1" applyBorder="1" applyAlignment="1">
      <alignment horizontal="left" vertical="center" wrapText="1"/>
    </xf>
    <xf numFmtId="0" fontId="53" fillId="23" borderId="146" xfId="0" applyFont="1" applyFill="1" applyBorder="1" applyAlignment="1">
      <alignment horizontal="left" vertical="center" wrapText="1"/>
    </xf>
    <xf numFmtId="0" fontId="53" fillId="23" borderId="279" xfId="0" applyFont="1" applyFill="1" applyBorder="1" applyAlignment="1">
      <alignment horizontal="left" vertical="center" wrapText="1"/>
    </xf>
    <xf numFmtId="0" fontId="53" fillId="23" borderId="280" xfId="0" applyFont="1" applyFill="1" applyBorder="1" applyAlignment="1">
      <alignment horizontal="left" vertical="center" wrapText="1"/>
    </xf>
    <xf numFmtId="0" fontId="53" fillId="23" borderId="159" xfId="0" applyFont="1" applyFill="1" applyBorder="1" applyAlignment="1">
      <alignment horizontal="center" vertical="center" wrapText="1"/>
    </xf>
    <xf numFmtId="0" fontId="53" fillId="23" borderId="160" xfId="0" applyFont="1" applyFill="1" applyBorder="1" applyAlignment="1">
      <alignment horizontal="center" vertical="center" wrapText="1"/>
    </xf>
    <xf numFmtId="0" fontId="39" fillId="70" borderId="127" xfId="0" applyFont="1" applyFill="1" applyBorder="1" applyAlignment="1">
      <alignment horizontal="left" vertical="center" wrapText="1" shrinkToFit="1"/>
    </xf>
    <xf numFmtId="0" fontId="39" fillId="70" borderId="128" xfId="0" applyFont="1" applyFill="1" applyBorder="1" applyAlignment="1">
      <alignment horizontal="left" vertical="center" wrapText="1" shrinkToFit="1"/>
    </xf>
    <xf numFmtId="0" fontId="39" fillId="70" borderId="129" xfId="0" applyFont="1" applyFill="1" applyBorder="1" applyAlignment="1">
      <alignment horizontal="left" vertical="center" wrapText="1" shrinkToFit="1"/>
    </xf>
    <xf numFmtId="0" fontId="39" fillId="70" borderId="130" xfId="0" applyFont="1" applyFill="1" applyBorder="1" applyAlignment="1">
      <alignment horizontal="left" vertical="center" wrapText="1" shrinkToFit="1"/>
    </xf>
    <xf numFmtId="0" fontId="39" fillId="70" borderId="0" xfId="0" applyFont="1" applyFill="1" applyAlignment="1">
      <alignment horizontal="left" vertical="center" wrapText="1" shrinkToFit="1"/>
    </xf>
    <xf numFmtId="0" fontId="39" fillId="70" borderId="143" xfId="0" applyFont="1" applyFill="1" applyBorder="1" applyAlignment="1">
      <alignment horizontal="left" vertical="center" wrapText="1" shrinkToFit="1"/>
    </xf>
    <xf numFmtId="0" fontId="39" fillId="70" borderId="145" xfId="0" applyFont="1" applyFill="1" applyBorder="1" applyAlignment="1">
      <alignment horizontal="left" vertical="center" wrapText="1" shrinkToFit="1"/>
    </xf>
    <xf numFmtId="0" fontId="39" fillId="70" borderId="147" xfId="0" applyFont="1" applyFill="1" applyBorder="1" applyAlignment="1">
      <alignment horizontal="left" vertical="center" wrapText="1" shrinkToFit="1"/>
    </xf>
    <xf numFmtId="0" fontId="39" fillId="70" borderId="148" xfId="0" applyFont="1" applyFill="1" applyBorder="1" applyAlignment="1">
      <alignment horizontal="left" vertical="center" wrapText="1" shrinkToFit="1"/>
    </xf>
    <xf numFmtId="0" fontId="70" fillId="69" borderId="300" xfId="19" applyFont="1" applyFill="1" applyBorder="1" applyAlignment="1">
      <alignment horizontal="right" vertical="center"/>
    </xf>
    <xf numFmtId="0" fontId="70" fillId="69" borderId="320" xfId="19" applyFont="1" applyFill="1" applyBorder="1" applyAlignment="1">
      <alignment horizontal="right" vertical="center"/>
    </xf>
    <xf numFmtId="0" fontId="70" fillId="69" borderId="283" xfId="19" applyFont="1" applyFill="1" applyBorder="1" applyAlignment="1">
      <alignment horizontal="right" vertical="center"/>
    </xf>
    <xf numFmtId="0" fontId="70" fillId="69" borderId="278" xfId="19" applyFont="1" applyFill="1" applyBorder="1" applyAlignment="1">
      <alignment horizontal="right" vertical="center"/>
    </xf>
    <xf numFmtId="0" fontId="70" fillId="69" borderId="279" xfId="19" applyFont="1" applyFill="1" applyBorder="1" applyAlignment="1">
      <alignment horizontal="right" vertical="center"/>
    </xf>
    <xf numFmtId="0" fontId="70" fillId="69" borderId="280" xfId="19" applyFont="1" applyFill="1" applyBorder="1" applyAlignment="1">
      <alignment horizontal="right" vertical="center"/>
    </xf>
    <xf numFmtId="0" fontId="52" fillId="23" borderId="300" xfId="0" applyFont="1" applyFill="1" applyBorder="1" applyAlignment="1">
      <alignment horizontal="center" vertical="center" wrapText="1"/>
    </xf>
    <xf numFmtId="0" fontId="52" fillId="23" borderId="320" xfId="0" applyFont="1" applyFill="1" applyBorder="1" applyAlignment="1">
      <alignment horizontal="center" vertical="center" wrapText="1"/>
    </xf>
    <xf numFmtId="0" fontId="52" fillId="23" borderId="283" xfId="0" applyFont="1" applyFill="1" applyBorder="1" applyAlignment="1">
      <alignment horizontal="center" vertical="center" wrapText="1"/>
    </xf>
    <xf numFmtId="0" fontId="52" fillId="23" borderId="278" xfId="0" applyFont="1" applyFill="1" applyBorder="1" applyAlignment="1">
      <alignment horizontal="center" vertical="center" wrapText="1"/>
    </xf>
    <xf numFmtId="0" fontId="52" fillId="23" borderId="279" xfId="0" applyFont="1" applyFill="1" applyBorder="1" applyAlignment="1">
      <alignment horizontal="center" vertical="center" wrapText="1"/>
    </xf>
    <xf numFmtId="0" fontId="52" fillId="23" borderId="280" xfId="0" applyFont="1" applyFill="1" applyBorder="1" applyAlignment="1">
      <alignment horizontal="center" vertical="center" wrapText="1"/>
    </xf>
    <xf numFmtId="0" fontId="70" fillId="69" borderId="130" xfId="19" applyFont="1" applyFill="1" applyBorder="1" applyAlignment="1">
      <alignment horizontal="right" vertical="center"/>
    </xf>
    <xf numFmtId="0" fontId="70" fillId="69" borderId="0" xfId="19" applyFont="1" applyFill="1" applyAlignment="1">
      <alignment horizontal="right" vertical="center"/>
    </xf>
    <xf numFmtId="0" fontId="70" fillId="69" borderId="143" xfId="19" applyFont="1" applyFill="1" applyBorder="1" applyAlignment="1">
      <alignment horizontal="right" vertical="center"/>
    </xf>
    <xf numFmtId="0" fontId="52" fillId="23" borderId="130" xfId="0" applyFont="1" applyFill="1" applyBorder="1" applyAlignment="1">
      <alignment horizontal="center" vertical="center" wrapText="1"/>
    </xf>
    <xf numFmtId="0" fontId="52" fillId="23" borderId="0" xfId="0" applyFont="1" applyFill="1" applyAlignment="1">
      <alignment horizontal="center" vertical="center" wrapText="1"/>
    </xf>
    <xf numFmtId="0" fontId="52" fillId="23" borderId="143" xfId="0" applyFont="1" applyFill="1" applyBorder="1" applyAlignment="1">
      <alignment horizontal="center" vertical="center" wrapText="1"/>
    </xf>
    <xf numFmtId="0" fontId="53" fillId="23" borderId="155" xfId="0" applyFont="1" applyFill="1" applyBorder="1" applyAlignment="1">
      <alignment horizontal="center" vertical="center" wrapText="1"/>
    </xf>
    <xf numFmtId="0" fontId="53" fillId="23" borderId="137" xfId="0" applyFont="1" applyFill="1" applyBorder="1" applyAlignment="1">
      <alignment horizontal="center" vertical="center"/>
    </xf>
    <xf numFmtId="0" fontId="53" fillId="23" borderId="138" xfId="0" applyFont="1" applyFill="1" applyBorder="1" applyAlignment="1">
      <alignment horizontal="center" vertical="center"/>
    </xf>
    <xf numFmtId="0" fontId="55" fillId="23" borderId="306" xfId="0" applyFont="1" applyFill="1" applyBorder="1" applyAlignment="1">
      <alignment horizontal="center" vertical="center" wrapText="1"/>
    </xf>
    <xf numFmtId="0" fontId="55" fillId="23" borderId="304" xfId="0" applyFont="1" applyFill="1" applyBorder="1" applyAlignment="1">
      <alignment horizontal="center" vertical="center" wrapText="1"/>
    </xf>
    <xf numFmtId="0" fontId="55" fillId="23" borderId="321" xfId="0" applyFont="1" applyFill="1" applyBorder="1" applyAlignment="1">
      <alignment horizontal="center" vertical="center" wrapText="1"/>
    </xf>
    <xf numFmtId="0" fontId="56" fillId="23" borderId="161" xfId="0" applyFont="1" applyFill="1" applyBorder="1" applyAlignment="1">
      <alignment horizontal="center" vertical="center"/>
    </xf>
    <xf numFmtId="0" fontId="56" fillId="23" borderId="304" xfId="0" applyFont="1" applyFill="1" applyBorder="1" applyAlignment="1">
      <alignment horizontal="center" vertical="center"/>
    </xf>
    <xf numFmtId="0" fontId="56" fillId="23" borderId="321" xfId="0" applyFont="1" applyFill="1" applyBorder="1" applyAlignment="1">
      <alignment horizontal="center" vertical="center"/>
    </xf>
    <xf numFmtId="0" fontId="53" fillId="23" borderId="306" xfId="0" applyFont="1" applyFill="1" applyBorder="1" applyAlignment="1">
      <alignment horizontal="center" vertical="center"/>
    </xf>
    <xf numFmtId="0" fontId="53" fillId="23" borderId="304" xfId="0" applyFont="1" applyFill="1" applyBorder="1" applyAlignment="1">
      <alignment horizontal="center" vertical="center"/>
    </xf>
    <xf numFmtId="0" fontId="53" fillId="23" borderId="321" xfId="0" applyFont="1" applyFill="1" applyBorder="1" applyAlignment="1">
      <alignment horizontal="center" vertical="center"/>
    </xf>
    <xf numFmtId="0" fontId="52" fillId="23" borderId="132" xfId="0" applyFont="1" applyFill="1" applyBorder="1" applyAlignment="1">
      <alignment horizontal="center" vertical="center" wrapText="1"/>
    </xf>
    <xf numFmtId="0" fontId="52" fillId="23" borderId="304" xfId="0" applyFont="1" applyFill="1" applyBorder="1" applyAlignment="1">
      <alignment horizontal="center" vertical="center" wrapText="1"/>
    </xf>
    <xf numFmtId="0" fontId="52" fillId="23" borderId="321" xfId="0" applyFont="1" applyFill="1" applyBorder="1" applyAlignment="1">
      <alignment horizontal="center" vertical="center" wrapText="1"/>
    </xf>
    <xf numFmtId="0" fontId="53" fillId="23" borderId="325" xfId="0" applyFont="1" applyFill="1" applyBorder="1" applyAlignment="1">
      <alignment horizontal="left" vertical="center"/>
    </xf>
    <xf numFmtId="0" fontId="53" fillId="23" borderId="331" xfId="0" applyFont="1" applyFill="1" applyBorder="1" applyAlignment="1">
      <alignment horizontal="left" vertical="center"/>
    </xf>
    <xf numFmtId="0" fontId="53" fillId="23" borderId="332" xfId="0" applyFont="1" applyFill="1" applyBorder="1" applyAlignment="1">
      <alignment horizontal="left" vertical="center"/>
    </xf>
    <xf numFmtId="0" fontId="71" fillId="69" borderId="333" xfId="19" applyFont="1" applyFill="1" applyBorder="1" applyAlignment="1">
      <alignment horizontal="center" vertical="center" wrapText="1"/>
    </xf>
    <xf numFmtId="0" fontId="71" fillId="69" borderId="151" xfId="19" applyFont="1" applyFill="1" applyBorder="1" applyAlignment="1">
      <alignment horizontal="center" vertical="center" wrapText="1"/>
    </xf>
    <xf numFmtId="0" fontId="53" fillId="23" borderId="341" xfId="0" applyFont="1" applyFill="1" applyBorder="1" applyAlignment="1">
      <alignment horizontal="left" vertical="center"/>
    </xf>
    <xf numFmtId="0" fontId="53" fillId="23" borderId="334" xfId="0" applyFont="1" applyFill="1" applyBorder="1" applyAlignment="1">
      <alignment horizontal="left" vertical="center"/>
    </xf>
    <xf numFmtId="0" fontId="53" fillId="23" borderId="335" xfId="0" applyFont="1" applyFill="1" applyBorder="1" applyAlignment="1">
      <alignment horizontal="left" vertical="center"/>
    </xf>
    <xf numFmtId="0" fontId="53" fillId="23" borderId="342" xfId="0" applyFont="1" applyFill="1" applyBorder="1" applyAlignment="1">
      <alignment horizontal="left" vertical="center"/>
    </xf>
    <xf numFmtId="0" fontId="53" fillId="23" borderId="336" xfId="0" applyFont="1" applyFill="1" applyBorder="1" applyAlignment="1">
      <alignment horizontal="left" vertical="center"/>
    </xf>
    <xf numFmtId="0" fontId="53" fillId="23" borderId="337" xfId="0" applyFont="1" applyFill="1" applyBorder="1" applyAlignment="1">
      <alignment horizontal="left" vertical="center"/>
    </xf>
    <xf numFmtId="0" fontId="53" fillId="23" borderId="340" xfId="0" applyFont="1" applyFill="1" applyBorder="1" applyAlignment="1">
      <alignment horizontal="left" vertical="center"/>
    </xf>
    <xf numFmtId="0" fontId="53" fillId="23" borderId="338" xfId="0" applyFont="1" applyFill="1" applyBorder="1" applyAlignment="1">
      <alignment horizontal="left" vertical="center"/>
    </xf>
    <xf numFmtId="0" fontId="53" fillId="23" borderId="339" xfId="0" applyFont="1" applyFill="1" applyBorder="1" applyAlignment="1">
      <alignment horizontal="left" vertical="center"/>
    </xf>
    <xf numFmtId="0" fontId="53" fillId="23" borderId="155" xfId="0" applyFont="1" applyFill="1" applyBorder="1" applyAlignment="1">
      <alignment horizontal="left" vertical="center"/>
    </xf>
    <xf numFmtId="0" fontId="53" fillId="23" borderId="156" xfId="0" applyFont="1" applyFill="1" applyBorder="1" applyAlignment="1">
      <alignment horizontal="left" vertical="center"/>
    </xf>
    <xf numFmtId="0" fontId="53" fillId="23" borderId="157" xfId="0" applyFont="1" applyFill="1" applyBorder="1" applyAlignment="1">
      <alignment horizontal="left" vertical="center"/>
    </xf>
    <xf numFmtId="0" fontId="55" fillId="23" borderId="322" xfId="0" applyFont="1" applyFill="1" applyBorder="1" applyAlignment="1">
      <alignment horizontal="left" vertical="top" wrapText="1"/>
    </xf>
    <xf numFmtId="0" fontId="55" fillId="23" borderId="351" xfId="0" applyFont="1" applyFill="1" applyBorder="1" applyAlignment="1">
      <alignment horizontal="left" vertical="top" wrapText="1"/>
    </xf>
    <xf numFmtId="0" fontId="55" fillId="23" borderId="283" xfId="0" applyFont="1" applyFill="1" applyBorder="1" applyAlignment="1">
      <alignment horizontal="left" vertical="top" wrapText="1"/>
    </xf>
    <xf numFmtId="0" fontId="55" fillId="23" borderId="142" xfId="0" applyFont="1" applyFill="1" applyBorder="1" applyAlignment="1">
      <alignment horizontal="left" vertical="top" wrapText="1"/>
    </xf>
    <xf numFmtId="0" fontId="55" fillId="23" borderId="0" xfId="0" applyFont="1" applyFill="1" applyAlignment="1">
      <alignment horizontal="left" vertical="top" wrapText="1"/>
    </xf>
    <xf numFmtId="0" fontId="55" fillId="23" borderId="143" xfId="0" applyFont="1" applyFill="1" applyBorder="1" applyAlignment="1">
      <alignment horizontal="left" vertical="top" wrapText="1"/>
    </xf>
    <xf numFmtId="0" fontId="55" fillId="23" borderId="146" xfId="0" applyFont="1" applyFill="1" applyBorder="1" applyAlignment="1">
      <alignment horizontal="left" vertical="top" wrapText="1"/>
    </xf>
    <xf numFmtId="0" fontId="55" fillId="23" borderId="279" xfId="0" applyFont="1" applyFill="1" applyBorder="1" applyAlignment="1">
      <alignment horizontal="left" vertical="top" wrapText="1"/>
    </xf>
    <xf numFmtId="0" fontId="55" fillId="23" borderId="280" xfId="0" applyFont="1" applyFill="1" applyBorder="1" applyAlignment="1">
      <alignment horizontal="left" vertical="top" wrapText="1"/>
    </xf>
    <xf numFmtId="0" fontId="53" fillId="23" borderId="340" xfId="19" applyFont="1" applyFill="1" applyBorder="1" applyAlignment="1">
      <alignment horizontal="left" vertical="center"/>
    </xf>
    <xf numFmtId="0" fontId="53" fillId="23" borderId="338" xfId="19" applyFont="1" applyFill="1" applyBorder="1" applyAlignment="1">
      <alignment horizontal="left" vertical="center"/>
    </xf>
    <xf numFmtId="0" fontId="53" fillId="23" borderId="339" xfId="19" applyFont="1" applyFill="1" applyBorder="1" applyAlignment="1">
      <alignment horizontal="left" vertical="center"/>
    </xf>
    <xf numFmtId="0" fontId="53" fillId="23" borderId="325" xfId="19" applyFont="1" applyFill="1" applyBorder="1" applyAlignment="1">
      <alignment horizontal="left" vertical="center"/>
    </xf>
    <xf numFmtId="0" fontId="53" fillId="23" borderId="331" xfId="19" applyFont="1" applyFill="1" applyBorder="1" applyAlignment="1">
      <alignment horizontal="left" vertical="center"/>
    </xf>
    <xf numFmtId="0" fontId="53" fillId="23" borderId="332" xfId="19" applyFont="1" applyFill="1" applyBorder="1" applyAlignment="1">
      <alignment horizontal="left" vertical="center"/>
    </xf>
    <xf numFmtId="0" fontId="71" fillId="69" borderId="333" xfId="19" applyFont="1" applyFill="1" applyBorder="1" applyAlignment="1">
      <alignment horizontal="center" vertical="center"/>
    </xf>
    <xf numFmtId="0" fontId="53" fillId="23" borderId="341" xfId="0" applyFont="1" applyFill="1" applyBorder="1" applyAlignment="1">
      <alignment horizontal="left" vertical="center" wrapText="1"/>
    </xf>
    <xf numFmtId="0" fontId="53" fillId="23" borderId="334" xfId="0" applyFont="1" applyFill="1" applyBorder="1" applyAlignment="1">
      <alignment horizontal="left" vertical="center" wrapText="1"/>
    </xf>
    <xf numFmtId="0" fontId="53" fillId="23" borderId="335" xfId="0" applyFont="1" applyFill="1" applyBorder="1" applyAlignment="1">
      <alignment horizontal="left" vertical="center" wrapText="1"/>
    </xf>
    <xf numFmtId="0" fontId="53" fillId="23" borderId="279" xfId="0" applyFont="1" applyFill="1" applyBorder="1" applyAlignment="1">
      <alignment horizontal="left" vertical="center"/>
    </xf>
    <xf numFmtId="0" fontId="53" fillId="23" borderId="280" xfId="0" applyFont="1" applyFill="1" applyBorder="1" applyAlignment="1">
      <alignment horizontal="left" vertical="center"/>
    </xf>
    <xf numFmtId="0" fontId="53" fillId="23" borderId="155" xfId="19" applyFont="1" applyFill="1" applyBorder="1" applyAlignment="1">
      <alignment horizontal="left" vertical="center"/>
    </xf>
    <xf numFmtId="0" fontId="53" fillId="23" borderId="156" xfId="19" applyFont="1" applyFill="1" applyBorder="1" applyAlignment="1">
      <alignment horizontal="left" vertical="center"/>
    </xf>
    <xf numFmtId="0" fontId="53" fillId="23" borderId="157" xfId="19" applyFont="1" applyFill="1" applyBorder="1" applyAlignment="1">
      <alignment horizontal="left" vertical="center"/>
    </xf>
    <xf numFmtId="0" fontId="53" fillId="23" borderId="155" xfId="0" applyFont="1" applyFill="1" applyBorder="1" applyAlignment="1">
      <alignment horizontal="left" vertical="center" wrapText="1"/>
    </xf>
    <xf numFmtId="0" fontId="53" fillId="23" borderId="156" xfId="0" applyFont="1" applyFill="1" applyBorder="1" applyAlignment="1">
      <alignment horizontal="left" vertical="center" wrapText="1"/>
    </xf>
    <xf numFmtId="0" fontId="53" fillId="23" borderId="157" xfId="0" applyFont="1" applyFill="1" applyBorder="1" applyAlignment="1">
      <alignment horizontal="left" vertical="center" wrapText="1"/>
    </xf>
    <xf numFmtId="0" fontId="71" fillId="69" borderId="151" xfId="19" applyFont="1" applyFill="1" applyBorder="1" applyAlignment="1">
      <alignment horizontal="center" vertical="center"/>
    </xf>
    <xf numFmtId="0" fontId="81" fillId="69" borderId="333" xfId="19" applyFont="1" applyFill="1" applyBorder="1" applyAlignment="1">
      <alignment horizontal="center" vertical="center"/>
    </xf>
    <xf numFmtId="0" fontId="81" fillId="69" borderId="141" xfId="19" applyFont="1" applyFill="1" applyBorder="1" applyAlignment="1">
      <alignment horizontal="center" vertical="center"/>
    </xf>
    <xf numFmtId="0" fontId="81" fillId="69" borderId="295" xfId="19" applyFont="1" applyFill="1" applyBorder="1" applyAlignment="1">
      <alignment horizontal="center" vertical="center"/>
    </xf>
    <xf numFmtId="0" fontId="81" fillId="69" borderId="151" xfId="19" applyFont="1" applyFill="1" applyBorder="1" applyAlignment="1">
      <alignment horizontal="center" vertical="center"/>
    </xf>
    <xf numFmtId="0" fontId="81" fillId="69" borderId="144" xfId="19" applyFont="1" applyFill="1" applyBorder="1" applyAlignment="1">
      <alignment horizontal="center" vertical="center"/>
    </xf>
    <xf numFmtId="0" fontId="2" fillId="75" borderId="356" xfId="0" applyFont="1" applyFill="1" applyBorder="1" applyAlignment="1">
      <alignment horizontal="center" vertical="center"/>
    </xf>
    <xf numFmtId="0" fontId="2" fillId="75" borderId="357" xfId="0" applyFont="1" applyFill="1" applyBorder="1" applyAlignment="1">
      <alignment horizontal="center" vertical="center"/>
    </xf>
    <xf numFmtId="0" fontId="2" fillId="75" borderId="358" xfId="0" applyFont="1" applyFill="1" applyBorder="1" applyAlignment="1">
      <alignment horizontal="center" vertical="center"/>
    </xf>
    <xf numFmtId="0" fontId="2" fillId="75" borderId="359" xfId="0" applyFont="1" applyFill="1" applyBorder="1" applyAlignment="1">
      <alignment horizontal="center" vertical="center"/>
    </xf>
    <xf numFmtId="0" fontId="0" fillId="70" borderId="364" xfId="0" applyFill="1" applyBorder="1" applyAlignment="1">
      <alignment horizontal="center" vertical="center"/>
    </xf>
    <xf numFmtId="0" fontId="0" fillId="70" borderId="349" xfId="0" applyFill="1" applyBorder="1" applyAlignment="1">
      <alignment horizontal="center" vertical="center"/>
    </xf>
    <xf numFmtId="0" fontId="0" fillId="70" borderId="365" xfId="0" applyFill="1" applyBorder="1" applyAlignment="1">
      <alignment horizontal="center" vertical="center"/>
    </xf>
    <xf numFmtId="0" fontId="0" fillId="29" borderId="366" xfId="0" applyFill="1" applyBorder="1" applyAlignment="1">
      <alignment horizontal="center" vertical="center" shrinkToFit="1"/>
    </xf>
    <xf numFmtId="0" fontId="0" fillId="29" borderId="367" xfId="0" applyFill="1" applyBorder="1" applyAlignment="1">
      <alignment horizontal="center" vertical="center" shrinkToFit="1"/>
    </xf>
    <xf numFmtId="0" fontId="0" fillId="29" borderId="350" xfId="0" applyFill="1" applyBorder="1" applyAlignment="1">
      <alignment horizontal="center" vertical="center" shrinkToFit="1"/>
    </xf>
    <xf numFmtId="0" fontId="0" fillId="29" borderId="368" xfId="0" applyFill="1" applyBorder="1" applyAlignment="1">
      <alignment horizontal="center" vertical="center" shrinkToFit="1"/>
    </xf>
    <xf numFmtId="0" fontId="0" fillId="29" borderId="369" xfId="0" applyFill="1" applyBorder="1" applyAlignment="1">
      <alignment horizontal="center" vertical="center" shrinkToFit="1"/>
    </xf>
    <xf numFmtId="0" fontId="0" fillId="70" borderId="371" xfId="0" applyFill="1" applyBorder="1" applyAlignment="1">
      <alignment horizontal="center" vertical="center"/>
    </xf>
    <xf numFmtId="0" fontId="0" fillId="70" borderId="372" xfId="0" applyFill="1" applyBorder="1" applyAlignment="1">
      <alignment horizontal="center" vertical="center"/>
    </xf>
    <xf numFmtId="0" fontId="0" fillId="70" borderId="373" xfId="0" applyFill="1" applyBorder="1" applyAlignment="1">
      <alignment horizontal="center" vertical="center"/>
    </xf>
    <xf numFmtId="0" fontId="0" fillId="29" borderId="360" xfId="0" applyFill="1" applyBorder="1" applyAlignment="1">
      <alignment horizontal="center" vertical="center" shrinkToFit="1"/>
    </xf>
    <xf numFmtId="0" fontId="0" fillId="29" borderId="361" xfId="0" applyFill="1" applyBorder="1" applyAlignment="1">
      <alignment horizontal="center" vertical="center" shrinkToFit="1"/>
    </xf>
    <xf numFmtId="0" fontId="0" fillId="29" borderId="362" xfId="0" applyFill="1" applyBorder="1" applyAlignment="1">
      <alignment horizontal="center" vertical="center" shrinkToFit="1"/>
    </xf>
    <xf numFmtId="0" fontId="53" fillId="79" borderId="343" xfId="0" applyFont="1" applyFill="1" applyBorder="1" applyAlignment="1">
      <alignment horizontal="center" vertical="center" wrapText="1"/>
    </xf>
    <xf numFmtId="0" fontId="53" fillId="79" borderId="344" xfId="0" applyFont="1" applyFill="1" applyBorder="1" applyAlignment="1">
      <alignment horizontal="center" vertical="center" wrapText="1"/>
    </xf>
    <xf numFmtId="0" fontId="53" fillId="79" borderId="345" xfId="0" applyFont="1" applyFill="1" applyBorder="1" applyAlignment="1">
      <alignment horizontal="center" vertical="center" wrapText="1"/>
    </xf>
    <xf numFmtId="0" fontId="53" fillId="79" borderId="346" xfId="0" applyFont="1" applyFill="1" applyBorder="1" applyAlignment="1">
      <alignment horizontal="center" vertical="center" wrapText="1"/>
    </xf>
    <xf numFmtId="0" fontId="53" fillId="79" borderId="0" xfId="0" applyFont="1" applyFill="1" applyAlignment="1">
      <alignment horizontal="center" vertical="center" wrapText="1"/>
    </xf>
    <xf numFmtId="0" fontId="53" fillId="79" borderId="347" xfId="0" applyFont="1" applyFill="1" applyBorder="1" applyAlignment="1">
      <alignment horizontal="center" vertical="center" wrapText="1"/>
    </xf>
    <xf numFmtId="0" fontId="53" fillId="79" borderId="348" xfId="0" applyFont="1" applyFill="1" applyBorder="1" applyAlignment="1">
      <alignment horizontal="center" vertical="center" wrapText="1"/>
    </xf>
    <xf numFmtId="0" fontId="53" fillId="79" borderId="349" xfId="0" applyFont="1" applyFill="1" applyBorder="1" applyAlignment="1">
      <alignment horizontal="center" vertical="center" wrapText="1"/>
    </xf>
    <xf numFmtId="0" fontId="53" fillId="79" borderId="350" xfId="0" applyFont="1" applyFill="1" applyBorder="1" applyAlignment="1">
      <alignment horizontal="center" vertical="center" wrapText="1"/>
    </xf>
    <xf numFmtId="0" fontId="84" fillId="80" borderId="352" xfId="0" applyFont="1" applyFill="1" applyBorder="1" applyAlignment="1">
      <alignment horizontal="center" vertical="center" wrapText="1" shrinkToFit="1"/>
    </xf>
    <xf numFmtId="0" fontId="84" fillId="80" borderId="353" xfId="0" applyFont="1" applyFill="1" applyBorder="1" applyAlignment="1">
      <alignment horizontal="center" vertical="center" wrapText="1" shrinkToFit="1"/>
    </xf>
    <xf numFmtId="0" fontId="84" fillId="80" borderId="354" xfId="0" applyFont="1" applyFill="1" applyBorder="1" applyAlignment="1">
      <alignment horizontal="center" vertical="center" wrapText="1" shrinkToFit="1"/>
    </xf>
    <xf numFmtId="0" fontId="0" fillId="29" borderId="371" xfId="0" applyFill="1" applyBorder="1" applyAlignment="1">
      <alignment horizontal="center" vertical="center" shrinkToFit="1"/>
    </xf>
    <xf numFmtId="0" fontId="0" fillId="29" borderId="373" xfId="0" applyFill="1" applyBorder="1" applyAlignment="1">
      <alignment horizontal="center" vertical="center" shrinkToFit="1"/>
    </xf>
    <xf numFmtId="0" fontId="0" fillId="70" borderId="374" xfId="0" applyFill="1" applyBorder="1" applyAlignment="1">
      <alignment horizontal="center" vertical="center"/>
    </xf>
    <xf numFmtId="0" fontId="0" fillId="70" borderId="375" xfId="0" applyFill="1" applyBorder="1" applyAlignment="1">
      <alignment horizontal="center" vertical="center"/>
    </xf>
    <xf numFmtId="0" fontId="0" fillId="70" borderId="376" xfId="0" applyFill="1" applyBorder="1" applyAlignment="1">
      <alignment horizontal="center" vertical="center"/>
    </xf>
    <xf numFmtId="0" fontId="0" fillId="29" borderId="374" xfId="0" applyFill="1" applyBorder="1" applyAlignment="1">
      <alignment horizontal="center" vertical="center" shrinkToFit="1"/>
    </xf>
    <xf numFmtId="0" fontId="0" fillId="29" borderId="376" xfId="0" applyFill="1" applyBorder="1" applyAlignment="1">
      <alignment horizontal="center" vertical="center" shrinkToFit="1"/>
    </xf>
    <xf numFmtId="0" fontId="0" fillId="29" borderId="377" xfId="0" applyFill="1" applyBorder="1" applyAlignment="1">
      <alignment horizontal="center" vertical="center" shrinkToFit="1"/>
    </xf>
    <xf numFmtId="0" fontId="0" fillId="29" borderId="378" xfId="0" applyFill="1" applyBorder="1" applyAlignment="1">
      <alignment horizontal="center" vertical="center" shrinkToFit="1"/>
    </xf>
    <xf numFmtId="0" fontId="0" fillId="29" borderId="379" xfId="0" applyFill="1" applyBorder="1" applyAlignment="1">
      <alignment horizontal="center" vertical="center" shrinkToFit="1"/>
    </xf>
    <xf numFmtId="0" fontId="60" fillId="29" borderId="10" xfId="0" applyFont="1" applyFill="1" applyBorder="1" applyAlignment="1">
      <alignment horizontal="center" vertical="center" shrinkToFit="1"/>
    </xf>
    <xf numFmtId="0" fontId="1" fillId="70" borderId="2" xfId="0" applyFont="1" applyFill="1" applyBorder="1" applyAlignment="1">
      <alignment horizontal="center" vertical="center" wrapText="1" shrinkToFit="1"/>
    </xf>
    <xf numFmtId="0" fontId="4" fillId="74" borderId="5" xfId="0" applyFont="1" applyFill="1" applyBorder="1" applyAlignment="1">
      <alignment horizontal="center" vertical="center"/>
    </xf>
    <xf numFmtId="0" fontId="6" fillId="12" borderId="8" xfId="0" applyFont="1" applyFill="1" applyBorder="1" applyAlignment="1">
      <alignment horizontal="center" vertical="center" wrapText="1" indent="1" shrinkToFit="1"/>
    </xf>
  </cellXfs>
  <cellStyles count="21">
    <cellStyle name="Accent 1 1" xfId="11" xr:uid="{00000000-0005-0000-0000-000000000000}"/>
    <cellStyle name="Accent 2 1" xfId="8" xr:uid="{00000000-0005-0000-0000-000001000000}"/>
    <cellStyle name="Accent 3 1" xfId="12" xr:uid="{00000000-0005-0000-0000-000002000000}"/>
    <cellStyle name="Accent 4" xfId="9" xr:uid="{00000000-0005-0000-0000-000003000000}"/>
    <cellStyle name="Bad 1" xfId="1" xr:uid="{00000000-0005-0000-0000-000004000000}"/>
    <cellStyle name="Error 1" xfId="13" xr:uid="{00000000-0005-0000-0000-000005000000}"/>
    <cellStyle name="Excel Built-in Normal" xfId="18" xr:uid="{00000000-0005-0000-0000-000006000000}"/>
    <cellStyle name="Excel Built-in Normal 2" xfId="20" xr:uid="{BE18DEA4-BF5D-40F3-B783-C3D4BE4E30CE}"/>
    <cellStyle name="Footnote 1" xfId="10" xr:uid="{00000000-0005-0000-0000-000007000000}"/>
    <cellStyle name="Good 1" xfId="5" xr:uid="{00000000-0005-0000-0000-000008000000}"/>
    <cellStyle name="Heading 1 1" xfId="6" xr:uid="{00000000-0005-0000-0000-000009000000}"/>
    <cellStyle name="Heading 2 1" xfId="4" xr:uid="{00000000-0005-0000-0000-00000A000000}"/>
    <cellStyle name="Heading 3" xfId="14" xr:uid="{00000000-0005-0000-0000-00000B000000}"/>
    <cellStyle name="Hyperlink 1" xfId="2" xr:uid="{00000000-0005-0000-0000-00000C000000}"/>
    <cellStyle name="Neutral 1" xfId="15" xr:uid="{00000000-0005-0000-0000-00000D000000}"/>
    <cellStyle name="Note 1" xfId="3" xr:uid="{00000000-0005-0000-0000-00000E000000}"/>
    <cellStyle name="Status 1" xfId="16" xr:uid="{00000000-0005-0000-0000-00000F000000}"/>
    <cellStyle name="Text 1" xfId="7" xr:uid="{00000000-0005-0000-0000-000010000000}"/>
    <cellStyle name="Warning 1" xfId="17" xr:uid="{00000000-0005-0000-0000-000011000000}"/>
    <cellStyle name="標準" xfId="0" builtinId="0"/>
    <cellStyle name="標準 2" xfId="19" xr:uid="{8C2710A0-E9AD-41FE-8130-DB1B1D10B074}"/>
  </cellStyles>
  <dxfs count="6">
    <dxf>
      <fill>
        <patternFill>
          <bgColor theme="4" tint="0.79998168889431442"/>
        </patternFill>
      </fill>
    </dxf>
    <dxf>
      <fill>
        <patternFill>
          <bgColor theme="7" tint="0.79998168889431442"/>
        </patternFill>
      </fill>
    </dxf>
    <dxf>
      <fill>
        <patternFill>
          <bgColor theme="5" tint="0.79998168889431442"/>
        </patternFill>
      </fill>
    </dxf>
    <dxf>
      <fill>
        <patternFill>
          <bgColor theme="8" tint="0.79998168889431442"/>
        </patternFill>
      </fill>
    </dxf>
    <dxf>
      <fill>
        <patternFill>
          <bgColor theme="9" tint="0.79998168889431442"/>
        </patternFill>
      </fill>
    </dxf>
    <dxf>
      <fill>
        <patternFill>
          <bgColor theme="6" tint="0.79998168889431442"/>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CC0000"/>
      <rgbColor rgb="0000FF00"/>
      <rgbColor rgb="000000EE"/>
      <rgbColor rgb="00FFFF66"/>
      <rgbColor rgb="00FF00FF"/>
      <rgbColor rgb="0000FFFF"/>
      <rgbColor rgb="00800000"/>
      <rgbColor rgb="00006600"/>
      <rgbColor rgb="00000080"/>
      <rgbColor rgb="00996600"/>
      <rgbColor rgb="00B80047"/>
      <rgbColor rgb="00198A8A"/>
      <rgbColor rgb="00C0C0C0"/>
      <rgbColor rgb="00808080"/>
      <rgbColor rgb="009999FF"/>
      <rgbColor rgb="00FF3366"/>
      <rgbColor rgb="00FFFFCC"/>
      <rgbColor rgb="00CCFFFF"/>
      <rgbColor rgb="00660066"/>
      <rgbColor rgb="00EB613D"/>
      <rgbColor rgb="000047FF"/>
      <rgbColor rgb="00CCCCCC"/>
      <rgbColor rgb="00000080"/>
      <rgbColor rgb="00FF00FF"/>
      <rgbColor rgb="00EEEEEE"/>
      <rgbColor rgb="0000FFFF"/>
      <rgbColor rgb="00800080"/>
      <rgbColor rgb="00800000"/>
      <rgbColor rgb="000097A7"/>
      <rgbColor rgb="000000FF"/>
      <rgbColor rgb="000099FF"/>
      <rgbColor rgb="00CCF4C6"/>
      <rgbColor rgb="00CCFFCC"/>
      <rgbColor rgb="00FFFF99"/>
      <rgbColor rgb="0083CAFF"/>
      <rgbColor rgb="00FFCCCC"/>
      <rgbColor rgb="00B2B2B2"/>
      <rgbColor rgb="00FFCC99"/>
      <rgbColor rgb="003366FF"/>
      <rgbColor rgb="00E6E6FF"/>
      <rgbColor rgb="0094BD5E"/>
      <rgbColor rgb="00DDDDDD"/>
      <rgbColor rgb="00FF9900"/>
      <rgbColor rgb="00FF6633"/>
      <rgbColor rgb="009E9E9E"/>
      <rgbColor rgb="00999999"/>
      <rgbColor rgb="00003366"/>
      <rgbColor rgb="00339966"/>
      <rgbColor rgb="00003300"/>
      <rgbColor rgb="00393939"/>
      <rgbColor rgb="00DC2300"/>
      <rgbColor rgb="00FF1744"/>
      <rgbColor rgb="004C4C4C"/>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eetMetadata" Target="metadata.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ja-JP"/>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lotArea>
      <c:layout>
        <c:manualLayout>
          <c:layoutTarget val="inner"/>
          <c:xMode val="edge"/>
          <c:yMode val="edge"/>
          <c:x val="0.26727731102990115"/>
          <c:y val="0.15624469275899336"/>
          <c:w val="0.49473872584108802"/>
          <c:h val="0.76029701250578974"/>
        </c:manualLayout>
      </c:layout>
      <c:radarChart>
        <c:radarStyle val="filled"/>
        <c:varyColors val="0"/>
        <c:ser>
          <c:idx val="0"/>
          <c:order val="0"/>
          <c:spPr>
            <a:solidFill>
              <a:schemeClr val="dk1">
                <a:tint val="88500"/>
                <a:alpha val="50196"/>
              </a:schemeClr>
            </a:solidFill>
            <a:ln w="25400">
              <a:solidFill>
                <a:schemeClr val="dk1">
                  <a:tint val="88500"/>
                </a:schemeClr>
              </a:solidFill>
              <a:prstDash val="sysDot"/>
            </a:ln>
            <a:effectLst/>
          </c:spPr>
          <c:cat>
            <c:strRef>
              <c:f>キャラシート!$F$17:$F$23</c:f>
              <c:strCache>
                <c:ptCount val="7"/>
                <c:pt idx="0">
                  <c:v>筋力</c:v>
                </c:pt>
                <c:pt idx="1">
                  <c:v>耐久</c:v>
                </c:pt>
                <c:pt idx="2">
                  <c:v>知力</c:v>
                </c:pt>
                <c:pt idx="3">
                  <c:v>精神</c:v>
                </c:pt>
                <c:pt idx="4">
                  <c:v>器用</c:v>
                </c:pt>
                <c:pt idx="5">
                  <c:v>敏捷</c:v>
                </c:pt>
                <c:pt idx="6">
                  <c:v>運</c:v>
                </c:pt>
              </c:strCache>
            </c:strRef>
          </c:cat>
          <c:val>
            <c:numRef>
              <c:f>キャラシート!$G$17:$G$23</c:f>
              <c:numCache>
                <c:formatCode>General</c:formatCode>
                <c:ptCount val="7"/>
              </c:numCache>
            </c:numRef>
          </c:val>
          <c:extLst>
            <c:ext xmlns:c16="http://schemas.microsoft.com/office/drawing/2014/chart" uri="{C3380CC4-5D6E-409C-BE32-E72D297353CC}">
              <c16:uniqueId val="{00000000-CA36-4C2C-B3BA-526BE13EDA2B}"/>
            </c:ext>
          </c:extLst>
        </c:ser>
        <c:ser>
          <c:idx val="1"/>
          <c:order val="1"/>
          <c:spPr>
            <a:solidFill>
              <a:schemeClr val="accent6">
                <a:lumMod val="60000"/>
                <a:lumOff val="40000"/>
              </a:schemeClr>
            </a:solidFill>
            <a:ln w="25400">
              <a:noFill/>
              <a:prstDash val="sysDot"/>
            </a:ln>
            <a:effectLst/>
          </c:spPr>
          <c:cat>
            <c:strRef>
              <c:f>キャラシート!$F$17:$F$23</c:f>
              <c:strCache>
                <c:ptCount val="7"/>
                <c:pt idx="0">
                  <c:v>筋力</c:v>
                </c:pt>
                <c:pt idx="1">
                  <c:v>耐久</c:v>
                </c:pt>
                <c:pt idx="2">
                  <c:v>知力</c:v>
                </c:pt>
                <c:pt idx="3">
                  <c:v>精神</c:v>
                </c:pt>
                <c:pt idx="4">
                  <c:v>器用</c:v>
                </c:pt>
                <c:pt idx="5">
                  <c:v>敏捷</c:v>
                </c:pt>
                <c:pt idx="6">
                  <c:v>運</c:v>
                </c:pt>
              </c:strCache>
            </c:strRef>
          </c:cat>
          <c:val>
            <c:numRef>
              <c:f>キャラシート!$H$17:$H$23</c:f>
              <c:numCache>
                <c:formatCode>General</c:formatCode>
                <c:ptCount val="7"/>
                <c:pt idx="0">
                  <c:v>4</c:v>
                </c:pt>
                <c:pt idx="1">
                  <c:v>4</c:v>
                </c:pt>
                <c:pt idx="2">
                  <c:v>4</c:v>
                </c:pt>
                <c:pt idx="3">
                  <c:v>4</c:v>
                </c:pt>
                <c:pt idx="4">
                  <c:v>4</c:v>
                </c:pt>
                <c:pt idx="5">
                  <c:v>4</c:v>
                </c:pt>
                <c:pt idx="6">
                  <c:v>4</c:v>
                </c:pt>
              </c:numCache>
            </c:numRef>
          </c:val>
          <c:extLst>
            <c:ext xmlns:c16="http://schemas.microsoft.com/office/drawing/2014/chart" uri="{C3380CC4-5D6E-409C-BE32-E72D297353CC}">
              <c16:uniqueId val="{00000001-CA36-4C2C-B3BA-526BE13EDA2B}"/>
            </c:ext>
          </c:extLst>
        </c:ser>
        <c:dLbls>
          <c:showLegendKey val="0"/>
          <c:showVal val="0"/>
          <c:showCatName val="0"/>
          <c:showSerName val="0"/>
          <c:showPercent val="0"/>
          <c:showBubbleSize val="0"/>
        </c:dLbls>
        <c:axId val="1693388208"/>
        <c:axId val="1693386544"/>
      </c:radarChart>
      <c:catAx>
        <c:axId val="16933882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0" spcFirstLastPara="1" vertOverflow="ellipsis" wrap="square" anchor="t" anchorCtr="0"/>
          <a:lstStyle/>
          <a:p>
            <a:pPr>
              <a:defRPr sz="900" b="0" i="0" u="none" strike="noStrike" kern="1200" baseline="0">
                <a:solidFill>
                  <a:schemeClr val="tx1">
                    <a:lumMod val="65000"/>
                    <a:lumOff val="35000"/>
                  </a:schemeClr>
                </a:solidFill>
                <a:latin typeface="HG創英ﾌﾟﾚｾﾞﾝｽEB" panose="02020909000000000000" pitchFamily="17" charset="-128"/>
                <a:ea typeface="HG創英ﾌﾟﾚｾﾞﾝｽEB" panose="02020909000000000000" pitchFamily="17" charset="-128"/>
                <a:cs typeface="+mn-cs"/>
              </a:defRPr>
            </a:pPr>
            <a:endParaRPr lang="ja-JP"/>
          </a:p>
        </c:txPr>
        <c:crossAx val="1693386544"/>
        <c:crosses val="autoZero"/>
        <c:auto val="1"/>
        <c:lblAlgn val="ctr"/>
        <c:lblOffset val="100"/>
        <c:noMultiLvlLbl val="0"/>
      </c:catAx>
      <c:valAx>
        <c:axId val="1693386544"/>
        <c:scaling>
          <c:orientation val="minMax"/>
          <c:max val="20"/>
          <c:min val="0"/>
        </c:scaling>
        <c:delete val="0"/>
        <c:axPos val="l"/>
        <c:majorGridlines>
          <c:spPr>
            <a:ln w="6350" cap="flat" cmpd="sng" algn="ctr">
              <a:solidFill>
                <a:schemeClr val="bg2">
                  <a:lumMod val="50000"/>
                </a:schemeClr>
              </a:solidFill>
              <a:round/>
            </a:ln>
            <a:effectLst/>
          </c:spPr>
        </c:majorGridlines>
        <c:numFmt formatCode="General" sourceLinked="1"/>
        <c:majorTickMark val="none"/>
        <c:minorTickMark val="none"/>
        <c:tickLblPos val="none"/>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ja-JP"/>
          </a:p>
        </c:txPr>
        <c:crossAx val="1693388208"/>
        <c:crosses val="autoZero"/>
        <c:crossBetween val="between"/>
        <c:majorUnit val="5"/>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ja-JP"/>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style1.xml><?xml version="1.0" encoding="utf-8"?>
<cs:chartStyle xmlns:cs="http://schemas.microsoft.com/office/drawing/2012/chartStyle" xmlns:a="http://schemas.openxmlformats.org/drawingml/2006/main" id="318">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alpha val="50196"/>
        </a:schemeClr>
      </a:solidFill>
      <a:ln w="25400">
        <a:solidFill>
          <a:schemeClr val="phClr"/>
        </a:solidFill>
        <a:prstDash val="sysDot"/>
      </a:ln>
    </cs:spPr>
  </cs:dataPoint>
  <cs:dataPoint3D>
    <cs:lnRef idx="0">
      <cs:styleClr val="auto"/>
    </cs:lnRef>
    <cs:fillRef idx="0">
      <cs:styleClr val="auto"/>
    </cs:fillRef>
    <cs:effectRef idx="0"/>
    <cs:fontRef idx="minor">
      <a:schemeClr val="tx1"/>
    </cs:fontRef>
    <cs:spPr>
      <a:solidFill>
        <a:schemeClr val="phClr">
          <a:alpha val="50196"/>
        </a:schemeClr>
      </a:solidFill>
      <a:ln w="25400">
        <a:solidFill>
          <a:schemeClr val="phClr"/>
        </a:solidFill>
        <a:prstDash val="sysDot"/>
      </a:ln>
    </cs:spPr>
  </cs:dataPoint3D>
  <cs:dataPointLine>
    <cs:lnRef idx="0">
      <cs:styleClr val="auto"/>
    </cs:lnRef>
    <cs:fillRef idx="0"/>
    <cs:effectRef idx="0"/>
    <cs:fontRef idx="minor">
      <a:schemeClr val="tx1"/>
    </cs:fontRef>
    <cs:spPr>
      <a:ln w="25400" cap="rnd" cmpd="sng" algn="ctr">
        <a:solidFill>
          <a:schemeClr val="phClr"/>
        </a:solidFill>
        <a:prstDash val="sysDot"/>
        <a:round/>
      </a:ln>
    </cs:spPr>
  </cs:dataPointLine>
  <cs:dataPointMarker>
    <cs:lnRef idx="0">
      <cs:styleClr val="auto"/>
    </cs:lnRef>
    <cs:fillRef idx="0">
      <cs:styleClr val="auto"/>
    </cs:fillRef>
    <cs:effectRef idx="0"/>
    <cs:fontRef idx="minor">
      <a:schemeClr val="tx1"/>
    </cs:fontRef>
    <cs:spPr>
      <a:solidFill>
        <a:schemeClr val="phClr"/>
      </a:solidFill>
    </cs:spPr>
  </cs:dataPointMarker>
  <cs:dataPointMarkerLayout symbol="circle" size="6"/>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trlProps/ctrlProp1.xml><?xml version="1.0" encoding="utf-8"?>
<formControlPr xmlns="http://schemas.microsoft.com/office/spreadsheetml/2009/9/main" objectType="CheckBox" lockText="1"/>
</file>

<file path=xl/ctrlProps/ctrlProp2.xml><?xml version="1.0" encoding="utf-8"?>
<formControlPr xmlns="http://schemas.microsoft.com/office/spreadsheetml/2009/9/main" objectType="CheckBox" lockText="1"/>
</file>

<file path=xl/ctrlProps/ctrlProp3.xml><?xml version="1.0" encoding="utf-8"?>
<formControlPr xmlns="http://schemas.microsoft.com/office/spreadsheetml/2009/9/main" objectType="CheckBox" lockText="1"/>
</file>

<file path=xl/ctrlProps/ctrlProp4.xml><?xml version="1.0" encoding="utf-8"?>
<formControlPr xmlns="http://schemas.microsoft.com/office/spreadsheetml/2009/9/main" objectType="CheckBox" lockText="1"/>
</file>

<file path=xl/ctrlProps/ctrlProp5.xml><?xml version="1.0" encoding="utf-8"?>
<formControlPr xmlns="http://schemas.microsoft.com/office/spreadsheetml/2009/9/main" objectType="CheckBox" lockText="1"/>
</file>

<file path=xl/ctrlProps/ctrlProp6.xml><?xml version="1.0" encoding="utf-8"?>
<formControlPr xmlns="http://schemas.microsoft.com/office/spreadsheetml/2009/9/main" objectType="CheckBox" lockText="1"/>
</file>

<file path=xl/ctrlProps/ctrlProp7.xml><?xml version="1.0" encoding="utf-8"?>
<formControlPr xmlns="http://schemas.microsoft.com/office/spreadsheetml/2009/9/main" objectType="CheckBox" lockText="1"/>
</file>

<file path=xl/ctrlProps/ctrlProp8.xml><?xml version="1.0" encoding="utf-8"?>
<formControlPr xmlns="http://schemas.microsoft.com/office/spreadsheetml/2009/9/main" objectType="CheckBox" lockText="1"/>
</file>

<file path=xl/ctrlProps/ctrlProp9.xml><?xml version="1.0" encoding="utf-8"?>
<formControlPr xmlns="http://schemas.microsoft.com/office/spreadsheetml/2009/9/main" objectType="CheckBox" lockText="1"/>
</file>

<file path=xl/ctrlProps/ctrlProp10.xml><?xml version="1.0" encoding="utf-8"?>
<formControlPr xmlns="http://schemas.microsoft.com/office/spreadsheetml/2009/9/main" objectType="CheckBox" lockText="1"/>
</file>

<file path=xl/ctrlProps/ctrlProp11.xml><?xml version="1.0" encoding="utf-8"?>
<formControlPr xmlns="http://schemas.microsoft.com/office/spreadsheetml/2009/9/main" objectType="CheckBox" lockText="1"/>
</file>

<file path=xl/ctrlProps/ctrlProp12.xml><?xml version="1.0" encoding="utf-8"?>
<formControlPr xmlns="http://schemas.microsoft.com/office/spreadsheetml/2009/9/main" objectType="CheckBox" lockText="1"/>
</file>

<file path=xl/ctrlProps/ctrlProp13.xml><?xml version="1.0" encoding="utf-8"?>
<formControlPr xmlns="http://schemas.microsoft.com/office/spreadsheetml/2009/9/main" objectType="CheckBox" lockText="1"/>
</file>

<file path=xl/ctrlProps/ctrlProp14.xml><?xml version="1.0" encoding="utf-8"?>
<formControlPr xmlns="http://schemas.microsoft.com/office/spreadsheetml/2009/9/main" objectType="CheckBox" lockText="1"/>
</file>

<file path=xl/ctrlProps/ctrlProp15.xml><?xml version="1.0" encoding="utf-8"?>
<formControlPr xmlns="http://schemas.microsoft.com/office/spreadsheetml/2009/9/main" objectType="CheckBox" lockText="1"/>
</file>

<file path=xl/ctrlProps/ctrlProp16.xml><?xml version="1.0" encoding="utf-8"?>
<formControlPr xmlns="http://schemas.microsoft.com/office/spreadsheetml/2009/9/main" objectType="CheckBox" lockText="1"/>
</file>

<file path=xl/ctrlProps/ctrlProp17.xml><?xml version="1.0" encoding="utf-8"?>
<formControlPr xmlns="http://schemas.microsoft.com/office/spreadsheetml/2009/9/main" objectType="CheckBox" lockText="1"/>
</file>

<file path=xl/ctrlProps/ctrlProp18.xml><?xml version="1.0" encoding="utf-8"?>
<formControlPr xmlns="http://schemas.microsoft.com/office/spreadsheetml/2009/9/main" objectType="CheckBox" lockText="1"/>
</file>

<file path=xl/ctrlProps/ctrlProp19.xml><?xml version="1.0" encoding="utf-8"?>
<formControlPr xmlns="http://schemas.microsoft.com/office/spreadsheetml/2009/9/main" objectType="CheckBox" lockText="1"/>
</file>

<file path=xl/ctrlProps/ctrlProp20.xml><?xml version="1.0" encoding="utf-8"?>
<formControlPr xmlns="http://schemas.microsoft.com/office/spreadsheetml/2009/9/main" objectType="CheckBox" lockText="1"/>
</file>

<file path=xl/ctrlProps/ctrlProp21.xml><?xml version="1.0" encoding="utf-8"?>
<formControlPr xmlns="http://schemas.microsoft.com/office/spreadsheetml/2009/9/main" objectType="CheckBox" lockText="1"/>
</file>

<file path=xl/ctrlProps/ctrlProp22.xml><?xml version="1.0" encoding="utf-8"?>
<formControlPr xmlns="http://schemas.microsoft.com/office/spreadsheetml/2009/9/main" objectType="CheckBox" lockText="1"/>
</file>

<file path=xl/ctrlProps/ctrlProp23.xml><?xml version="1.0" encoding="utf-8"?>
<formControlPr xmlns="http://schemas.microsoft.com/office/spreadsheetml/2009/9/main" objectType="CheckBox" lockText="1"/>
</file>

<file path=xl/ctrlProps/ctrlProp24.xml><?xml version="1.0" encoding="utf-8"?>
<formControlPr xmlns="http://schemas.microsoft.com/office/spreadsheetml/2009/9/main" objectType="CheckBox" lockText="1"/>
</file>

<file path=xl/ctrlProps/ctrlProp25.xml><?xml version="1.0" encoding="utf-8"?>
<formControlPr xmlns="http://schemas.microsoft.com/office/spreadsheetml/2009/9/main" objectType="CheckBox" lockText="1"/>
</file>

<file path=xl/ctrlProps/ctrlProp26.xml><?xml version="1.0" encoding="utf-8"?>
<formControlPr xmlns="http://schemas.microsoft.com/office/spreadsheetml/2009/9/main" objectType="CheckBox" lockText="1"/>
</file>

<file path=xl/ctrlProps/ctrlProp27.xml><?xml version="1.0" encoding="utf-8"?>
<formControlPr xmlns="http://schemas.microsoft.com/office/spreadsheetml/2009/9/main" objectType="CheckBox" lockText="1"/>
</file>

<file path=xl/ctrlProps/ctrlProp28.xml><?xml version="1.0" encoding="utf-8"?>
<formControlPr xmlns="http://schemas.microsoft.com/office/spreadsheetml/2009/9/main" objectType="CheckBox" lockText="1"/>
</file>

<file path=xl/ctrlProps/ctrlProp29.xml><?xml version="1.0" encoding="utf-8"?>
<formControlPr xmlns="http://schemas.microsoft.com/office/spreadsheetml/2009/9/main" objectType="CheckBox" lockText="1"/>
</file>

<file path=xl/ctrlProps/ctrlProp30.xml><?xml version="1.0" encoding="utf-8"?>
<formControlPr xmlns="http://schemas.microsoft.com/office/spreadsheetml/2009/9/main" objectType="CheckBox" lockText="1"/>
</file>

<file path=xl/ctrlProps/ctrlProp31.xml><?xml version="1.0" encoding="utf-8"?>
<formControlPr xmlns="http://schemas.microsoft.com/office/spreadsheetml/2009/9/main" objectType="CheckBox" lockText="1"/>
</file>

<file path=xl/ctrlProps/ctrlProp32.xml><?xml version="1.0" encoding="utf-8"?>
<formControlPr xmlns="http://schemas.microsoft.com/office/spreadsheetml/2009/9/main" objectType="CheckBox" lockText="1"/>
</file>

<file path=xl/ctrlProps/ctrlProp33.xml><?xml version="1.0" encoding="utf-8"?>
<formControlPr xmlns="http://schemas.microsoft.com/office/spreadsheetml/2009/9/main" objectType="CheckBox" lockText="1"/>
</file>

<file path=xl/ctrlProps/ctrlProp34.xml><?xml version="1.0" encoding="utf-8"?>
<formControlPr xmlns="http://schemas.microsoft.com/office/spreadsheetml/2009/9/main" objectType="CheckBox" lockText="1"/>
</file>

<file path=xl/ctrlProps/ctrlProp35.xml><?xml version="1.0" encoding="utf-8"?>
<formControlPr xmlns="http://schemas.microsoft.com/office/spreadsheetml/2009/9/main" objectType="CheckBox" lockText="1"/>
</file>

<file path=xl/ctrlProps/ctrlProp36.xml><?xml version="1.0" encoding="utf-8"?>
<formControlPr xmlns="http://schemas.microsoft.com/office/spreadsheetml/2009/9/main" objectType="CheckBox" lockText="1"/>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9</xdr:col>
      <xdr:colOff>7620</xdr:colOff>
      <xdr:row>13</xdr:row>
      <xdr:rowOff>0</xdr:rowOff>
    </xdr:from>
    <xdr:to>
      <xdr:col>14</xdr:col>
      <xdr:colOff>1179</xdr:colOff>
      <xdr:row>33</xdr:row>
      <xdr:rowOff>5080</xdr:rowOff>
    </xdr:to>
    <xdr:pic>
      <xdr:nvPicPr>
        <xdr:cNvPr id="2" name="図 1">
          <a:extLst>
            <a:ext uri="{FF2B5EF4-FFF2-40B4-BE49-F238E27FC236}">
              <a16:creationId xmlns:a16="http://schemas.microsoft.com/office/drawing/2014/main" id="{00000000-0008-0000-0100-000002000000}"/>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l="-5986" t="-46614" r="-5473" b="-29074"/>
        <a:stretch/>
      </xdr:blipFill>
      <xdr:spPr>
        <a:xfrm>
          <a:off x="6271260" y="2311400"/>
          <a:ext cx="3464560" cy="356108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6</xdr:col>
          <xdr:colOff>76200</xdr:colOff>
          <xdr:row>11</xdr:row>
          <xdr:rowOff>0</xdr:rowOff>
        </xdr:from>
        <xdr:to>
          <xdr:col>7</xdr:col>
          <xdr:colOff>57150</xdr:colOff>
          <xdr:row>11</xdr:row>
          <xdr:rowOff>161925</xdr:rowOff>
        </xdr:to>
        <xdr:sp macro="" textlink="">
          <xdr:nvSpPr>
            <xdr:cNvPr id="6145" name="察知" descr="察知" hidden="1">
              <a:extLst>
                <a:ext uri="{63B3BB69-23CF-44E3-9099-C40C66FF867C}">
                  <a14:compatExt spid="_x0000_s6145"/>
                </a:ext>
                <a:ext uri="{FF2B5EF4-FFF2-40B4-BE49-F238E27FC236}">
                  <a16:creationId xmlns:a16="http://schemas.microsoft.com/office/drawing/2014/main" id="{00000000-0008-0000-0400-0000011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1000" b="0" i="0" u="none" strike="noStrike" baseline="0">
                  <a:solidFill>
                    <a:srgbClr val="000000"/>
                  </a:solidFill>
                  <a:latin typeface="ＭＳ Ｐゴシック"/>
                  <a:ea typeface="ＭＳ Ｐゴシック"/>
                </a:rPr>
                <a:t>察知</a:t>
              </a:r>
            </a:p>
          </xdr:txBody>
        </xdr:sp>
        <xdr:clientData/>
      </xdr:twoCellAnchor>
    </mc:Choice>
    <mc:Fallback/>
  </mc:AlternateContent>
  <mc:AlternateContent xmlns:mc="http://schemas.openxmlformats.org/markup-compatibility/2006">
    <mc:Choice xmlns:a14="http://schemas.microsoft.com/office/drawing/2010/main" Requires="a14">
      <xdr:twoCellAnchor>
        <xdr:from>
          <xdr:col>6</xdr:col>
          <xdr:colOff>76200</xdr:colOff>
          <xdr:row>12</xdr:row>
          <xdr:rowOff>0</xdr:rowOff>
        </xdr:from>
        <xdr:to>
          <xdr:col>7</xdr:col>
          <xdr:colOff>57150</xdr:colOff>
          <xdr:row>12</xdr:row>
          <xdr:rowOff>161925</xdr:rowOff>
        </xdr:to>
        <xdr:sp macro="" textlink="">
          <xdr:nvSpPr>
            <xdr:cNvPr id="6146" name="技術" descr="技術" hidden="1">
              <a:extLst>
                <a:ext uri="{63B3BB69-23CF-44E3-9099-C40C66FF867C}">
                  <a14:compatExt spid="_x0000_s6146"/>
                </a:ext>
                <a:ext uri="{FF2B5EF4-FFF2-40B4-BE49-F238E27FC236}">
                  <a16:creationId xmlns:a16="http://schemas.microsoft.com/office/drawing/2014/main" id="{00000000-0008-0000-0400-0000021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1000" b="0" i="0" u="none" strike="noStrike" baseline="0">
                  <a:solidFill>
                    <a:srgbClr val="000000"/>
                  </a:solidFill>
                  <a:latin typeface="ＭＳ Ｐゴシック"/>
                  <a:ea typeface="ＭＳ Ｐゴシック"/>
                </a:rPr>
                <a:t>技術</a:t>
              </a:r>
            </a:p>
          </xdr:txBody>
        </xdr:sp>
        <xdr:clientData/>
      </xdr:twoCellAnchor>
    </mc:Choice>
    <mc:Fallback/>
  </mc:AlternateContent>
  <mc:AlternateContent xmlns:mc="http://schemas.openxmlformats.org/markup-compatibility/2006">
    <mc:Choice xmlns:a14="http://schemas.microsoft.com/office/drawing/2010/main" Requires="a14">
      <xdr:twoCellAnchor>
        <xdr:from>
          <xdr:col>6</xdr:col>
          <xdr:colOff>76200</xdr:colOff>
          <xdr:row>13</xdr:row>
          <xdr:rowOff>0</xdr:rowOff>
        </xdr:from>
        <xdr:to>
          <xdr:col>7</xdr:col>
          <xdr:colOff>57150</xdr:colOff>
          <xdr:row>13</xdr:row>
          <xdr:rowOff>161925</xdr:rowOff>
        </xdr:to>
        <xdr:sp macro="" textlink="">
          <xdr:nvSpPr>
            <xdr:cNvPr id="6147" name="俊敏" descr="俊敏" hidden="1">
              <a:extLst>
                <a:ext uri="{63B3BB69-23CF-44E3-9099-C40C66FF867C}">
                  <a14:compatExt spid="_x0000_s6147"/>
                </a:ext>
                <a:ext uri="{FF2B5EF4-FFF2-40B4-BE49-F238E27FC236}">
                  <a16:creationId xmlns:a16="http://schemas.microsoft.com/office/drawing/2014/main" id="{00000000-0008-0000-0400-0000031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1000" b="0" i="0" u="none" strike="noStrike" baseline="0">
                  <a:solidFill>
                    <a:srgbClr val="000000"/>
                  </a:solidFill>
                  <a:latin typeface="ＭＳ Ｐゴシック"/>
                  <a:ea typeface="ＭＳ Ｐゴシック"/>
                </a:rPr>
                <a:t>俊敏</a:t>
              </a:r>
            </a:p>
          </xdr:txBody>
        </xdr:sp>
        <xdr:clientData/>
      </xdr:twoCellAnchor>
    </mc:Choice>
    <mc:Fallback/>
  </mc:AlternateContent>
  <mc:AlternateContent xmlns:mc="http://schemas.openxmlformats.org/markup-compatibility/2006">
    <mc:Choice xmlns:a14="http://schemas.microsoft.com/office/drawing/2010/main" Requires="a14">
      <xdr:twoCellAnchor>
        <xdr:from>
          <xdr:col>6</xdr:col>
          <xdr:colOff>76200</xdr:colOff>
          <xdr:row>14</xdr:row>
          <xdr:rowOff>0</xdr:rowOff>
        </xdr:from>
        <xdr:to>
          <xdr:col>7</xdr:col>
          <xdr:colOff>57150</xdr:colOff>
          <xdr:row>14</xdr:row>
          <xdr:rowOff>161925</xdr:rowOff>
        </xdr:to>
        <xdr:sp macro="" textlink="">
          <xdr:nvSpPr>
            <xdr:cNvPr id="6148" name="読心" descr="読心" hidden="1">
              <a:extLst>
                <a:ext uri="{63B3BB69-23CF-44E3-9099-C40C66FF867C}">
                  <a14:compatExt spid="_x0000_s6148"/>
                </a:ext>
                <a:ext uri="{FF2B5EF4-FFF2-40B4-BE49-F238E27FC236}">
                  <a16:creationId xmlns:a16="http://schemas.microsoft.com/office/drawing/2014/main" id="{00000000-0008-0000-0400-0000041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1000" b="0" i="0" u="none" strike="noStrike" baseline="0">
                  <a:solidFill>
                    <a:srgbClr val="000000"/>
                  </a:solidFill>
                  <a:latin typeface="ＭＳ Ｐゴシック"/>
                  <a:ea typeface="ＭＳ Ｐゴシック"/>
                </a:rPr>
                <a:t>読心</a:t>
              </a:r>
            </a:p>
          </xdr:txBody>
        </xdr:sp>
        <xdr:clientData/>
      </xdr:twoCellAnchor>
    </mc:Choice>
    <mc:Fallback/>
  </mc:AlternateContent>
  <mc:AlternateContent xmlns:mc="http://schemas.openxmlformats.org/markup-compatibility/2006">
    <mc:Choice xmlns:a14="http://schemas.microsoft.com/office/drawing/2010/main" Requires="a14">
      <xdr:twoCellAnchor>
        <xdr:from>
          <xdr:col>6</xdr:col>
          <xdr:colOff>76200</xdr:colOff>
          <xdr:row>15</xdr:row>
          <xdr:rowOff>0</xdr:rowOff>
        </xdr:from>
        <xdr:to>
          <xdr:col>7</xdr:col>
          <xdr:colOff>57150</xdr:colOff>
          <xdr:row>15</xdr:row>
          <xdr:rowOff>161925</xdr:rowOff>
        </xdr:to>
        <xdr:sp macro="" textlink="">
          <xdr:nvSpPr>
            <xdr:cNvPr id="6149" name="幸運" descr="幸運" hidden="1">
              <a:extLst>
                <a:ext uri="{63B3BB69-23CF-44E3-9099-C40C66FF867C}">
                  <a14:compatExt spid="_x0000_s6149"/>
                </a:ext>
                <a:ext uri="{FF2B5EF4-FFF2-40B4-BE49-F238E27FC236}">
                  <a16:creationId xmlns:a16="http://schemas.microsoft.com/office/drawing/2014/main" id="{00000000-0008-0000-0400-0000051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1000" b="0" i="0" u="none" strike="noStrike" baseline="0">
                  <a:solidFill>
                    <a:srgbClr val="000000"/>
                  </a:solidFill>
                  <a:latin typeface="ＭＳ Ｐゴシック"/>
                  <a:ea typeface="ＭＳ Ｐゴシック"/>
                </a:rPr>
                <a:t>幸運</a:t>
              </a:r>
            </a:p>
          </xdr:txBody>
        </xdr:sp>
        <xdr:clientData/>
      </xdr:twoCellAnchor>
    </mc:Choice>
    <mc:Fallback/>
  </mc:AlternateContent>
  <mc:AlternateContent xmlns:mc="http://schemas.openxmlformats.org/markup-compatibility/2006">
    <mc:Choice xmlns:a14="http://schemas.microsoft.com/office/drawing/2010/main" Requires="a14">
      <xdr:twoCellAnchor>
        <xdr:from>
          <xdr:col>5</xdr:col>
          <xdr:colOff>76200</xdr:colOff>
          <xdr:row>15</xdr:row>
          <xdr:rowOff>0</xdr:rowOff>
        </xdr:from>
        <xdr:to>
          <xdr:col>6</xdr:col>
          <xdr:colOff>57150</xdr:colOff>
          <xdr:row>15</xdr:row>
          <xdr:rowOff>161925</xdr:rowOff>
        </xdr:to>
        <xdr:sp macro="" textlink="">
          <xdr:nvSpPr>
            <xdr:cNvPr id="6150" name="閃き" descr="閃き" hidden="1">
              <a:extLst>
                <a:ext uri="{63B3BB69-23CF-44E3-9099-C40C66FF867C}">
                  <a14:compatExt spid="_x0000_s6150"/>
                </a:ext>
                <a:ext uri="{FF2B5EF4-FFF2-40B4-BE49-F238E27FC236}">
                  <a16:creationId xmlns:a16="http://schemas.microsoft.com/office/drawing/2014/main" id="{00000000-0008-0000-0400-0000061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1000" b="0" i="0" u="none" strike="noStrike" baseline="0">
                  <a:solidFill>
                    <a:srgbClr val="000000"/>
                  </a:solidFill>
                  <a:latin typeface="ＭＳ Ｐゴシック"/>
                  <a:ea typeface="ＭＳ Ｐゴシック"/>
                </a:rPr>
                <a:t>閃き</a:t>
              </a:r>
            </a:p>
          </xdr:txBody>
        </xdr:sp>
        <xdr:clientData/>
      </xdr:twoCellAnchor>
    </mc:Choice>
    <mc:Fallback/>
  </mc:AlternateContent>
  <mc:AlternateContent xmlns:mc="http://schemas.openxmlformats.org/markup-compatibility/2006">
    <mc:Choice xmlns:a14="http://schemas.microsoft.com/office/drawing/2010/main" Requires="a14">
      <xdr:twoCellAnchor>
        <xdr:from>
          <xdr:col>5</xdr:col>
          <xdr:colOff>76200</xdr:colOff>
          <xdr:row>14</xdr:row>
          <xdr:rowOff>0</xdr:rowOff>
        </xdr:from>
        <xdr:to>
          <xdr:col>6</xdr:col>
          <xdr:colOff>57150</xdr:colOff>
          <xdr:row>14</xdr:row>
          <xdr:rowOff>161925</xdr:rowOff>
        </xdr:to>
        <xdr:sp macro="" textlink="">
          <xdr:nvSpPr>
            <xdr:cNvPr id="6151" name="話術" descr="話術" hidden="1">
              <a:extLst>
                <a:ext uri="{63B3BB69-23CF-44E3-9099-C40C66FF867C}">
                  <a14:compatExt spid="_x0000_s6151"/>
                </a:ext>
                <a:ext uri="{FF2B5EF4-FFF2-40B4-BE49-F238E27FC236}">
                  <a16:creationId xmlns:a16="http://schemas.microsoft.com/office/drawing/2014/main" id="{00000000-0008-0000-0400-0000071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1000" b="0" i="0" u="none" strike="noStrike" baseline="0">
                  <a:solidFill>
                    <a:srgbClr val="000000"/>
                  </a:solidFill>
                  <a:latin typeface="ＭＳ Ｐゴシック"/>
                  <a:ea typeface="ＭＳ Ｐゴシック"/>
                </a:rPr>
                <a:t>話術</a:t>
              </a:r>
            </a:p>
          </xdr:txBody>
        </xdr:sp>
        <xdr:clientData/>
      </xdr:twoCellAnchor>
    </mc:Choice>
    <mc:Fallback/>
  </mc:AlternateContent>
  <mc:AlternateContent xmlns:mc="http://schemas.openxmlformats.org/markup-compatibility/2006">
    <mc:Choice xmlns:a14="http://schemas.microsoft.com/office/drawing/2010/main" Requires="a14">
      <xdr:twoCellAnchor>
        <xdr:from>
          <xdr:col>5</xdr:col>
          <xdr:colOff>76200</xdr:colOff>
          <xdr:row>13</xdr:row>
          <xdr:rowOff>0</xdr:rowOff>
        </xdr:from>
        <xdr:to>
          <xdr:col>6</xdr:col>
          <xdr:colOff>57150</xdr:colOff>
          <xdr:row>13</xdr:row>
          <xdr:rowOff>161925</xdr:rowOff>
        </xdr:to>
        <xdr:sp macro="" textlink="">
          <xdr:nvSpPr>
            <xdr:cNvPr id="6152" name="隠密" descr="隠密" hidden="1">
              <a:extLst>
                <a:ext uri="{63B3BB69-23CF-44E3-9099-C40C66FF867C}">
                  <a14:compatExt spid="_x0000_s6152"/>
                </a:ext>
                <a:ext uri="{FF2B5EF4-FFF2-40B4-BE49-F238E27FC236}">
                  <a16:creationId xmlns:a16="http://schemas.microsoft.com/office/drawing/2014/main" id="{00000000-0008-0000-0400-0000081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1000" b="0" i="0" u="none" strike="noStrike" baseline="0">
                  <a:solidFill>
                    <a:srgbClr val="000000"/>
                  </a:solidFill>
                  <a:latin typeface="ＭＳ Ｐゴシック"/>
                  <a:ea typeface="ＭＳ Ｐゴシック"/>
                </a:rPr>
                <a:t>隠密</a:t>
              </a:r>
            </a:p>
          </xdr:txBody>
        </xdr:sp>
        <xdr:clientData/>
      </xdr:twoCellAnchor>
    </mc:Choice>
    <mc:Fallback/>
  </mc:AlternateContent>
  <mc:AlternateContent xmlns:mc="http://schemas.openxmlformats.org/markup-compatibility/2006">
    <mc:Choice xmlns:a14="http://schemas.microsoft.com/office/drawing/2010/main" Requires="a14">
      <xdr:twoCellAnchor>
        <xdr:from>
          <xdr:col>5</xdr:col>
          <xdr:colOff>76200</xdr:colOff>
          <xdr:row>12</xdr:row>
          <xdr:rowOff>0</xdr:rowOff>
        </xdr:from>
        <xdr:to>
          <xdr:col>6</xdr:col>
          <xdr:colOff>57150</xdr:colOff>
          <xdr:row>12</xdr:row>
          <xdr:rowOff>161925</xdr:rowOff>
        </xdr:to>
        <xdr:sp macro="" textlink="">
          <xdr:nvSpPr>
            <xdr:cNvPr id="6153" name="知識" descr="知識" hidden="1">
              <a:extLst>
                <a:ext uri="{63B3BB69-23CF-44E3-9099-C40C66FF867C}">
                  <a14:compatExt spid="_x0000_s6153"/>
                </a:ext>
                <a:ext uri="{FF2B5EF4-FFF2-40B4-BE49-F238E27FC236}">
                  <a16:creationId xmlns:a16="http://schemas.microsoft.com/office/drawing/2014/main" id="{00000000-0008-0000-0400-0000091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1000" b="0" i="0" u="none" strike="noStrike" baseline="0">
                  <a:solidFill>
                    <a:srgbClr val="000000"/>
                  </a:solidFill>
                  <a:latin typeface="ＭＳ Ｐゴシック"/>
                  <a:ea typeface="ＭＳ Ｐゴシック"/>
                </a:rPr>
                <a:t>知識</a:t>
              </a:r>
            </a:p>
          </xdr:txBody>
        </xdr:sp>
        <xdr:clientData/>
      </xdr:twoCellAnchor>
    </mc:Choice>
    <mc:Fallback/>
  </mc:AlternateContent>
  <mc:AlternateContent xmlns:mc="http://schemas.openxmlformats.org/markup-compatibility/2006">
    <mc:Choice xmlns:a14="http://schemas.microsoft.com/office/drawing/2010/main" Requires="a14">
      <xdr:twoCellAnchor>
        <xdr:from>
          <xdr:col>5</xdr:col>
          <xdr:colOff>76200</xdr:colOff>
          <xdr:row>11</xdr:row>
          <xdr:rowOff>0</xdr:rowOff>
        </xdr:from>
        <xdr:to>
          <xdr:col>6</xdr:col>
          <xdr:colOff>57150</xdr:colOff>
          <xdr:row>11</xdr:row>
          <xdr:rowOff>161925</xdr:rowOff>
        </xdr:to>
        <xdr:sp macro="" textlink="">
          <xdr:nvSpPr>
            <xdr:cNvPr id="6154" name="観察眼" descr="観察眼" hidden="1">
              <a:extLst>
                <a:ext uri="{63B3BB69-23CF-44E3-9099-C40C66FF867C}">
                  <a14:compatExt spid="_x0000_s6154"/>
                </a:ext>
                <a:ext uri="{FF2B5EF4-FFF2-40B4-BE49-F238E27FC236}">
                  <a16:creationId xmlns:a16="http://schemas.microsoft.com/office/drawing/2014/main" id="{00000000-0008-0000-0400-00000A1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1000" b="0" i="0" u="none" strike="noStrike" baseline="0">
                  <a:solidFill>
                    <a:srgbClr val="000000"/>
                  </a:solidFill>
                  <a:latin typeface="ＭＳ Ｐゴシック"/>
                  <a:ea typeface="ＭＳ Ｐゴシック"/>
                </a:rPr>
                <a:t>観察眼</a:t>
              </a:r>
            </a:p>
          </xdr:txBody>
        </xdr:sp>
        <xdr:clientData/>
      </xdr:twoCellAnchor>
    </mc:Choice>
    <mc:Fallback/>
  </mc:AlternateContent>
  <mc:AlternateContent xmlns:mc="http://schemas.openxmlformats.org/markup-compatibility/2006">
    <mc:Choice xmlns:a14="http://schemas.microsoft.com/office/drawing/2010/main" Requires="a14">
      <xdr:twoCellAnchor>
        <xdr:from>
          <xdr:col>5</xdr:col>
          <xdr:colOff>76200</xdr:colOff>
          <xdr:row>10</xdr:row>
          <xdr:rowOff>0</xdr:rowOff>
        </xdr:from>
        <xdr:to>
          <xdr:col>6</xdr:col>
          <xdr:colOff>57150</xdr:colOff>
          <xdr:row>10</xdr:row>
          <xdr:rowOff>161925</xdr:rowOff>
        </xdr:to>
        <xdr:sp macro="" textlink="">
          <xdr:nvSpPr>
            <xdr:cNvPr id="6155" name="力技" descr="力技" hidden="1">
              <a:extLst>
                <a:ext uri="{63B3BB69-23CF-44E3-9099-C40C66FF867C}">
                  <a14:compatExt spid="_x0000_s6155"/>
                </a:ext>
                <a:ext uri="{FF2B5EF4-FFF2-40B4-BE49-F238E27FC236}">
                  <a16:creationId xmlns:a16="http://schemas.microsoft.com/office/drawing/2014/main" id="{00000000-0008-0000-0400-00000B1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1000" b="0" i="0" u="none" strike="noStrike" baseline="0">
                  <a:solidFill>
                    <a:srgbClr val="000000"/>
                  </a:solidFill>
                  <a:latin typeface="ＭＳ Ｐゴシック"/>
                  <a:ea typeface="ＭＳ Ｐゴシック"/>
                </a:rPr>
                <a:t>力技</a:t>
              </a:r>
            </a:p>
          </xdr:txBody>
        </xdr:sp>
        <xdr:clientData/>
      </xdr:twoCellAnchor>
    </mc:Choice>
    <mc:Fallback/>
  </mc:AlternateContent>
  <mc:AlternateContent xmlns:mc="http://schemas.openxmlformats.org/markup-compatibility/2006">
    <mc:Choice xmlns:a14="http://schemas.microsoft.com/office/drawing/2010/main" Requires="a14">
      <xdr:twoCellAnchor>
        <xdr:from>
          <xdr:col>6</xdr:col>
          <xdr:colOff>76200</xdr:colOff>
          <xdr:row>10</xdr:row>
          <xdr:rowOff>0</xdr:rowOff>
        </xdr:from>
        <xdr:to>
          <xdr:col>7</xdr:col>
          <xdr:colOff>57150</xdr:colOff>
          <xdr:row>10</xdr:row>
          <xdr:rowOff>161925</xdr:rowOff>
        </xdr:to>
        <xdr:sp macro="" textlink="">
          <xdr:nvSpPr>
            <xdr:cNvPr id="6156" name="威圧" descr="威圧" hidden="1">
              <a:extLst>
                <a:ext uri="{63B3BB69-23CF-44E3-9099-C40C66FF867C}">
                  <a14:compatExt spid="_x0000_s6156"/>
                </a:ext>
                <a:ext uri="{FF2B5EF4-FFF2-40B4-BE49-F238E27FC236}">
                  <a16:creationId xmlns:a16="http://schemas.microsoft.com/office/drawing/2014/main" id="{00000000-0008-0000-0400-00000C1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1000" b="0" i="0" u="none" strike="noStrike" baseline="0">
                  <a:solidFill>
                    <a:srgbClr val="000000"/>
                  </a:solidFill>
                  <a:latin typeface="ＭＳ Ｐゴシック"/>
                  <a:ea typeface="ＭＳ Ｐゴシック"/>
                </a:rPr>
                <a:t>威圧</a:t>
              </a:r>
            </a:p>
          </xdr:txBody>
        </xdr:sp>
        <xdr:clientData/>
      </xdr:twoCellAnchor>
    </mc:Choice>
    <mc:Fallback/>
  </mc:AlternateContent>
  <xdr:twoCellAnchor editAs="oneCell">
    <xdr:from>
      <xdr:col>8</xdr:col>
      <xdr:colOff>0</xdr:colOff>
      <xdr:row>7</xdr:row>
      <xdr:rowOff>174171</xdr:rowOff>
    </xdr:from>
    <xdr:to>
      <xdr:col>12</xdr:col>
      <xdr:colOff>663847</xdr:colOff>
      <xdr:row>29</xdr:row>
      <xdr:rowOff>2106</xdr:rowOff>
    </xdr:to>
    <xdr:pic>
      <xdr:nvPicPr>
        <xdr:cNvPr id="14" name="図 13">
          <a:extLst>
            <a:ext uri="{FF2B5EF4-FFF2-40B4-BE49-F238E27FC236}">
              <a16:creationId xmlns:a16="http://schemas.microsoft.com/office/drawing/2014/main" id="{00000000-0008-0000-0400-00000E000000}"/>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l="-5986" t="-46615" r="-5473" b="-35880"/>
        <a:stretch/>
      </xdr:blipFill>
      <xdr:spPr>
        <a:xfrm>
          <a:off x="5529943" y="1393371"/>
          <a:ext cx="3447868" cy="365760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6</xdr:col>
          <xdr:colOff>76200</xdr:colOff>
          <xdr:row>11</xdr:row>
          <xdr:rowOff>0</xdr:rowOff>
        </xdr:from>
        <xdr:to>
          <xdr:col>7</xdr:col>
          <xdr:colOff>57150</xdr:colOff>
          <xdr:row>11</xdr:row>
          <xdr:rowOff>161925</xdr:rowOff>
        </xdr:to>
        <xdr:sp macro="" textlink="">
          <xdr:nvSpPr>
            <xdr:cNvPr id="8193" name="察知" descr="察知" hidden="1">
              <a:extLst>
                <a:ext uri="{63B3BB69-23CF-44E3-9099-C40C66FF867C}">
                  <a14:compatExt spid="_x0000_s8193"/>
                </a:ext>
                <a:ext uri="{FF2B5EF4-FFF2-40B4-BE49-F238E27FC236}">
                  <a16:creationId xmlns:a16="http://schemas.microsoft.com/office/drawing/2014/main" id="{00000000-0008-0000-0500-000001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1000" b="0" i="0" u="none" strike="noStrike" baseline="0">
                  <a:solidFill>
                    <a:srgbClr val="000000"/>
                  </a:solidFill>
                  <a:latin typeface="ＭＳ Ｐゴシック"/>
                  <a:ea typeface="ＭＳ Ｐゴシック"/>
                </a:rPr>
                <a:t>察知</a:t>
              </a:r>
            </a:p>
          </xdr:txBody>
        </xdr:sp>
        <xdr:clientData/>
      </xdr:twoCellAnchor>
    </mc:Choice>
    <mc:Fallback/>
  </mc:AlternateContent>
  <mc:AlternateContent xmlns:mc="http://schemas.openxmlformats.org/markup-compatibility/2006">
    <mc:Choice xmlns:a14="http://schemas.microsoft.com/office/drawing/2010/main" Requires="a14">
      <xdr:twoCellAnchor>
        <xdr:from>
          <xdr:col>6</xdr:col>
          <xdr:colOff>76200</xdr:colOff>
          <xdr:row>12</xdr:row>
          <xdr:rowOff>0</xdr:rowOff>
        </xdr:from>
        <xdr:to>
          <xdr:col>7</xdr:col>
          <xdr:colOff>57150</xdr:colOff>
          <xdr:row>12</xdr:row>
          <xdr:rowOff>161925</xdr:rowOff>
        </xdr:to>
        <xdr:sp macro="" textlink="">
          <xdr:nvSpPr>
            <xdr:cNvPr id="8194" name="技術" descr="技術" hidden="1">
              <a:extLst>
                <a:ext uri="{63B3BB69-23CF-44E3-9099-C40C66FF867C}">
                  <a14:compatExt spid="_x0000_s8194"/>
                </a:ext>
                <a:ext uri="{FF2B5EF4-FFF2-40B4-BE49-F238E27FC236}">
                  <a16:creationId xmlns:a16="http://schemas.microsoft.com/office/drawing/2014/main" id="{00000000-0008-0000-0500-000002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1000" b="0" i="0" u="none" strike="noStrike" baseline="0">
                  <a:solidFill>
                    <a:srgbClr val="000000"/>
                  </a:solidFill>
                  <a:latin typeface="ＭＳ Ｐゴシック"/>
                  <a:ea typeface="ＭＳ Ｐゴシック"/>
                </a:rPr>
                <a:t>技術</a:t>
              </a:r>
            </a:p>
          </xdr:txBody>
        </xdr:sp>
        <xdr:clientData/>
      </xdr:twoCellAnchor>
    </mc:Choice>
    <mc:Fallback/>
  </mc:AlternateContent>
  <mc:AlternateContent xmlns:mc="http://schemas.openxmlformats.org/markup-compatibility/2006">
    <mc:Choice xmlns:a14="http://schemas.microsoft.com/office/drawing/2010/main" Requires="a14">
      <xdr:twoCellAnchor>
        <xdr:from>
          <xdr:col>6</xdr:col>
          <xdr:colOff>76200</xdr:colOff>
          <xdr:row>13</xdr:row>
          <xdr:rowOff>0</xdr:rowOff>
        </xdr:from>
        <xdr:to>
          <xdr:col>7</xdr:col>
          <xdr:colOff>57150</xdr:colOff>
          <xdr:row>13</xdr:row>
          <xdr:rowOff>161925</xdr:rowOff>
        </xdr:to>
        <xdr:sp macro="" textlink="">
          <xdr:nvSpPr>
            <xdr:cNvPr id="8195" name="俊敏" descr="俊敏" hidden="1">
              <a:extLst>
                <a:ext uri="{63B3BB69-23CF-44E3-9099-C40C66FF867C}">
                  <a14:compatExt spid="_x0000_s8195"/>
                </a:ext>
                <a:ext uri="{FF2B5EF4-FFF2-40B4-BE49-F238E27FC236}">
                  <a16:creationId xmlns:a16="http://schemas.microsoft.com/office/drawing/2014/main" id="{00000000-0008-0000-0500-000003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1000" b="0" i="0" u="none" strike="noStrike" baseline="0">
                  <a:solidFill>
                    <a:srgbClr val="000000"/>
                  </a:solidFill>
                  <a:latin typeface="ＭＳ Ｐゴシック"/>
                  <a:ea typeface="ＭＳ Ｐゴシック"/>
                </a:rPr>
                <a:t>俊敏</a:t>
              </a:r>
            </a:p>
          </xdr:txBody>
        </xdr:sp>
        <xdr:clientData/>
      </xdr:twoCellAnchor>
    </mc:Choice>
    <mc:Fallback/>
  </mc:AlternateContent>
  <mc:AlternateContent xmlns:mc="http://schemas.openxmlformats.org/markup-compatibility/2006">
    <mc:Choice xmlns:a14="http://schemas.microsoft.com/office/drawing/2010/main" Requires="a14">
      <xdr:twoCellAnchor>
        <xdr:from>
          <xdr:col>6</xdr:col>
          <xdr:colOff>76200</xdr:colOff>
          <xdr:row>14</xdr:row>
          <xdr:rowOff>0</xdr:rowOff>
        </xdr:from>
        <xdr:to>
          <xdr:col>7</xdr:col>
          <xdr:colOff>57150</xdr:colOff>
          <xdr:row>14</xdr:row>
          <xdr:rowOff>161925</xdr:rowOff>
        </xdr:to>
        <xdr:sp macro="" textlink="">
          <xdr:nvSpPr>
            <xdr:cNvPr id="8196" name="読心" descr="読心" hidden="1">
              <a:extLst>
                <a:ext uri="{63B3BB69-23CF-44E3-9099-C40C66FF867C}">
                  <a14:compatExt spid="_x0000_s8196"/>
                </a:ext>
                <a:ext uri="{FF2B5EF4-FFF2-40B4-BE49-F238E27FC236}">
                  <a16:creationId xmlns:a16="http://schemas.microsoft.com/office/drawing/2014/main" id="{00000000-0008-0000-0500-000004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1000" b="0" i="0" u="none" strike="noStrike" baseline="0">
                  <a:solidFill>
                    <a:srgbClr val="000000"/>
                  </a:solidFill>
                  <a:latin typeface="ＭＳ Ｐゴシック"/>
                  <a:ea typeface="ＭＳ Ｐゴシック"/>
                </a:rPr>
                <a:t>読心</a:t>
              </a:r>
            </a:p>
          </xdr:txBody>
        </xdr:sp>
        <xdr:clientData/>
      </xdr:twoCellAnchor>
    </mc:Choice>
    <mc:Fallback/>
  </mc:AlternateContent>
  <mc:AlternateContent xmlns:mc="http://schemas.openxmlformats.org/markup-compatibility/2006">
    <mc:Choice xmlns:a14="http://schemas.microsoft.com/office/drawing/2010/main" Requires="a14">
      <xdr:twoCellAnchor>
        <xdr:from>
          <xdr:col>6</xdr:col>
          <xdr:colOff>76200</xdr:colOff>
          <xdr:row>15</xdr:row>
          <xdr:rowOff>0</xdr:rowOff>
        </xdr:from>
        <xdr:to>
          <xdr:col>7</xdr:col>
          <xdr:colOff>57150</xdr:colOff>
          <xdr:row>15</xdr:row>
          <xdr:rowOff>161925</xdr:rowOff>
        </xdr:to>
        <xdr:sp macro="" textlink="">
          <xdr:nvSpPr>
            <xdr:cNvPr id="8197" name="幸運" descr="幸運" hidden="1">
              <a:extLst>
                <a:ext uri="{63B3BB69-23CF-44E3-9099-C40C66FF867C}">
                  <a14:compatExt spid="_x0000_s8197"/>
                </a:ext>
                <a:ext uri="{FF2B5EF4-FFF2-40B4-BE49-F238E27FC236}">
                  <a16:creationId xmlns:a16="http://schemas.microsoft.com/office/drawing/2014/main" id="{00000000-0008-0000-0500-000005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1000" b="0" i="0" u="none" strike="noStrike" baseline="0">
                  <a:solidFill>
                    <a:srgbClr val="000000"/>
                  </a:solidFill>
                  <a:latin typeface="ＭＳ Ｐゴシック"/>
                  <a:ea typeface="ＭＳ Ｐゴシック"/>
                </a:rPr>
                <a:t>幸運</a:t>
              </a:r>
            </a:p>
          </xdr:txBody>
        </xdr:sp>
        <xdr:clientData/>
      </xdr:twoCellAnchor>
    </mc:Choice>
    <mc:Fallback/>
  </mc:AlternateContent>
  <mc:AlternateContent xmlns:mc="http://schemas.openxmlformats.org/markup-compatibility/2006">
    <mc:Choice xmlns:a14="http://schemas.microsoft.com/office/drawing/2010/main" Requires="a14">
      <xdr:twoCellAnchor>
        <xdr:from>
          <xdr:col>5</xdr:col>
          <xdr:colOff>76200</xdr:colOff>
          <xdr:row>15</xdr:row>
          <xdr:rowOff>0</xdr:rowOff>
        </xdr:from>
        <xdr:to>
          <xdr:col>6</xdr:col>
          <xdr:colOff>57150</xdr:colOff>
          <xdr:row>15</xdr:row>
          <xdr:rowOff>161925</xdr:rowOff>
        </xdr:to>
        <xdr:sp macro="" textlink="">
          <xdr:nvSpPr>
            <xdr:cNvPr id="8198" name="閃き" descr="閃き" hidden="1">
              <a:extLst>
                <a:ext uri="{63B3BB69-23CF-44E3-9099-C40C66FF867C}">
                  <a14:compatExt spid="_x0000_s8198"/>
                </a:ext>
                <a:ext uri="{FF2B5EF4-FFF2-40B4-BE49-F238E27FC236}">
                  <a16:creationId xmlns:a16="http://schemas.microsoft.com/office/drawing/2014/main" id="{00000000-0008-0000-0500-000006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1000" b="0" i="0" u="none" strike="noStrike" baseline="0">
                  <a:solidFill>
                    <a:srgbClr val="000000"/>
                  </a:solidFill>
                  <a:latin typeface="ＭＳ Ｐゴシック"/>
                  <a:ea typeface="ＭＳ Ｐゴシック"/>
                </a:rPr>
                <a:t>閃き</a:t>
              </a:r>
            </a:p>
          </xdr:txBody>
        </xdr:sp>
        <xdr:clientData/>
      </xdr:twoCellAnchor>
    </mc:Choice>
    <mc:Fallback/>
  </mc:AlternateContent>
  <mc:AlternateContent xmlns:mc="http://schemas.openxmlformats.org/markup-compatibility/2006">
    <mc:Choice xmlns:a14="http://schemas.microsoft.com/office/drawing/2010/main" Requires="a14">
      <xdr:twoCellAnchor>
        <xdr:from>
          <xdr:col>5</xdr:col>
          <xdr:colOff>76200</xdr:colOff>
          <xdr:row>14</xdr:row>
          <xdr:rowOff>0</xdr:rowOff>
        </xdr:from>
        <xdr:to>
          <xdr:col>6</xdr:col>
          <xdr:colOff>57150</xdr:colOff>
          <xdr:row>14</xdr:row>
          <xdr:rowOff>161925</xdr:rowOff>
        </xdr:to>
        <xdr:sp macro="" textlink="">
          <xdr:nvSpPr>
            <xdr:cNvPr id="8199" name="話術" descr="話術" hidden="1">
              <a:extLst>
                <a:ext uri="{63B3BB69-23CF-44E3-9099-C40C66FF867C}">
                  <a14:compatExt spid="_x0000_s8199"/>
                </a:ext>
                <a:ext uri="{FF2B5EF4-FFF2-40B4-BE49-F238E27FC236}">
                  <a16:creationId xmlns:a16="http://schemas.microsoft.com/office/drawing/2014/main" id="{00000000-0008-0000-0500-000007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1000" b="0" i="0" u="none" strike="noStrike" baseline="0">
                  <a:solidFill>
                    <a:srgbClr val="000000"/>
                  </a:solidFill>
                  <a:latin typeface="ＭＳ Ｐゴシック"/>
                  <a:ea typeface="ＭＳ Ｐゴシック"/>
                </a:rPr>
                <a:t>話術</a:t>
              </a:r>
            </a:p>
          </xdr:txBody>
        </xdr:sp>
        <xdr:clientData/>
      </xdr:twoCellAnchor>
    </mc:Choice>
    <mc:Fallback/>
  </mc:AlternateContent>
  <mc:AlternateContent xmlns:mc="http://schemas.openxmlformats.org/markup-compatibility/2006">
    <mc:Choice xmlns:a14="http://schemas.microsoft.com/office/drawing/2010/main" Requires="a14">
      <xdr:twoCellAnchor>
        <xdr:from>
          <xdr:col>5</xdr:col>
          <xdr:colOff>76200</xdr:colOff>
          <xdr:row>13</xdr:row>
          <xdr:rowOff>0</xdr:rowOff>
        </xdr:from>
        <xdr:to>
          <xdr:col>6</xdr:col>
          <xdr:colOff>57150</xdr:colOff>
          <xdr:row>13</xdr:row>
          <xdr:rowOff>161925</xdr:rowOff>
        </xdr:to>
        <xdr:sp macro="" textlink="">
          <xdr:nvSpPr>
            <xdr:cNvPr id="8200" name="隠密" descr="隠密" hidden="1">
              <a:extLst>
                <a:ext uri="{63B3BB69-23CF-44E3-9099-C40C66FF867C}">
                  <a14:compatExt spid="_x0000_s8200"/>
                </a:ext>
                <a:ext uri="{FF2B5EF4-FFF2-40B4-BE49-F238E27FC236}">
                  <a16:creationId xmlns:a16="http://schemas.microsoft.com/office/drawing/2014/main" id="{00000000-0008-0000-0500-000008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1000" b="0" i="0" u="none" strike="noStrike" baseline="0">
                  <a:solidFill>
                    <a:srgbClr val="000000"/>
                  </a:solidFill>
                  <a:latin typeface="ＭＳ Ｐゴシック"/>
                  <a:ea typeface="ＭＳ Ｐゴシック"/>
                </a:rPr>
                <a:t>隠密</a:t>
              </a:r>
            </a:p>
          </xdr:txBody>
        </xdr:sp>
        <xdr:clientData/>
      </xdr:twoCellAnchor>
    </mc:Choice>
    <mc:Fallback/>
  </mc:AlternateContent>
  <mc:AlternateContent xmlns:mc="http://schemas.openxmlformats.org/markup-compatibility/2006">
    <mc:Choice xmlns:a14="http://schemas.microsoft.com/office/drawing/2010/main" Requires="a14">
      <xdr:twoCellAnchor>
        <xdr:from>
          <xdr:col>5</xdr:col>
          <xdr:colOff>76200</xdr:colOff>
          <xdr:row>12</xdr:row>
          <xdr:rowOff>0</xdr:rowOff>
        </xdr:from>
        <xdr:to>
          <xdr:col>6</xdr:col>
          <xdr:colOff>57150</xdr:colOff>
          <xdr:row>12</xdr:row>
          <xdr:rowOff>161925</xdr:rowOff>
        </xdr:to>
        <xdr:sp macro="" textlink="">
          <xdr:nvSpPr>
            <xdr:cNvPr id="8201" name="知識" descr="知識" hidden="1">
              <a:extLst>
                <a:ext uri="{63B3BB69-23CF-44E3-9099-C40C66FF867C}">
                  <a14:compatExt spid="_x0000_s8201"/>
                </a:ext>
                <a:ext uri="{FF2B5EF4-FFF2-40B4-BE49-F238E27FC236}">
                  <a16:creationId xmlns:a16="http://schemas.microsoft.com/office/drawing/2014/main" id="{00000000-0008-0000-0500-000009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1000" b="0" i="0" u="none" strike="noStrike" baseline="0">
                  <a:solidFill>
                    <a:srgbClr val="000000"/>
                  </a:solidFill>
                  <a:latin typeface="ＭＳ Ｐゴシック"/>
                  <a:ea typeface="ＭＳ Ｐゴシック"/>
                </a:rPr>
                <a:t>知識</a:t>
              </a:r>
            </a:p>
          </xdr:txBody>
        </xdr:sp>
        <xdr:clientData/>
      </xdr:twoCellAnchor>
    </mc:Choice>
    <mc:Fallback/>
  </mc:AlternateContent>
  <mc:AlternateContent xmlns:mc="http://schemas.openxmlformats.org/markup-compatibility/2006">
    <mc:Choice xmlns:a14="http://schemas.microsoft.com/office/drawing/2010/main" Requires="a14">
      <xdr:twoCellAnchor>
        <xdr:from>
          <xdr:col>5</xdr:col>
          <xdr:colOff>76200</xdr:colOff>
          <xdr:row>11</xdr:row>
          <xdr:rowOff>0</xdr:rowOff>
        </xdr:from>
        <xdr:to>
          <xdr:col>6</xdr:col>
          <xdr:colOff>57150</xdr:colOff>
          <xdr:row>11</xdr:row>
          <xdr:rowOff>161925</xdr:rowOff>
        </xdr:to>
        <xdr:sp macro="" textlink="">
          <xdr:nvSpPr>
            <xdr:cNvPr id="8202" name="観察眼" descr="観察眼" hidden="1">
              <a:extLst>
                <a:ext uri="{63B3BB69-23CF-44E3-9099-C40C66FF867C}">
                  <a14:compatExt spid="_x0000_s8202"/>
                </a:ext>
                <a:ext uri="{FF2B5EF4-FFF2-40B4-BE49-F238E27FC236}">
                  <a16:creationId xmlns:a16="http://schemas.microsoft.com/office/drawing/2014/main" id="{00000000-0008-0000-0500-00000A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1000" b="0" i="0" u="none" strike="noStrike" baseline="0">
                  <a:solidFill>
                    <a:srgbClr val="000000"/>
                  </a:solidFill>
                  <a:latin typeface="ＭＳ Ｐゴシック"/>
                  <a:ea typeface="ＭＳ Ｐゴシック"/>
                </a:rPr>
                <a:t>観察眼</a:t>
              </a:r>
            </a:p>
          </xdr:txBody>
        </xdr:sp>
        <xdr:clientData/>
      </xdr:twoCellAnchor>
    </mc:Choice>
    <mc:Fallback/>
  </mc:AlternateContent>
  <mc:AlternateContent xmlns:mc="http://schemas.openxmlformats.org/markup-compatibility/2006">
    <mc:Choice xmlns:a14="http://schemas.microsoft.com/office/drawing/2010/main" Requires="a14">
      <xdr:twoCellAnchor>
        <xdr:from>
          <xdr:col>5</xdr:col>
          <xdr:colOff>76200</xdr:colOff>
          <xdr:row>10</xdr:row>
          <xdr:rowOff>0</xdr:rowOff>
        </xdr:from>
        <xdr:to>
          <xdr:col>6</xdr:col>
          <xdr:colOff>57150</xdr:colOff>
          <xdr:row>10</xdr:row>
          <xdr:rowOff>161925</xdr:rowOff>
        </xdr:to>
        <xdr:sp macro="" textlink="">
          <xdr:nvSpPr>
            <xdr:cNvPr id="8203" name="力技" descr="力技" hidden="1">
              <a:extLst>
                <a:ext uri="{63B3BB69-23CF-44E3-9099-C40C66FF867C}">
                  <a14:compatExt spid="_x0000_s8203"/>
                </a:ext>
                <a:ext uri="{FF2B5EF4-FFF2-40B4-BE49-F238E27FC236}">
                  <a16:creationId xmlns:a16="http://schemas.microsoft.com/office/drawing/2014/main" id="{00000000-0008-0000-0500-00000B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1000" b="0" i="0" u="none" strike="noStrike" baseline="0">
                  <a:solidFill>
                    <a:srgbClr val="000000"/>
                  </a:solidFill>
                  <a:latin typeface="ＭＳ Ｐゴシック"/>
                  <a:ea typeface="ＭＳ Ｐゴシック"/>
                </a:rPr>
                <a:t>力技</a:t>
              </a:r>
            </a:p>
          </xdr:txBody>
        </xdr:sp>
        <xdr:clientData/>
      </xdr:twoCellAnchor>
    </mc:Choice>
    <mc:Fallback/>
  </mc:AlternateContent>
  <mc:AlternateContent xmlns:mc="http://schemas.openxmlformats.org/markup-compatibility/2006">
    <mc:Choice xmlns:a14="http://schemas.microsoft.com/office/drawing/2010/main" Requires="a14">
      <xdr:twoCellAnchor>
        <xdr:from>
          <xdr:col>6</xdr:col>
          <xdr:colOff>76200</xdr:colOff>
          <xdr:row>10</xdr:row>
          <xdr:rowOff>0</xdr:rowOff>
        </xdr:from>
        <xdr:to>
          <xdr:col>7</xdr:col>
          <xdr:colOff>57150</xdr:colOff>
          <xdr:row>10</xdr:row>
          <xdr:rowOff>161925</xdr:rowOff>
        </xdr:to>
        <xdr:sp macro="" textlink="">
          <xdr:nvSpPr>
            <xdr:cNvPr id="8204" name="威圧" descr="威圧" hidden="1">
              <a:extLst>
                <a:ext uri="{63B3BB69-23CF-44E3-9099-C40C66FF867C}">
                  <a14:compatExt spid="_x0000_s8204"/>
                </a:ext>
                <a:ext uri="{FF2B5EF4-FFF2-40B4-BE49-F238E27FC236}">
                  <a16:creationId xmlns:a16="http://schemas.microsoft.com/office/drawing/2014/main" id="{00000000-0008-0000-0500-00000C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1000" b="0" i="0" u="none" strike="noStrike" baseline="0">
                  <a:solidFill>
                    <a:srgbClr val="000000"/>
                  </a:solidFill>
                  <a:latin typeface="ＭＳ Ｐゴシック"/>
                  <a:ea typeface="ＭＳ Ｐゴシック"/>
                </a:rPr>
                <a:t>威圧</a:t>
              </a:r>
            </a:p>
          </xdr:txBody>
        </xdr:sp>
        <xdr:clientData/>
      </xdr:twoCellAnchor>
    </mc:Choice>
    <mc:Fallback/>
  </mc:AlternateContent>
  <xdr:twoCellAnchor editAs="oneCell">
    <xdr:from>
      <xdr:col>8</xdr:col>
      <xdr:colOff>0</xdr:colOff>
      <xdr:row>8</xdr:row>
      <xdr:rowOff>0</xdr:rowOff>
    </xdr:from>
    <xdr:to>
      <xdr:col>12</xdr:col>
      <xdr:colOff>663847</xdr:colOff>
      <xdr:row>29</xdr:row>
      <xdr:rowOff>0</xdr:rowOff>
    </xdr:to>
    <xdr:pic>
      <xdr:nvPicPr>
        <xdr:cNvPr id="14" name="図 13">
          <a:extLst>
            <a:ext uri="{FF2B5EF4-FFF2-40B4-BE49-F238E27FC236}">
              <a16:creationId xmlns:a16="http://schemas.microsoft.com/office/drawing/2014/main" id="{00000000-0008-0000-0500-00000E000000}"/>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l="-5986" t="-46615" r="-5473" b="-35880"/>
        <a:stretch/>
      </xdr:blipFill>
      <xdr:spPr>
        <a:xfrm>
          <a:off x="5547360" y="1402080"/>
          <a:ext cx="3456577" cy="368046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6</xdr:col>
          <xdr:colOff>76200</xdr:colOff>
          <xdr:row>11</xdr:row>
          <xdr:rowOff>0</xdr:rowOff>
        </xdr:from>
        <xdr:to>
          <xdr:col>7</xdr:col>
          <xdr:colOff>57150</xdr:colOff>
          <xdr:row>11</xdr:row>
          <xdr:rowOff>161925</xdr:rowOff>
        </xdr:to>
        <xdr:sp macro="" textlink="">
          <xdr:nvSpPr>
            <xdr:cNvPr id="7169" name="察知" descr="察知" hidden="1">
              <a:extLst>
                <a:ext uri="{63B3BB69-23CF-44E3-9099-C40C66FF867C}">
                  <a14:compatExt spid="_x0000_s7169"/>
                </a:ext>
                <a:ext uri="{FF2B5EF4-FFF2-40B4-BE49-F238E27FC236}">
                  <a16:creationId xmlns:a16="http://schemas.microsoft.com/office/drawing/2014/main" id="{00000000-0008-0000-0600-0000011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1000" b="0" i="0" u="none" strike="noStrike" baseline="0">
                  <a:solidFill>
                    <a:srgbClr val="000000"/>
                  </a:solidFill>
                  <a:latin typeface="ＭＳ Ｐゴシック"/>
                  <a:ea typeface="ＭＳ Ｐゴシック"/>
                </a:rPr>
                <a:t>察知</a:t>
              </a:r>
            </a:p>
          </xdr:txBody>
        </xdr:sp>
        <xdr:clientData/>
      </xdr:twoCellAnchor>
    </mc:Choice>
    <mc:Fallback/>
  </mc:AlternateContent>
  <mc:AlternateContent xmlns:mc="http://schemas.openxmlformats.org/markup-compatibility/2006">
    <mc:Choice xmlns:a14="http://schemas.microsoft.com/office/drawing/2010/main" Requires="a14">
      <xdr:twoCellAnchor>
        <xdr:from>
          <xdr:col>6</xdr:col>
          <xdr:colOff>76200</xdr:colOff>
          <xdr:row>12</xdr:row>
          <xdr:rowOff>0</xdr:rowOff>
        </xdr:from>
        <xdr:to>
          <xdr:col>7</xdr:col>
          <xdr:colOff>57150</xdr:colOff>
          <xdr:row>12</xdr:row>
          <xdr:rowOff>161925</xdr:rowOff>
        </xdr:to>
        <xdr:sp macro="" textlink="">
          <xdr:nvSpPr>
            <xdr:cNvPr id="7170" name="技術" descr="技術" hidden="1">
              <a:extLst>
                <a:ext uri="{63B3BB69-23CF-44E3-9099-C40C66FF867C}">
                  <a14:compatExt spid="_x0000_s7170"/>
                </a:ext>
                <a:ext uri="{FF2B5EF4-FFF2-40B4-BE49-F238E27FC236}">
                  <a16:creationId xmlns:a16="http://schemas.microsoft.com/office/drawing/2014/main" id="{00000000-0008-0000-0600-0000021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1000" b="0" i="0" u="none" strike="noStrike" baseline="0">
                  <a:solidFill>
                    <a:srgbClr val="000000"/>
                  </a:solidFill>
                  <a:latin typeface="ＭＳ Ｐゴシック"/>
                  <a:ea typeface="ＭＳ Ｐゴシック"/>
                </a:rPr>
                <a:t>技術</a:t>
              </a:r>
            </a:p>
          </xdr:txBody>
        </xdr:sp>
        <xdr:clientData/>
      </xdr:twoCellAnchor>
    </mc:Choice>
    <mc:Fallback/>
  </mc:AlternateContent>
  <mc:AlternateContent xmlns:mc="http://schemas.openxmlformats.org/markup-compatibility/2006">
    <mc:Choice xmlns:a14="http://schemas.microsoft.com/office/drawing/2010/main" Requires="a14">
      <xdr:twoCellAnchor>
        <xdr:from>
          <xdr:col>6</xdr:col>
          <xdr:colOff>76200</xdr:colOff>
          <xdr:row>13</xdr:row>
          <xdr:rowOff>0</xdr:rowOff>
        </xdr:from>
        <xdr:to>
          <xdr:col>7</xdr:col>
          <xdr:colOff>57150</xdr:colOff>
          <xdr:row>13</xdr:row>
          <xdr:rowOff>161925</xdr:rowOff>
        </xdr:to>
        <xdr:sp macro="" textlink="">
          <xdr:nvSpPr>
            <xdr:cNvPr id="7171" name="俊敏" descr="俊敏" hidden="1">
              <a:extLst>
                <a:ext uri="{63B3BB69-23CF-44E3-9099-C40C66FF867C}">
                  <a14:compatExt spid="_x0000_s7171"/>
                </a:ext>
                <a:ext uri="{FF2B5EF4-FFF2-40B4-BE49-F238E27FC236}">
                  <a16:creationId xmlns:a16="http://schemas.microsoft.com/office/drawing/2014/main" id="{00000000-0008-0000-0600-0000031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1000" b="0" i="0" u="none" strike="noStrike" baseline="0">
                  <a:solidFill>
                    <a:srgbClr val="000000"/>
                  </a:solidFill>
                  <a:latin typeface="ＭＳ Ｐゴシック"/>
                  <a:ea typeface="ＭＳ Ｐゴシック"/>
                </a:rPr>
                <a:t>俊敏</a:t>
              </a:r>
            </a:p>
          </xdr:txBody>
        </xdr:sp>
        <xdr:clientData/>
      </xdr:twoCellAnchor>
    </mc:Choice>
    <mc:Fallback/>
  </mc:AlternateContent>
  <mc:AlternateContent xmlns:mc="http://schemas.openxmlformats.org/markup-compatibility/2006">
    <mc:Choice xmlns:a14="http://schemas.microsoft.com/office/drawing/2010/main" Requires="a14">
      <xdr:twoCellAnchor>
        <xdr:from>
          <xdr:col>6</xdr:col>
          <xdr:colOff>76200</xdr:colOff>
          <xdr:row>14</xdr:row>
          <xdr:rowOff>0</xdr:rowOff>
        </xdr:from>
        <xdr:to>
          <xdr:col>7</xdr:col>
          <xdr:colOff>57150</xdr:colOff>
          <xdr:row>14</xdr:row>
          <xdr:rowOff>161925</xdr:rowOff>
        </xdr:to>
        <xdr:sp macro="" textlink="">
          <xdr:nvSpPr>
            <xdr:cNvPr id="7172" name="読心" descr="読心" hidden="1">
              <a:extLst>
                <a:ext uri="{63B3BB69-23CF-44E3-9099-C40C66FF867C}">
                  <a14:compatExt spid="_x0000_s7172"/>
                </a:ext>
                <a:ext uri="{FF2B5EF4-FFF2-40B4-BE49-F238E27FC236}">
                  <a16:creationId xmlns:a16="http://schemas.microsoft.com/office/drawing/2014/main" id="{00000000-0008-0000-0600-0000041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1000" b="0" i="0" u="none" strike="noStrike" baseline="0">
                  <a:solidFill>
                    <a:srgbClr val="000000"/>
                  </a:solidFill>
                  <a:latin typeface="ＭＳ Ｐゴシック"/>
                  <a:ea typeface="ＭＳ Ｐゴシック"/>
                </a:rPr>
                <a:t>読心</a:t>
              </a:r>
            </a:p>
          </xdr:txBody>
        </xdr:sp>
        <xdr:clientData/>
      </xdr:twoCellAnchor>
    </mc:Choice>
    <mc:Fallback/>
  </mc:AlternateContent>
  <mc:AlternateContent xmlns:mc="http://schemas.openxmlformats.org/markup-compatibility/2006">
    <mc:Choice xmlns:a14="http://schemas.microsoft.com/office/drawing/2010/main" Requires="a14">
      <xdr:twoCellAnchor>
        <xdr:from>
          <xdr:col>6</xdr:col>
          <xdr:colOff>76200</xdr:colOff>
          <xdr:row>15</xdr:row>
          <xdr:rowOff>0</xdr:rowOff>
        </xdr:from>
        <xdr:to>
          <xdr:col>7</xdr:col>
          <xdr:colOff>57150</xdr:colOff>
          <xdr:row>15</xdr:row>
          <xdr:rowOff>161925</xdr:rowOff>
        </xdr:to>
        <xdr:sp macro="" textlink="">
          <xdr:nvSpPr>
            <xdr:cNvPr id="7173" name="幸運" descr="幸運" hidden="1">
              <a:extLst>
                <a:ext uri="{63B3BB69-23CF-44E3-9099-C40C66FF867C}">
                  <a14:compatExt spid="_x0000_s7173"/>
                </a:ext>
                <a:ext uri="{FF2B5EF4-FFF2-40B4-BE49-F238E27FC236}">
                  <a16:creationId xmlns:a16="http://schemas.microsoft.com/office/drawing/2014/main" id="{00000000-0008-0000-0600-0000051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1000" b="0" i="0" u="none" strike="noStrike" baseline="0">
                  <a:solidFill>
                    <a:srgbClr val="000000"/>
                  </a:solidFill>
                  <a:latin typeface="ＭＳ Ｐゴシック"/>
                  <a:ea typeface="ＭＳ Ｐゴシック"/>
                </a:rPr>
                <a:t>幸運</a:t>
              </a:r>
            </a:p>
          </xdr:txBody>
        </xdr:sp>
        <xdr:clientData/>
      </xdr:twoCellAnchor>
    </mc:Choice>
    <mc:Fallback/>
  </mc:AlternateContent>
  <mc:AlternateContent xmlns:mc="http://schemas.openxmlformats.org/markup-compatibility/2006">
    <mc:Choice xmlns:a14="http://schemas.microsoft.com/office/drawing/2010/main" Requires="a14">
      <xdr:twoCellAnchor>
        <xdr:from>
          <xdr:col>5</xdr:col>
          <xdr:colOff>76200</xdr:colOff>
          <xdr:row>15</xdr:row>
          <xdr:rowOff>0</xdr:rowOff>
        </xdr:from>
        <xdr:to>
          <xdr:col>6</xdr:col>
          <xdr:colOff>57150</xdr:colOff>
          <xdr:row>15</xdr:row>
          <xdr:rowOff>161925</xdr:rowOff>
        </xdr:to>
        <xdr:sp macro="" textlink="">
          <xdr:nvSpPr>
            <xdr:cNvPr id="7174" name="閃き" descr="閃き" hidden="1">
              <a:extLst>
                <a:ext uri="{63B3BB69-23CF-44E3-9099-C40C66FF867C}">
                  <a14:compatExt spid="_x0000_s7174"/>
                </a:ext>
                <a:ext uri="{FF2B5EF4-FFF2-40B4-BE49-F238E27FC236}">
                  <a16:creationId xmlns:a16="http://schemas.microsoft.com/office/drawing/2014/main" id="{00000000-0008-0000-0600-0000061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1000" b="0" i="0" u="none" strike="noStrike" baseline="0">
                  <a:solidFill>
                    <a:srgbClr val="000000"/>
                  </a:solidFill>
                  <a:latin typeface="ＭＳ Ｐゴシック"/>
                  <a:ea typeface="ＭＳ Ｐゴシック"/>
                </a:rPr>
                <a:t>閃き</a:t>
              </a:r>
            </a:p>
          </xdr:txBody>
        </xdr:sp>
        <xdr:clientData/>
      </xdr:twoCellAnchor>
    </mc:Choice>
    <mc:Fallback/>
  </mc:AlternateContent>
  <mc:AlternateContent xmlns:mc="http://schemas.openxmlformats.org/markup-compatibility/2006">
    <mc:Choice xmlns:a14="http://schemas.microsoft.com/office/drawing/2010/main" Requires="a14">
      <xdr:twoCellAnchor>
        <xdr:from>
          <xdr:col>5</xdr:col>
          <xdr:colOff>76200</xdr:colOff>
          <xdr:row>14</xdr:row>
          <xdr:rowOff>0</xdr:rowOff>
        </xdr:from>
        <xdr:to>
          <xdr:col>6</xdr:col>
          <xdr:colOff>57150</xdr:colOff>
          <xdr:row>14</xdr:row>
          <xdr:rowOff>161925</xdr:rowOff>
        </xdr:to>
        <xdr:sp macro="" textlink="">
          <xdr:nvSpPr>
            <xdr:cNvPr id="7175" name="話術" descr="話術" hidden="1">
              <a:extLst>
                <a:ext uri="{63B3BB69-23CF-44E3-9099-C40C66FF867C}">
                  <a14:compatExt spid="_x0000_s7175"/>
                </a:ext>
                <a:ext uri="{FF2B5EF4-FFF2-40B4-BE49-F238E27FC236}">
                  <a16:creationId xmlns:a16="http://schemas.microsoft.com/office/drawing/2014/main" id="{00000000-0008-0000-0600-0000071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1000" b="0" i="0" u="none" strike="noStrike" baseline="0">
                  <a:solidFill>
                    <a:srgbClr val="000000"/>
                  </a:solidFill>
                  <a:latin typeface="ＭＳ Ｐゴシック"/>
                  <a:ea typeface="ＭＳ Ｐゴシック"/>
                </a:rPr>
                <a:t>話術</a:t>
              </a:r>
            </a:p>
          </xdr:txBody>
        </xdr:sp>
        <xdr:clientData/>
      </xdr:twoCellAnchor>
    </mc:Choice>
    <mc:Fallback/>
  </mc:AlternateContent>
  <mc:AlternateContent xmlns:mc="http://schemas.openxmlformats.org/markup-compatibility/2006">
    <mc:Choice xmlns:a14="http://schemas.microsoft.com/office/drawing/2010/main" Requires="a14">
      <xdr:twoCellAnchor>
        <xdr:from>
          <xdr:col>5</xdr:col>
          <xdr:colOff>76200</xdr:colOff>
          <xdr:row>13</xdr:row>
          <xdr:rowOff>0</xdr:rowOff>
        </xdr:from>
        <xdr:to>
          <xdr:col>6</xdr:col>
          <xdr:colOff>57150</xdr:colOff>
          <xdr:row>13</xdr:row>
          <xdr:rowOff>161925</xdr:rowOff>
        </xdr:to>
        <xdr:sp macro="" textlink="">
          <xdr:nvSpPr>
            <xdr:cNvPr id="7176" name="隠密" descr="隠密" hidden="1">
              <a:extLst>
                <a:ext uri="{63B3BB69-23CF-44E3-9099-C40C66FF867C}">
                  <a14:compatExt spid="_x0000_s7176"/>
                </a:ext>
                <a:ext uri="{FF2B5EF4-FFF2-40B4-BE49-F238E27FC236}">
                  <a16:creationId xmlns:a16="http://schemas.microsoft.com/office/drawing/2014/main" id="{00000000-0008-0000-0600-0000081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1000" b="0" i="0" u="none" strike="noStrike" baseline="0">
                  <a:solidFill>
                    <a:srgbClr val="000000"/>
                  </a:solidFill>
                  <a:latin typeface="ＭＳ Ｐゴシック"/>
                  <a:ea typeface="ＭＳ Ｐゴシック"/>
                </a:rPr>
                <a:t>隠密</a:t>
              </a:r>
            </a:p>
          </xdr:txBody>
        </xdr:sp>
        <xdr:clientData/>
      </xdr:twoCellAnchor>
    </mc:Choice>
    <mc:Fallback/>
  </mc:AlternateContent>
  <mc:AlternateContent xmlns:mc="http://schemas.openxmlformats.org/markup-compatibility/2006">
    <mc:Choice xmlns:a14="http://schemas.microsoft.com/office/drawing/2010/main" Requires="a14">
      <xdr:twoCellAnchor>
        <xdr:from>
          <xdr:col>5</xdr:col>
          <xdr:colOff>76200</xdr:colOff>
          <xdr:row>12</xdr:row>
          <xdr:rowOff>0</xdr:rowOff>
        </xdr:from>
        <xdr:to>
          <xdr:col>6</xdr:col>
          <xdr:colOff>57150</xdr:colOff>
          <xdr:row>12</xdr:row>
          <xdr:rowOff>161925</xdr:rowOff>
        </xdr:to>
        <xdr:sp macro="" textlink="">
          <xdr:nvSpPr>
            <xdr:cNvPr id="7177" name="知識" descr="知識" hidden="1">
              <a:extLst>
                <a:ext uri="{63B3BB69-23CF-44E3-9099-C40C66FF867C}">
                  <a14:compatExt spid="_x0000_s7177"/>
                </a:ext>
                <a:ext uri="{FF2B5EF4-FFF2-40B4-BE49-F238E27FC236}">
                  <a16:creationId xmlns:a16="http://schemas.microsoft.com/office/drawing/2014/main" id="{00000000-0008-0000-0600-0000091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1000" b="0" i="0" u="none" strike="noStrike" baseline="0">
                  <a:solidFill>
                    <a:srgbClr val="000000"/>
                  </a:solidFill>
                  <a:latin typeface="ＭＳ Ｐゴシック"/>
                  <a:ea typeface="ＭＳ Ｐゴシック"/>
                </a:rPr>
                <a:t>知識</a:t>
              </a:r>
            </a:p>
          </xdr:txBody>
        </xdr:sp>
        <xdr:clientData/>
      </xdr:twoCellAnchor>
    </mc:Choice>
    <mc:Fallback/>
  </mc:AlternateContent>
  <mc:AlternateContent xmlns:mc="http://schemas.openxmlformats.org/markup-compatibility/2006">
    <mc:Choice xmlns:a14="http://schemas.microsoft.com/office/drawing/2010/main" Requires="a14">
      <xdr:twoCellAnchor>
        <xdr:from>
          <xdr:col>5</xdr:col>
          <xdr:colOff>76200</xdr:colOff>
          <xdr:row>11</xdr:row>
          <xdr:rowOff>0</xdr:rowOff>
        </xdr:from>
        <xdr:to>
          <xdr:col>6</xdr:col>
          <xdr:colOff>57150</xdr:colOff>
          <xdr:row>11</xdr:row>
          <xdr:rowOff>161925</xdr:rowOff>
        </xdr:to>
        <xdr:sp macro="" textlink="">
          <xdr:nvSpPr>
            <xdr:cNvPr id="7178" name="観察眼" descr="観察眼" hidden="1">
              <a:extLst>
                <a:ext uri="{63B3BB69-23CF-44E3-9099-C40C66FF867C}">
                  <a14:compatExt spid="_x0000_s7178"/>
                </a:ext>
                <a:ext uri="{FF2B5EF4-FFF2-40B4-BE49-F238E27FC236}">
                  <a16:creationId xmlns:a16="http://schemas.microsoft.com/office/drawing/2014/main" id="{00000000-0008-0000-0600-00000A1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1000" b="0" i="0" u="none" strike="noStrike" baseline="0">
                  <a:solidFill>
                    <a:srgbClr val="000000"/>
                  </a:solidFill>
                  <a:latin typeface="ＭＳ Ｐゴシック"/>
                  <a:ea typeface="ＭＳ Ｐゴシック"/>
                </a:rPr>
                <a:t>観察眼</a:t>
              </a:r>
            </a:p>
          </xdr:txBody>
        </xdr:sp>
        <xdr:clientData/>
      </xdr:twoCellAnchor>
    </mc:Choice>
    <mc:Fallback/>
  </mc:AlternateContent>
  <mc:AlternateContent xmlns:mc="http://schemas.openxmlformats.org/markup-compatibility/2006">
    <mc:Choice xmlns:a14="http://schemas.microsoft.com/office/drawing/2010/main" Requires="a14">
      <xdr:twoCellAnchor>
        <xdr:from>
          <xdr:col>5</xdr:col>
          <xdr:colOff>76200</xdr:colOff>
          <xdr:row>10</xdr:row>
          <xdr:rowOff>0</xdr:rowOff>
        </xdr:from>
        <xdr:to>
          <xdr:col>6</xdr:col>
          <xdr:colOff>57150</xdr:colOff>
          <xdr:row>10</xdr:row>
          <xdr:rowOff>161925</xdr:rowOff>
        </xdr:to>
        <xdr:sp macro="" textlink="">
          <xdr:nvSpPr>
            <xdr:cNvPr id="7179" name="力技" descr="力技" hidden="1">
              <a:extLst>
                <a:ext uri="{63B3BB69-23CF-44E3-9099-C40C66FF867C}">
                  <a14:compatExt spid="_x0000_s7179"/>
                </a:ext>
                <a:ext uri="{FF2B5EF4-FFF2-40B4-BE49-F238E27FC236}">
                  <a16:creationId xmlns:a16="http://schemas.microsoft.com/office/drawing/2014/main" id="{00000000-0008-0000-0600-00000B1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1000" b="0" i="0" u="none" strike="noStrike" baseline="0">
                  <a:solidFill>
                    <a:srgbClr val="000000"/>
                  </a:solidFill>
                  <a:latin typeface="ＭＳ Ｐゴシック"/>
                  <a:ea typeface="ＭＳ Ｐゴシック"/>
                </a:rPr>
                <a:t>力技</a:t>
              </a:r>
            </a:p>
          </xdr:txBody>
        </xdr:sp>
        <xdr:clientData/>
      </xdr:twoCellAnchor>
    </mc:Choice>
    <mc:Fallback/>
  </mc:AlternateContent>
  <mc:AlternateContent xmlns:mc="http://schemas.openxmlformats.org/markup-compatibility/2006">
    <mc:Choice xmlns:a14="http://schemas.microsoft.com/office/drawing/2010/main" Requires="a14">
      <xdr:twoCellAnchor>
        <xdr:from>
          <xdr:col>6</xdr:col>
          <xdr:colOff>76200</xdr:colOff>
          <xdr:row>10</xdr:row>
          <xdr:rowOff>0</xdr:rowOff>
        </xdr:from>
        <xdr:to>
          <xdr:col>7</xdr:col>
          <xdr:colOff>57150</xdr:colOff>
          <xdr:row>10</xdr:row>
          <xdr:rowOff>161925</xdr:rowOff>
        </xdr:to>
        <xdr:sp macro="" textlink="">
          <xdr:nvSpPr>
            <xdr:cNvPr id="7180" name="威圧" descr="威圧" hidden="1">
              <a:extLst>
                <a:ext uri="{63B3BB69-23CF-44E3-9099-C40C66FF867C}">
                  <a14:compatExt spid="_x0000_s7180"/>
                </a:ext>
                <a:ext uri="{FF2B5EF4-FFF2-40B4-BE49-F238E27FC236}">
                  <a16:creationId xmlns:a16="http://schemas.microsoft.com/office/drawing/2014/main" id="{00000000-0008-0000-0600-00000C1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1000" b="0" i="0" u="none" strike="noStrike" baseline="0">
                  <a:solidFill>
                    <a:srgbClr val="000000"/>
                  </a:solidFill>
                  <a:latin typeface="ＭＳ Ｐゴシック"/>
                  <a:ea typeface="ＭＳ Ｐゴシック"/>
                </a:rPr>
                <a:t>威圧</a:t>
              </a:r>
            </a:p>
          </xdr:txBody>
        </xdr:sp>
        <xdr:clientData/>
      </xdr:twoCellAnchor>
    </mc:Choice>
    <mc:Fallback/>
  </mc:AlternateContent>
  <xdr:twoCellAnchor editAs="oneCell">
    <xdr:from>
      <xdr:col>8</xdr:col>
      <xdr:colOff>0</xdr:colOff>
      <xdr:row>8</xdr:row>
      <xdr:rowOff>0</xdr:rowOff>
    </xdr:from>
    <xdr:to>
      <xdr:col>12</xdr:col>
      <xdr:colOff>663847</xdr:colOff>
      <xdr:row>29</xdr:row>
      <xdr:rowOff>0</xdr:rowOff>
    </xdr:to>
    <xdr:pic>
      <xdr:nvPicPr>
        <xdr:cNvPr id="14" name="図 13">
          <a:extLst>
            <a:ext uri="{FF2B5EF4-FFF2-40B4-BE49-F238E27FC236}">
              <a16:creationId xmlns:a16="http://schemas.microsoft.com/office/drawing/2014/main" id="{00000000-0008-0000-0600-00000E000000}"/>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l="-5986" t="-46615" r="-5473" b="-35880"/>
        <a:stretch/>
      </xdr:blipFill>
      <xdr:spPr>
        <a:xfrm>
          <a:off x="5547360" y="1402080"/>
          <a:ext cx="3456577" cy="368046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xdr:from>
      <xdr:col>25</xdr:col>
      <xdr:colOff>449580</xdr:colOff>
      <xdr:row>10</xdr:row>
      <xdr:rowOff>114300</xdr:rowOff>
    </xdr:from>
    <xdr:to>
      <xdr:col>31</xdr:col>
      <xdr:colOff>121920</xdr:colOff>
      <xdr:row>17</xdr:row>
      <xdr:rowOff>53340</xdr:rowOff>
    </xdr:to>
    <xdr:graphicFrame macro="">
      <xdr:nvGraphicFramePr>
        <xdr:cNvPr id="10" name="グラフ 9">
          <a:extLst>
            <a:ext uri="{FF2B5EF4-FFF2-40B4-BE49-F238E27FC236}">
              <a16:creationId xmlns:a16="http://schemas.microsoft.com/office/drawing/2014/main" id="{00000000-0008-0000-0A00-00000A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a:themeElements>
    <a:clrScheme name="キャラシ用標準パターン">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A89D6"/>
      </a:accent5>
      <a:accent6>
        <a:srgbClr val="6777BD"/>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a:solidFill>
          <a:srgbClr xmlns:mc="http://schemas.openxmlformats.org/markup-compatibility/2006" xmlns:a14="http://schemas.microsoft.com/office/drawing/2010/main" val="FFFFFF" mc:Ignorable="a14" a14:legacySpreadsheetColorIndex="9"/>
        </a:solidFill>
        <a:ln w="9525" cap="flat" cmpd="sng">
          <a:solidFill>
            <a:srgbClr xmlns:mc="http://schemas.openxmlformats.org/markup-compatibility/2006" xmlns:a14="http://schemas.microsoft.com/office/drawing/2010/main" val="000000" mc:Ignorable="a14" a14:legacySpreadsheetColorIndex="64"/>
          </a:solidFill>
          <a:prstDash val="solid"/>
          <a:headEnd type="none" w="med" len="med"/>
          <a:tailEnd type="none" w="med" len="med"/>
        </a:ln>
      </a:spPr>
      <a:bodyPr/>
      <a:lstStyle/>
    </a:spDef>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8" Type="http://schemas.openxmlformats.org/officeDocument/2006/relationships/ctrlProp" Target="../ctrlProps/ctrlProp5.xml"/><Relationship Id="rId13" Type="http://schemas.openxmlformats.org/officeDocument/2006/relationships/ctrlProp" Target="../ctrlProps/ctrlProp10.xml"/><Relationship Id="rId3" Type="http://schemas.openxmlformats.org/officeDocument/2006/relationships/vmlDrawing" Target="../drawings/vmlDrawing1.vml"/><Relationship Id="rId7" Type="http://schemas.openxmlformats.org/officeDocument/2006/relationships/ctrlProp" Target="../ctrlProps/ctrlProp4.xml"/><Relationship Id="rId12" Type="http://schemas.openxmlformats.org/officeDocument/2006/relationships/ctrlProp" Target="../ctrlProps/ctrlProp9.xml"/><Relationship Id="rId2" Type="http://schemas.openxmlformats.org/officeDocument/2006/relationships/drawing" Target="../drawings/drawing2.xml"/><Relationship Id="rId1" Type="http://schemas.openxmlformats.org/officeDocument/2006/relationships/printerSettings" Target="../printerSettings/printerSettings1.bin"/><Relationship Id="rId6" Type="http://schemas.openxmlformats.org/officeDocument/2006/relationships/ctrlProp" Target="../ctrlProps/ctrlProp3.xml"/><Relationship Id="rId11" Type="http://schemas.openxmlformats.org/officeDocument/2006/relationships/ctrlProp" Target="../ctrlProps/ctrlProp8.xml"/><Relationship Id="rId5" Type="http://schemas.openxmlformats.org/officeDocument/2006/relationships/ctrlProp" Target="../ctrlProps/ctrlProp2.xml"/><Relationship Id="rId15" Type="http://schemas.openxmlformats.org/officeDocument/2006/relationships/ctrlProp" Target="../ctrlProps/ctrlProp12.xml"/><Relationship Id="rId10" Type="http://schemas.openxmlformats.org/officeDocument/2006/relationships/ctrlProp" Target="../ctrlProps/ctrlProp7.xml"/><Relationship Id="rId4" Type="http://schemas.openxmlformats.org/officeDocument/2006/relationships/ctrlProp" Target="../ctrlProps/ctrlProp1.xml"/><Relationship Id="rId9" Type="http://schemas.openxmlformats.org/officeDocument/2006/relationships/ctrlProp" Target="../ctrlProps/ctrlProp6.xml"/><Relationship Id="rId14" Type="http://schemas.openxmlformats.org/officeDocument/2006/relationships/ctrlProp" Target="../ctrlProps/ctrlProp11.xml"/></Relationships>
</file>

<file path=xl/worksheets/_rels/sheet6.xml.rels><?xml version="1.0" encoding="UTF-8" standalone="yes"?>
<Relationships xmlns="http://schemas.openxmlformats.org/package/2006/relationships"><Relationship Id="rId8" Type="http://schemas.openxmlformats.org/officeDocument/2006/relationships/ctrlProp" Target="../ctrlProps/ctrlProp18.xml"/><Relationship Id="rId13" Type="http://schemas.openxmlformats.org/officeDocument/2006/relationships/ctrlProp" Target="../ctrlProps/ctrlProp23.xml"/><Relationship Id="rId3" Type="http://schemas.openxmlformats.org/officeDocument/2006/relationships/ctrlProp" Target="../ctrlProps/ctrlProp13.xml"/><Relationship Id="rId7" Type="http://schemas.openxmlformats.org/officeDocument/2006/relationships/ctrlProp" Target="../ctrlProps/ctrlProp17.xml"/><Relationship Id="rId12" Type="http://schemas.openxmlformats.org/officeDocument/2006/relationships/ctrlProp" Target="../ctrlProps/ctrlProp22.xml"/><Relationship Id="rId2" Type="http://schemas.openxmlformats.org/officeDocument/2006/relationships/vmlDrawing" Target="../drawings/vmlDrawing2.vml"/><Relationship Id="rId1" Type="http://schemas.openxmlformats.org/officeDocument/2006/relationships/drawing" Target="../drawings/drawing3.xml"/><Relationship Id="rId6" Type="http://schemas.openxmlformats.org/officeDocument/2006/relationships/ctrlProp" Target="../ctrlProps/ctrlProp16.xml"/><Relationship Id="rId11" Type="http://schemas.openxmlformats.org/officeDocument/2006/relationships/ctrlProp" Target="../ctrlProps/ctrlProp21.xml"/><Relationship Id="rId5" Type="http://schemas.openxmlformats.org/officeDocument/2006/relationships/ctrlProp" Target="../ctrlProps/ctrlProp15.xml"/><Relationship Id="rId10" Type="http://schemas.openxmlformats.org/officeDocument/2006/relationships/ctrlProp" Target="../ctrlProps/ctrlProp20.xml"/><Relationship Id="rId4" Type="http://schemas.openxmlformats.org/officeDocument/2006/relationships/ctrlProp" Target="../ctrlProps/ctrlProp14.xml"/><Relationship Id="rId9" Type="http://schemas.openxmlformats.org/officeDocument/2006/relationships/ctrlProp" Target="../ctrlProps/ctrlProp19.xml"/><Relationship Id="rId14" Type="http://schemas.openxmlformats.org/officeDocument/2006/relationships/ctrlProp" Target="../ctrlProps/ctrlProp24.xml"/></Relationships>
</file>

<file path=xl/worksheets/_rels/sheet7.xml.rels><?xml version="1.0" encoding="UTF-8" standalone="yes"?>
<Relationships xmlns="http://schemas.openxmlformats.org/package/2006/relationships"><Relationship Id="rId8" Type="http://schemas.openxmlformats.org/officeDocument/2006/relationships/ctrlProp" Target="../ctrlProps/ctrlProp30.xml"/><Relationship Id="rId13" Type="http://schemas.openxmlformats.org/officeDocument/2006/relationships/ctrlProp" Target="../ctrlProps/ctrlProp35.xml"/><Relationship Id="rId3" Type="http://schemas.openxmlformats.org/officeDocument/2006/relationships/ctrlProp" Target="../ctrlProps/ctrlProp25.xml"/><Relationship Id="rId7" Type="http://schemas.openxmlformats.org/officeDocument/2006/relationships/ctrlProp" Target="../ctrlProps/ctrlProp29.xml"/><Relationship Id="rId12" Type="http://schemas.openxmlformats.org/officeDocument/2006/relationships/ctrlProp" Target="../ctrlProps/ctrlProp34.xml"/><Relationship Id="rId2" Type="http://schemas.openxmlformats.org/officeDocument/2006/relationships/vmlDrawing" Target="../drawings/vmlDrawing3.vml"/><Relationship Id="rId1" Type="http://schemas.openxmlformats.org/officeDocument/2006/relationships/drawing" Target="../drawings/drawing4.xml"/><Relationship Id="rId6" Type="http://schemas.openxmlformats.org/officeDocument/2006/relationships/ctrlProp" Target="../ctrlProps/ctrlProp28.xml"/><Relationship Id="rId11" Type="http://schemas.openxmlformats.org/officeDocument/2006/relationships/ctrlProp" Target="../ctrlProps/ctrlProp33.xml"/><Relationship Id="rId5" Type="http://schemas.openxmlformats.org/officeDocument/2006/relationships/ctrlProp" Target="../ctrlProps/ctrlProp27.xml"/><Relationship Id="rId10" Type="http://schemas.openxmlformats.org/officeDocument/2006/relationships/ctrlProp" Target="../ctrlProps/ctrlProp32.xml"/><Relationship Id="rId4" Type="http://schemas.openxmlformats.org/officeDocument/2006/relationships/ctrlProp" Target="../ctrlProps/ctrlProp26.xml"/><Relationship Id="rId9" Type="http://schemas.openxmlformats.org/officeDocument/2006/relationships/ctrlProp" Target="../ctrlProps/ctrlProp31.xml"/><Relationship Id="rId14" Type="http://schemas.openxmlformats.org/officeDocument/2006/relationships/ctrlProp" Target="../ctrlProps/ctrlProp36.xml"/></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AMF164"/>
  <sheetViews>
    <sheetView zoomScaleNormal="100" workbookViewId="0"/>
  </sheetViews>
  <sheetFormatPr defaultColWidth="10.28515625" defaultRowHeight="12.75" customHeight="1" x14ac:dyDescent="0.15"/>
  <cols>
    <col min="1" max="2" width="10.28515625" style="627"/>
    <col min="3" max="3" width="21.28515625" style="627" customWidth="1"/>
    <col min="4" max="33" width="10.28515625" style="627"/>
    <col min="34" max="34" width="32.42578125" style="627" customWidth="1"/>
    <col min="35" max="52" width="10.28515625" style="627"/>
    <col min="53" max="53" width="21.85546875" style="627" bestFit="1" customWidth="1"/>
    <col min="54" max="56" width="10.28515625" style="627"/>
    <col min="57" max="57" width="21.5703125" style="627" customWidth="1"/>
    <col min="58" max="58" width="10.28515625" style="485"/>
    <col min="59" max="59" width="10.28515625" style="486"/>
    <col min="60" max="73" width="10.28515625" style="436"/>
    <col min="74" max="1020" width="10.28515625" style="627"/>
    <col min="1021" max="16384" width="10.28515625" style="436"/>
  </cols>
  <sheetData>
    <row r="1" spans="1:59" ht="16.899999999999999" customHeight="1" x14ac:dyDescent="0.15">
      <c r="A1" s="627" t="s">
        <v>0</v>
      </c>
      <c r="C1" s="627" t="s">
        <v>1</v>
      </c>
      <c r="D1" s="627" t="s">
        <v>1</v>
      </c>
      <c r="F1" s="627" t="s">
        <v>2</v>
      </c>
      <c r="H1" s="627" t="s">
        <v>3</v>
      </c>
      <c r="K1" s="627" t="s">
        <v>4</v>
      </c>
      <c r="M1" s="627" t="s">
        <v>5</v>
      </c>
      <c r="P1" s="627" t="s">
        <v>6</v>
      </c>
      <c r="R1" s="627" t="s">
        <v>7</v>
      </c>
      <c r="T1" s="627" t="s">
        <v>8</v>
      </c>
      <c r="V1" s="627" t="s">
        <v>9</v>
      </c>
      <c r="X1" s="627" t="s">
        <v>10</v>
      </c>
      <c r="Z1" s="627" t="s">
        <v>11</v>
      </c>
      <c r="AH1" s="627" t="s">
        <v>12</v>
      </c>
      <c r="AI1" s="627" t="s">
        <v>449</v>
      </c>
      <c r="AN1" s="627" t="s">
        <v>13</v>
      </c>
      <c r="AP1" s="627" t="s">
        <v>14</v>
      </c>
      <c r="AR1" s="627" t="s">
        <v>15</v>
      </c>
      <c r="AU1" s="627" t="s">
        <v>16</v>
      </c>
      <c r="AW1" s="627" t="s">
        <v>17</v>
      </c>
      <c r="BB1" s="627" t="s">
        <v>4</v>
      </c>
      <c r="BC1" s="627" t="s">
        <v>853</v>
      </c>
      <c r="BE1" s="627" t="s">
        <v>15</v>
      </c>
      <c r="BF1" s="485" t="s">
        <v>853</v>
      </c>
      <c r="BG1" s="628" t="s">
        <v>852</v>
      </c>
    </row>
    <row r="2" spans="1:59" ht="12.75" customHeight="1" x14ac:dyDescent="0.15">
      <c r="A2" s="487" t="s">
        <v>18</v>
      </c>
      <c r="C2" s="487" t="s">
        <v>18</v>
      </c>
      <c r="D2" s="487" t="s">
        <v>18</v>
      </c>
      <c r="F2" s="487" t="s">
        <v>18</v>
      </c>
      <c r="H2" s="487" t="s">
        <v>18</v>
      </c>
      <c r="K2" s="487" t="s">
        <v>18</v>
      </c>
      <c r="M2" s="487" t="s">
        <v>18</v>
      </c>
      <c r="P2" s="627" t="s">
        <v>19</v>
      </c>
      <c r="R2" s="627">
        <v>-2</v>
      </c>
      <c r="T2" s="487" t="s">
        <v>18</v>
      </c>
      <c r="V2" s="487" t="s">
        <v>18</v>
      </c>
      <c r="X2" s="487" t="s">
        <v>18</v>
      </c>
      <c r="Z2" s="487" t="s">
        <v>18</v>
      </c>
      <c r="AB2" s="487" t="s">
        <v>18</v>
      </c>
      <c r="AD2" s="487">
        <v>0</v>
      </c>
      <c r="AF2" s="487" t="s">
        <v>18</v>
      </c>
      <c r="AH2" s="487" t="s">
        <v>18</v>
      </c>
      <c r="AN2" s="487" t="s">
        <v>18</v>
      </c>
      <c r="AP2" s="487" t="s">
        <v>18</v>
      </c>
      <c r="AR2" s="487" t="s">
        <v>18</v>
      </c>
      <c r="AU2" s="487" t="s">
        <v>18</v>
      </c>
      <c r="AW2" s="487" t="s">
        <v>18</v>
      </c>
      <c r="BA2" s="486" t="s">
        <v>18</v>
      </c>
      <c r="BB2" s="487" t="s">
        <v>18</v>
      </c>
      <c r="BC2" s="487">
        <v>0</v>
      </c>
      <c r="BE2" s="487" t="s">
        <v>18</v>
      </c>
      <c r="BF2" s="487">
        <v>0</v>
      </c>
      <c r="BG2" s="487">
        <v>0</v>
      </c>
    </row>
    <row r="3" spans="1:59" ht="12.75" customHeight="1" x14ac:dyDescent="0.15">
      <c r="A3" s="627" t="s">
        <v>20</v>
      </c>
      <c r="C3" s="627" t="s">
        <v>21</v>
      </c>
      <c r="D3" s="627" t="s">
        <v>22</v>
      </c>
      <c r="F3" s="627" t="s">
        <v>23</v>
      </c>
      <c r="H3" s="627" t="s">
        <v>24</v>
      </c>
      <c r="K3" s="627" t="s">
        <v>25</v>
      </c>
      <c r="M3" s="627" t="s">
        <v>26</v>
      </c>
      <c r="P3" s="627" t="s">
        <v>27</v>
      </c>
      <c r="R3" s="627">
        <v>-1</v>
      </c>
      <c r="T3" s="627" t="s">
        <v>28</v>
      </c>
      <c r="V3" s="627" t="s">
        <v>29</v>
      </c>
      <c r="X3" s="627" t="s">
        <v>30</v>
      </c>
      <c r="Z3" s="627" t="s">
        <v>31</v>
      </c>
      <c r="AB3" s="627" t="s">
        <v>32</v>
      </c>
      <c r="AD3" s="627">
        <v>1</v>
      </c>
      <c r="AF3" s="627" t="s">
        <v>33</v>
      </c>
      <c r="AH3" s="627" t="s">
        <v>34</v>
      </c>
      <c r="AI3" s="627">
        <v>0</v>
      </c>
      <c r="AN3" s="627" t="s">
        <v>35</v>
      </c>
      <c r="AP3" s="627" t="s">
        <v>36</v>
      </c>
      <c r="AR3" s="436" t="s">
        <v>37</v>
      </c>
      <c r="AU3" s="627" t="s">
        <v>38</v>
      </c>
      <c r="AW3" s="627" t="s">
        <v>39</v>
      </c>
      <c r="BA3" s="627" t="s">
        <v>40</v>
      </c>
      <c r="BB3" s="627" t="s">
        <v>25</v>
      </c>
      <c r="BC3" s="485">
        <v>1</v>
      </c>
      <c r="BE3" s="436" t="s">
        <v>37</v>
      </c>
      <c r="BF3" s="485">
        <v>1</v>
      </c>
      <c r="BG3" s="485">
        <v>1</v>
      </c>
    </row>
    <row r="4" spans="1:59" ht="12.75" customHeight="1" x14ac:dyDescent="0.15">
      <c r="A4" s="627" t="s">
        <v>41</v>
      </c>
      <c r="C4" s="627" t="s">
        <v>22</v>
      </c>
      <c r="D4" s="627" t="s">
        <v>42</v>
      </c>
      <c r="F4" s="627" t="s">
        <v>43</v>
      </c>
      <c r="H4" s="627" t="s">
        <v>44</v>
      </c>
      <c r="K4" s="627" t="s">
        <v>45</v>
      </c>
      <c r="M4" s="627" t="s">
        <v>46</v>
      </c>
      <c r="P4" s="627" t="s">
        <v>47</v>
      </c>
      <c r="R4" s="627">
        <v>0</v>
      </c>
      <c r="T4" s="627" t="s">
        <v>48</v>
      </c>
      <c r="V4" s="627" t="s">
        <v>49</v>
      </c>
      <c r="X4" s="627" t="s">
        <v>50</v>
      </c>
      <c r="Z4" s="627" t="s">
        <v>51</v>
      </c>
      <c r="AB4" s="627" t="s">
        <v>52</v>
      </c>
      <c r="AD4" s="627">
        <v>2</v>
      </c>
      <c r="AF4" s="436"/>
      <c r="AH4" s="627" t="s">
        <v>53</v>
      </c>
      <c r="AI4" s="627">
        <v>4</v>
      </c>
      <c r="AN4" s="627" t="s">
        <v>54</v>
      </c>
      <c r="AP4" s="627" t="s">
        <v>55</v>
      </c>
      <c r="AR4" s="436" t="s">
        <v>56</v>
      </c>
      <c r="AU4" s="627" t="s">
        <v>57</v>
      </c>
      <c r="AW4" s="627" t="s">
        <v>58</v>
      </c>
      <c r="BA4" s="627" t="s">
        <v>59</v>
      </c>
      <c r="BB4" s="627" t="s">
        <v>45</v>
      </c>
      <c r="BC4" s="485">
        <v>1</v>
      </c>
      <c r="BE4" s="436" t="s">
        <v>56</v>
      </c>
      <c r="BF4" s="485">
        <v>1</v>
      </c>
      <c r="BG4" s="485">
        <v>1</v>
      </c>
    </row>
    <row r="5" spans="1:59" ht="12.75" customHeight="1" x14ac:dyDescent="0.15">
      <c r="A5" s="627" t="s">
        <v>60</v>
      </c>
      <c r="C5" s="627" t="s">
        <v>42</v>
      </c>
      <c r="D5" s="627" t="s">
        <v>61</v>
      </c>
      <c r="F5" s="627" t="s">
        <v>62</v>
      </c>
      <c r="H5" s="627" t="s">
        <v>63</v>
      </c>
      <c r="K5" s="627" t="s">
        <v>64</v>
      </c>
      <c r="M5" s="627" t="s">
        <v>65</v>
      </c>
      <c r="R5" s="627">
        <v>1</v>
      </c>
      <c r="T5" s="627" t="s">
        <v>66</v>
      </c>
      <c r="V5" s="627" t="s">
        <v>67</v>
      </c>
      <c r="X5" s="627" t="s">
        <v>68</v>
      </c>
      <c r="Z5" s="627" t="s">
        <v>69</v>
      </c>
      <c r="AB5" s="627" t="s">
        <v>70</v>
      </c>
      <c r="AD5" s="627">
        <v>3</v>
      </c>
      <c r="AF5" s="487" t="s">
        <v>18</v>
      </c>
      <c r="AH5" s="627" t="s">
        <v>71</v>
      </c>
      <c r="AI5" s="627">
        <v>3</v>
      </c>
      <c r="AN5" s="627" t="s">
        <v>72</v>
      </c>
      <c r="AP5" s="627" t="s">
        <v>73</v>
      </c>
      <c r="AR5" s="436" t="s">
        <v>74</v>
      </c>
      <c r="AU5" s="627" t="s">
        <v>75</v>
      </c>
      <c r="AW5" s="627" t="s">
        <v>76</v>
      </c>
      <c r="BA5" s="627" t="s">
        <v>1155</v>
      </c>
      <c r="BB5" s="627" t="s">
        <v>64</v>
      </c>
      <c r="BC5" s="485">
        <v>1</v>
      </c>
      <c r="BE5" s="436" t="s">
        <v>74</v>
      </c>
      <c r="BF5" s="485">
        <v>1</v>
      </c>
      <c r="BG5" s="485">
        <v>1</v>
      </c>
    </row>
    <row r="6" spans="1:59" ht="12.75" customHeight="1" x14ac:dyDescent="0.15">
      <c r="A6" s="627" t="s">
        <v>77</v>
      </c>
      <c r="C6" s="627" t="s">
        <v>61</v>
      </c>
      <c r="D6" s="627" t="s">
        <v>78</v>
      </c>
      <c r="F6" s="436" t="s">
        <v>79</v>
      </c>
      <c r="H6" s="627" t="s">
        <v>80</v>
      </c>
      <c r="K6" s="436" t="s">
        <v>81</v>
      </c>
      <c r="M6" s="436" t="s">
        <v>82</v>
      </c>
      <c r="R6" s="627">
        <v>2</v>
      </c>
      <c r="T6" s="627" t="s">
        <v>83</v>
      </c>
      <c r="V6" s="627" t="s">
        <v>84</v>
      </c>
      <c r="X6" s="627" t="s">
        <v>85</v>
      </c>
      <c r="Z6" s="627" t="s">
        <v>86</v>
      </c>
      <c r="AB6" s="436"/>
      <c r="AD6" s="627">
        <v>4</v>
      </c>
      <c r="AF6" s="627" t="s">
        <v>87</v>
      </c>
      <c r="AH6" s="627" t="s">
        <v>88</v>
      </c>
      <c r="AI6" s="627">
        <v>3</v>
      </c>
      <c r="AN6" s="627" t="s">
        <v>89</v>
      </c>
      <c r="AP6" s="627" t="s">
        <v>90</v>
      </c>
      <c r="AR6" s="436" t="s">
        <v>91</v>
      </c>
      <c r="AU6" s="627" t="s">
        <v>92</v>
      </c>
      <c r="AW6" s="627" t="s">
        <v>93</v>
      </c>
      <c r="BA6" s="627" t="s">
        <v>1156</v>
      </c>
      <c r="BB6" s="436" t="s">
        <v>81</v>
      </c>
      <c r="BC6" s="485">
        <v>0</v>
      </c>
      <c r="BE6" s="436" t="s">
        <v>91</v>
      </c>
      <c r="BF6" s="485">
        <v>2</v>
      </c>
      <c r="BG6" s="485">
        <v>2</v>
      </c>
    </row>
    <row r="7" spans="1:59" ht="12.75" customHeight="1" x14ac:dyDescent="0.15">
      <c r="A7" s="627" t="s">
        <v>94</v>
      </c>
      <c r="C7" s="627" t="s">
        <v>78</v>
      </c>
      <c r="D7" s="436"/>
      <c r="F7" s="627" t="s">
        <v>95</v>
      </c>
      <c r="K7" s="627" t="s">
        <v>96</v>
      </c>
      <c r="M7" s="627" t="s">
        <v>97</v>
      </c>
      <c r="R7" s="627">
        <v>3</v>
      </c>
      <c r="T7" s="627" t="s">
        <v>98</v>
      </c>
      <c r="V7" s="627" t="s">
        <v>40</v>
      </c>
      <c r="X7" s="627" t="s">
        <v>99</v>
      </c>
      <c r="Z7" s="627" t="s">
        <v>100</v>
      </c>
      <c r="AD7" s="627">
        <v>5</v>
      </c>
      <c r="AF7" s="436"/>
      <c r="AH7" s="627" t="s">
        <v>101</v>
      </c>
      <c r="AI7" s="627">
        <v>3</v>
      </c>
      <c r="AN7" s="627" t="s">
        <v>102</v>
      </c>
      <c r="AP7" s="627" t="s">
        <v>103</v>
      </c>
      <c r="AR7" s="436" t="s">
        <v>104</v>
      </c>
      <c r="AU7" s="627" t="s">
        <v>105</v>
      </c>
      <c r="AW7" s="627" t="s">
        <v>106</v>
      </c>
      <c r="BA7" s="629" t="s">
        <v>1160</v>
      </c>
      <c r="BB7" s="627" t="s">
        <v>96</v>
      </c>
      <c r="BC7" s="485">
        <v>2</v>
      </c>
      <c r="BE7" s="436" t="s">
        <v>104</v>
      </c>
      <c r="BF7" s="485">
        <v>1</v>
      </c>
      <c r="BG7" s="485">
        <v>1</v>
      </c>
    </row>
    <row r="8" spans="1:59" ht="12.75" customHeight="1" x14ac:dyDescent="0.15">
      <c r="A8" s="627" t="s">
        <v>107</v>
      </c>
      <c r="C8" s="436"/>
      <c r="F8" s="627" t="s">
        <v>108</v>
      </c>
      <c r="K8" s="627" t="s">
        <v>109</v>
      </c>
      <c r="M8" s="627" t="s">
        <v>110</v>
      </c>
      <c r="T8" s="627" t="s">
        <v>111</v>
      </c>
      <c r="V8" s="436" t="s">
        <v>112</v>
      </c>
      <c r="X8" s="627" t="s">
        <v>113</v>
      </c>
      <c r="Z8" s="627" t="s">
        <v>114</v>
      </c>
      <c r="AD8" s="627">
        <v>6</v>
      </c>
      <c r="AF8" s="487" t="s">
        <v>18</v>
      </c>
      <c r="AH8" s="627" t="s">
        <v>115</v>
      </c>
      <c r="AI8" s="627">
        <v>3</v>
      </c>
      <c r="AN8" s="627" t="s">
        <v>116</v>
      </c>
      <c r="AP8" s="627" t="s">
        <v>117</v>
      </c>
      <c r="AR8" s="436" t="s">
        <v>118</v>
      </c>
      <c r="AU8" s="627" t="s">
        <v>119</v>
      </c>
      <c r="AW8" s="627" t="s">
        <v>120</v>
      </c>
      <c r="BA8" s="629" t="s">
        <v>1161</v>
      </c>
      <c r="BB8" s="627" t="s">
        <v>109</v>
      </c>
      <c r="BC8" s="485">
        <v>2</v>
      </c>
      <c r="BE8" s="436" t="s">
        <v>118</v>
      </c>
      <c r="BF8" s="485">
        <v>1</v>
      </c>
      <c r="BG8" s="485">
        <v>1</v>
      </c>
    </row>
    <row r="9" spans="1:59" ht="12.75" customHeight="1" x14ac:dyDescent="0.15">
      <c r="F9" s="627" t="s">
        <v>1145</v>
      </c>
      <c r="K9" s="627" t="s">
        <v>121</v>
      </c>
      <c r="M9" s="627" t="s">
        <v>122</v>
      </c>
      <c r="X9" s="627" t="s">
        <v>123</v>
      </c>
      <c r="Z9" s="436" t="s">
        <v>124</v>
      </c>
      <c r="AD9" s="627">
        <v>7</v>
      </c>
      <c r="AF9" s="627" t="s">
        <v>125</v>
      </c>
      <c r="AH9" s="627" t="s">
        <v>126</v>
      </c>
      <c r="AI9" s="627">
        <v>3</v>
      </c>
      <c r="AN9" s="627" t="s">
        <v>127</v>
      </c>
      <c r="AP9" s="627" t="s">
        <v>128</v>
      </c>
      <c r="AR9" s="627" t="s">
        <v>129</v>
      </c>
      <c r="AW9" s="627" t="s">
        <v>130</v>
      </c>
      <c r="BA9" s="629" t="s">
        <v>1162</v>
      </c>
      <c r="BB9" s="627" t="s">
        <v>121</v>
      </c>
      <c r="BC9" s="485">
        <v>0</v>
      </c>
      <c r="BE9" s="627" t="s">
        <v>129</v>
      </c>
      <c r="BF9" s="485">
        <v>1</v>
      </c>
      <c r="BG9" s="485">
        <v>2</v>
      </c>
    </row>
    <row r="10" spans="1:59" ht="12.75" customHeight="1" x14ac:dyDescent="0.15">
      <c r="K10" s="627" t="s">
        <v>131</v>
      </c>
      <c r="Q10" s="627" t="s">
        <v>132</v>
      </c>
      <c r="V10" s="436"/>
      <c r="X10" s="627" t="s">
        <v>133</v>
      </c>
      <c r="Z10" s="436" t="s">
        <v>134</v>
      </c>
      <c r="AD10" s="627">
        <v>8</v>
      </c>
      <c r="AF10" s="436"/>
      <c r="AH10" s="627" t="s">
        <v>135</v>
      </c>
      <c r="AI10" s="627">
        <v>3</v>
      </c>
      <c r="AN10" s="627" t="s">
        <v>136</v>
      </c>
      <c r="AP10" s="627" t="s">
        <v>137</v>
      </c>
      <c r="AR10" s="627" t="s">
        <v>138</v>
      </c>
      <c r="AW10" s="627" t="s">
        <v>139</v>
      </c>
      <c r="BA10" s="630" t="s">
        <v>1164</v>
      </c>
      <c r="BB10" s="627" t="s">
        <v>131</v>
      </c>
      <c r="BC10" s="485">
        <v>3</v>
      </c>
      <c r="BE10" s="627" t="s">
        <v>138</v>
      </c>
      <c r="BF10" s="485">
        <v>1</v>
      </c>
      <c r="BG10" s="485">
        <v>2</v>
      </c>
    </row>
    <row r="11" spans="1:59" ht="12.75" customHeight="1" x14ac:dyDescent="0.15">
      <c r="F11" s="627" t="s">
        <v>140</v>
      </c>
      <c r="K11" s="627" t="s">
        <v>141</v>
      </c>
      <c r="Q11" s="487" t="s">
        <v>18</v>
      </c>
      <c r="V11" s="436"/>
      <c r="X11" s="627" t="s">
        <v>142</v>
      </c>
      <c r="Z11" s="627" t="s">
        <v>143</v>
      </c>
      <c r="AD11" s="627">
        <v>9</v>
      </c>
      <c r="AF11" s="487" t="s">
        <v>18</v>
      </c>
      <c r="AH11" s="627" t="s">
        <v>144</v>
      </c>
      <c r="AI11" s="627">
        <v>2</v>
      </c>
      <c r="AN11" s="627" t="s">
        <v>145</v>
      </c>
      <c r="AP11" s="627" t="s">
        <v>146</v>
      </c>
      <c r="AR11" s="627" t="s">
        <v>147</v>
      </c>
      <c r="AW11" s="627" t="s">
        <v>148</v>
      </c>
      <c r="BA11" s="629" t="s">
        <v>1163</v>
      </c>
      <c r="BB11" s="627" t="s">
        <v>141</v>
      </c>
      <c r="BC11" s="485">
        <v>1</v>
      </c>
      <c r="BD11" s="485"/>
      <c r="BE11" s="627" t="s">
        <v>147</v>
      </c>
      <c r="BF11" s="485">
        <v>1</v>
      </c>
      <c r="BG11" s="485">
        <v>2</v>
      </c>
    </row>
    <row r="12" spans="1:59" ht="12.75" customHeight="1" x14ac:dyDescent="0.15">
      <c r="A12" s="627" t="s">
        <v>149</v>
      </c>
      <c r="C12" s="627" t="s">
        <v>150</v>
      </c>
      <c r="F12" s="627" t="s">
        <v>18</v>
      </c>
      <c r="K12" s="627" t="s">
        <v>151</v>
      </c>
      <c r="Q12" s="627" t="s">
        <v>40</v>
      </c>
      <c r="V12" s="436"/>
      <c r="X12" s="627" t="s">
        <v>152</v>
      </c>
      <c r="Z12" s="627" t="s">
        <v>153</v>
      </c>
      <c r="AD12" s="627">
        <v>10</v>
      </c>
      <c r="AF12" s="627" t="s">
        <v>154</v>
      </c>
      <c r="AH12" s="627" t="s">
        <v>155</v>
      </c>
      <c r="AI12" s="627">
        <v>2</v>
      </c>
      <c r="AN12" s="627" t="s">
        <v>156</v>
      </c>
      <c r="AP12" s="627" t="s">
        <v>157</v>
      </c>
      <c r="AR12" s="627" t="s">
        <v>158</v>
      </c>
      <c r="AW12" s="627" t="s">
        <v>159</v>
      </c>
      <c r="BA12" s="629" t="s">
        <v>1165</v>
      </c>
      <c r="BB12" s="627" t="s">
        <v>151</v>
      </c>
      <c r="BC12" s="485">
        <v>2</v>
      </c>
      <c r="BE12" s="627" t="s">
        <v>158</v>
      </c>
      <c r="BF12" s="485">
        <v>0</v>
      </c>
      <c r="BG12" s="485">
        <v>0</v>
      </c>
    </row>
    <row r="13" spans="1:59" ht="12.75" customHeight="1" x14ac:dyDescent="0.15">
      <c r="A13" s="487" t="s">
        <v>18</v>
      </c>
      <c r="C13" s="487" t="s">
        <v>18</v>
      </c>
      <c r="D13" s="627">
        <v>0</v>
      </c>
      <c r="F13" s="627" t="s">
        <v>160</v>
      </c>
      <c r="K13" s="436" t="s">
        <v>161</v>
      </c>
      <c r="Q13" s="627" t="s">
        <v>59</v>
      </c>
      <c r="X13" s="627" t="s">
        <v>162</v>
      </c>
      <c r="Z13" s="436" t="s">
        <v>163</v>
      </c>
      <c r="AD13" s="627">
        <v>11</v>
      </c>
      <c r="AF13" s="436"/>
      <c r="AH13" s="627" t="s">
        <v>164</v>
      </c>
      <c r="AI13" s="627">
        <v>2</v>
      </c>
      <c r="AN13" s="627" t="s">
        <v>165</v>
      </c>
      <c r="AP13" s="627" t="s">
        <v>166</v>
      </c>
      <c r="AR13" s="627" t="s">
        <v>167</v>
      </c>
      <c r="AW13" s="627" t="s">
        <v>168</v>
      </c>
      <c r="BA13" s="629" t="s">
        <v>1166</v>
      </c>
      <c r="BB13" s="436" t="s">
        <v>161</v>
      </c>
      <c r="BC13" s="486">
        <v>1</v>
      </c>
      <c r="BE13" s="627" t="s">
        <v>167</v>
      </c>
      <c r="BF13" s="485">
        <v>1</v>
      </c>
      <c r="BG13" s="485">
        <v>1</v>
      </c>
    </row>
    <row r="14" spans="1:59" ht="12.75" customHeight="1" x14ac:dyDescent="0.15">
      <c r="A14" s="627" t="s">
        <v>169</v>
      </c>
      <c r="C14" s="627" t="s">
        <v>170</v>
      </c>
      <c r="D14" s="627">
        <v>0</v>
      </c>
      <c r="F14" s="627" t="s">
        <v>171</v>
      </c>
      <c r="K14" s="627" t="s">
        <v>172</v>
      </c>
      <c r="Q14" s="627" t="s">
        <v>132</v>
      </c>
      <c r="X14" s="627" t="s">
        <v>173</v>
      </c>
      <c r="Z14" s="627" t="s">
        <v>174</v>
      </c>
      <c r="AD14" s="627">
        <v>12</v>
      </c>
      <c r="AF14" s="487" t="s">
        <v>18</v>
      </c>
      <c r="AH14" s="627" t="s">
        <v>175</v>
      </c>
      <c r="AI14" s="627">
        <v>2</v>
      </c>
      <c r="AN14" s="627" t="s">
        <v>176</v>
      </c>
      <c r="AP14" s="627" t="s">
        <v>177</v>
      </c>
      <c r="AR14" s="627" t="s">
        <v>178</v>
      </c>
      <c r="AW14" s="627" t="s">
        <v>179</v>
      </c>
      <c r="BA14" s="629" t="s">
        <v>1167</v>
      </c>
      <c r="BB14" s="627" t="s">
        <v>172</v>
      </c>
      <c r="BC14" s="485">
        <v>1</v>
      </c>
      <c r="BE14" s="627" t="s">
        <v>178</v>
      </c>
      <c r="BF14" s="485">
        <v>1</v>
      </c>
      <c r="BG14" s="485">
        <v>1</v>
      </c>
    </row>
    <row r="15" spans="1:59" ht="12.75" customHeight="1" x14ac:dyDescent="0.15">
      <c r="A15" s="627" t="s">
        <v>180</v>
      </c>
      <c r="C15" s="627" t="s">
        <v>181</v>
      </c>
      <c r="D15" s="627">
        <v>5</v>
      </c>
      <c r="F15" s="627" t="s">
        <v>182</v>
      </c>
      <c r="K15" s="627" t="s">
        <v>146</v>
      </c>
      <c r="Q15" s="436" t="s">
        <v>12</v>
      </c>
      <c r="X15" s="627" t="s">
        <v>183</v>
      </c>
      <c r="Z15" s="627" t="s">
        <v>184</v>
      </c>
      <c r="AF15" s="627" t="s">
        <v>185</v>
      </c>
      <c r="AH15" s="627" t="s">
        <v>186</v>
      </c>
      <c r="AI15" s="627">
        <v>1</v>
      </c>
      <c r="AN15" s="627" t="s">
        <v>187</v>
      </c>
      <c r="AP15" s="627" t="s">
        <v>188</v>
      </c>
      <c r="AR15" s="627" t="s">
        <v>189</v>
      </c>
      <c r="AW15" s="627" t="s">
        <v>190</v>
      </c>
      <c r="BA15" s="629" t="s">
        <v>1168</v>
      </c>
      <c r="BB15" s="627" t="s">
        <v>146</v>
      </c>
      <c r="BC15" s="485">
        <v>2</v>
      </c>
      <c r="BE15" s="627" t="s">
        <v>189</v>
      </c>
      <c r="BF15" s="485">
        <v>1</v>
      </c>
      <c r="BG15" s="485">
        <v>1</v>
      </c>
    </row>
    <row r="16" spans="1:59" ht="12.75" customHeight="1" x14ac:dyDescent="0.15">
      <c r="A16" s="627" t="s">
        <v>191</v>
      </c>
      <c r="C16" s="627" t="s">
        <v>192</v>
      </c>
      <c r="D16" s="627">
        <v>10</v>
      </c>
      <c r="K16" s="627" t="s">
        <v>193</v>
      </c>
      <c r="T16" s="487"/>
      <c r="X16" s="627" t="s">
        <v>194</v>
      </c>
      <c r="Z16" s="627" t="s">
        <v>725</v>
      </c>
      <c r="AH16" s="627" t="s">
        <v>195</v>
      </c>
      <c r="AI16" s="627">
        <v>1</v>
      </c>
      <c r="AN16" s="627" t="s">
        <v>196</v>
      </c>
      <c r="AP16" s="627" t="s">
        <v>197</v>
      </c>
      <c r="AR16" s="627" t="s">
        <v>198</v>
      </c>
      <c r="AW16" s="627" t="s">
        <v>199</v>
      </c>
      <c r="BA16" s="629" t="s">
        <v>1169</v>
      </c>
      <c r="BB16" s="627" t="s">
        <v>193</v>
      </c>
      <c r="BC16" s="485">
        <v>1</v>
      </c>
      <c r="BE16" s="627" t="s">
        <v>198</v>
      </c>
      <c r="BF16" s="485">
        <v>1</v>
      </c>
      <c r="BG16" s="485">
        <v>1</v>
      </c>
    </row>
    <row r="17" spans="1:59" ht="12.75" customHeight="1" x14ac:dyDescent="0.15">
      <c r="A17" s="627" t="s">
        <v>200</v>
      </c>
      <c r="C17" s="627" t="s">
        <v>201</v>
      </c>
      <c r="D17" s="627">
        <v>15</v>
      </c>
      <c r="K17" s="627" t="s">
        <v>202</v>
      </c>
      <c r="X17" s="627" t="s">
        <v>203</v>
      </c>
      <c r="AF17" s="487" t="s">
        <v>18</v>
      </c>
      <c r="AH17" s="627" t="s">
        <v>204</v>
      </c>
      <c r="AI17" s="627">
        <v>2</v>
      </c>
      <c r="AN17" s="627" t="s">
        <v>205</v>
      </c>
      <c r="AP17" s="627" t="s">
        <v>206</v>
      </c>
      <c r="AR17" s="627" t="s">
        <v>207</v>
      </c>
      <c r="AW17" s="627" t="s">
        <v>208</v>
      </c>
      <c r="BA17" s="630" t="s">
        <v>1170</v>
      </c>
      <c r="BB17" s="627" t="s">
        <v>202</v>
      </c>
      <c r="BC17" s="485">
        <v>1</v>
      </c>
      <c r="BE17" s="627" t="s">
        <v>207</v>
      </c>
      <c r="BF17" s="485">
        <v>1</v>
      </c>
      <c r="BG17" s="485">
        <v>1</v>
      </c>
    </row>
    <row r="18" spans="1:59" ht="12.75" customHeight="1" x14ac:dyDescent="0.15">
      <c r="A18" s="627" t="s">
        <v>209</v>
      </c>
      <c r="C18" s="627" t="s">
        <v>210</v>
      </c>
      <c r="D18" s="627">
        <v>20</v>
      </c>
      <c r="K18" s="436" t="s">
        <v>211</v>
      </c>
      <c r="X18" s="627" t="s">
        <v>212</v>
      </c>
      <c r="AF18" s="627" t="s">
        <v>213</v>
      </c>
      <c r="AH18" s="627" t="s">
        <v>214</v>
      </c>
      <c r="AI18" s="627">
        <v>1</v>
      </c>
      <c r="AN18" s="627" t="s">
        <v>215</v>
      </c>
      <c r="AP18" s="627" t="s">
        <v>216</v>
      </c>
      <c r="AR18" s="627" t="s">
        <v>217</v>
      </c>
      <c r="AW18" s="627" t="s">
        <v>218</v>
      </c>
      <c r="BA18" s="629" t="s">
        <v>1171</v>
      </c>
      <c r="BB18" s="436" t="s">
        <v>211</v>
      </c>
      <c r="BC18" s="486">
        <v>2</v>
      </c>
      <c r="BE18" s="627" t="s">
        <v>217</v>
      </c>
      <c r="BF18" s="485">
        <v>1</v>
      </c>
      <c r="BG18" s="485">
        <v>1</v>
      </c>
    </row>
    <row r="19" spans="1:59" ht="12.75" customHeight="1" x14ac:dyDescent="0.15">
      <c r="A19" s="627" t="s">
        <v>219</v>
      </c>
      <c r="C19" s="627" t="s">
        <v>220</v>
      </c>
      <c r="D19" s="627">
        <v>0</v>
      </c>
      <c r="K19" s="627" t="s">
        <v>221</v>
      </c>
      <c r="X19" s="627" t="s">
        <v>222</v>
      </c>
      <c r="AH19" s="627" t="s">
        <v>223</v>
      </c>
      <c r="AI19" s="627">
        <v>1</v>
      </c>
      <c r="AN19" s="627" t="s">
        <v>224</v>
      </c>
      <c r="AP19" s="627" t="s">
        <v>225</v>
      </c>
      <c r="AR19" s="627" t="s">
        <v>226</v>
      </c>
      <c r="AW19" s="627" t="s">
        <v>227</v>
      </c>
      <c r="BA19" s="629" t="s">
        <v>1172</v>
      </c>
      <c r="BB19" s="627" t="s">
        <v>221</v>
      </c>
      <c r="BC19" s="485">
        <v>0</v>
      </c>
      <c r="BE19" s="627" t="s">
        <v>226</v>
      </c>
      <c r="BF19" s="485">
        <v>1</v>
      </c>
      <c r="BG19" s="485">
        <v>1</v>
      </c>
    </row>
    <row r="20" spans="1:59" ht="13.5" x14ac:dyDescent="0.15">
      <c r="A20" s="627" t="s">
        <v>228</v>
      </c>
      <c r="K20" s="436" t="s">
        <v>229</v>
      </c>
      <c r="X20" s="627" t="s">
        <v>230</v>
      </c>
      <c r="AF20" s="487" t="s">
        <v>18</v>
      </c>
      <c r="AH20" s="627" t="s">
        <v>231</v>
      </c>
      <c r="AI20" s="627">
        <v>1</v>
      </c>
      <c r="AN20" s="627" t="s">
        <v>232</v>
      </c>
      <c r="AP20" s="627" t="s">
        <v>233</v>
      </c>
      <c r="AR20" s="627" t="s">
        <v>234</v>
      </c>
      <c r="AW20" s="627" t="s">
        <v>235</v>
      </c>
      <c r="BA20" s="629" t="s">
        <v>1173</v>
      </c>
      <c r="BB20" s="436" t="s">
        <v>229</v>
      </c>
      <c r="BC20" s="486">
        <v>0</v>
      </c>
      <c r="BE20" s="627" t="s">
        <v>234</v>
      </c>
      <c r="BF20" s="485">
        <v>1</v>
      </c>
      <c r="BG20" s="485">
        <v>1</v>
      </c>
    </row>
    <row r="21" spans="1:59" ht="13.5" x14ac:dyDescent="0.15">
      <c r="A21" s="627" t="s">
        <v>236</v>
      </c>
      <c r="C21" s="627" t="s">
        <v>237</v>
      </c>
      <c r="K21" s="627" t="s">
        <v>238</v>
      </c>
      <c r="X21" s="627" t="s">
        <v>239</v>
      </c>
      <c r="AF21" s="627" t="s">
        <v>240</v>
      </c>
      <c r="AH21" s="627" t="s">
        <v>241</v>
      </c>
      <c r="AI21" s="627">
        <v>1</v>
      </c>
      <c r="AN21" s="627" t="s">
        <v>242</v>
      </c>
      <c r="AP21" s="627" t="s">
        <v>243</v>
      </c>
      <c r="AR21" s="627" t="s">
        <v>244</v>
      </c>
      <c r="AW21" s="627" t="s">
        <v>245</v>
      </c>
      <c r="BA21" s="629" t="s">
        <v>1174</v>
      </c>
      <c r="BB21" s="627" t="s">
        <v>238</v>
      </c>
      <c r="BC21" s="485">
        <v>0</v>
      </c>
      <c r="BE21" s="627" t="s">
        <v>244</v>
      </c>
      <c r="BF21" s="485">
        <v>1</v>
      </c>
      <c r="BG21" s="485">
        <v>1</v>
      </c>
    </row>
    <row r="22" spans="1:59" ht="12.75" customHeight="1" x14ac:dyDescent="0.15">
      <c r="A22" s="627" t="s">
        <v>246</v>
      </c>
      <c r="C22" s="487" t="s">
        <v>18</v>
      </c>
      <c r="K22" s="627" t="s">
        <v>247</v>
      </c>
      <c r="X22" s="627" t="s">
        <v>248</v>
      </c>
      <c r="AH22" s="627" t="s">
        <v>249</v>
      </c>
      <c r="AI22" s="627">
        <v>1</v>
      </c>
      <c r="AN22" s="627" t="s">
        <v>250</v>
      </c>
      <c r="AP22" s="627" t="s">
        <v>251</v>
      </c>
      <c r="AR22" s="627" t="s">
        <v>252</v>
      </c>
      <c r="AW22" s="627" t="s">
        <v>253</v>
      </c>
      <c r="BA22" s="630" t="s">
        <v>1175</v>
      </c>
      <c r="BB22" s="627" t="s">
        <v>247</v>
      </c>
      <c r="BC22" s="485">
        <v>0</v>
      </c>
      <c r="BE22" s="627" t="s">
        <v>252</v>
      </c>
      <c r="BF22" s="485">
        <v>1</v>
      </c>
      <c r="BG22" s="485">
        <v>1</v>
      </c>
    </row>
    <row r="23" spans="1:59" ht="12.75" customHeight="1" x14ac:dyDescent="0.15">
      <c r="A23" s="627" t="s">
        <v>254</v>
      </c>
      <c r="C23" s="627">
        <v>1</v>
      </c>
      <c r="K23" s="627" t="s">
        <v>255</v>
      </c>
      <c r="X23" s="627" t="s">
        <v>256</v>
      </c>
      <c r="AF23" s="487" t="s">
        <v>18</v>
      </c>
      <c r="AH23" s="627" t="s">
        <v>257</v>
      </c>
      <c r="AI23" s="627">
        <v>1</v>
      </c>
      <c r="AN23" s="627" t="s">
        <v>258</v>
      </c>
      <c r="AP23" s="627" t="s">
        <v>259</v>
      </c>
      <c r="AR23" s="627" t="s">
        <v>260</v>
      </c>
      <c r="AW23" s="627" t="s">
        <v>261</v>
      </c>
      <c r="BA23" s="629" t="s">
        <v>1176</v>
      </c>
      <c r="BB23" s="627" t="s">
        <v>255</v>
      </c>
      <c r="BC23" s="485">
        <v>0</v>
      </c>
      <c r="BE23" s="627" t="s">
        <v>260</v>
      </c>
      <c r="BF23" s="485">
        <v>2</v>
      </c>
      <c r="BG23" s="485">
        <v>2</v>
      </c>
    </row>
    <row r="24" spans="1:59" ht="27.95" customHeight="1" x14ac:dyDescent="0.15">
      <c r="C24" s="627">
        <v>2</v>
      </c>
      <c r="K24" s="627" t="s">
        <v>262</v>
      </c>
      <c r="X24" s="627" t="s">
        <v>263</v>
      </c>
      <c r="AF24" s="627" t="s">
        <v>264</v>
      </c>
      <c r="AH24" s="627" t="s">
        <v>265</v>
      </c>
      <c r="AI24" s="627">
        <v>1</v>
      </c>
      <c r="AN24" s="436" t="s">
        <v>266</v>
      </c>
      <c r="AP24" s="627" t="s">
        <v>267</v>
      </c>
      <c r="AR24" s="627" t="s">
        <v>268</v>
      </c>
      <c r="AW24" s="627" t="s">
        <v>269</v>
      </c>
      <c r="BA24" s="630" t="s">
        <v>1177</v>
      </c>
      <c r="BB24" s="627" t="s">
        <v>262</v>
      </c>
      <c r="BC24" s="485">
        <v>0</v>
      </c>
      <c r="BE24" s="627" t="s">
        <v>268</v>
      </c>
      <c r="BF24" s="485">
        <v>0</v>
      </c>
      <c r="BG24" s="485">
        <v>0</v>
      </c>
    </row>
    <row r="25" spans="1:59" ht="12.75" customHeight="1" x14ac:dyDescent="0.15">
      <c r="C25" s="627">
        <v>3</v>
      </c>
      <c r="T25" s="627" t="s">
        <v>270</v>
      </c>
      <c r="X25" s="627" t="s">
        <v>271</v>
      </c>
      <c r="AH25" s="627" t="s">
        <v>272</v>
      </c>
      <c r="AI25" s="627">
        <v>1</v>
      </c>
      <c r="AN25" s="436" t="s">
        <v>273</v>
      </c>
      <c r="AP25" s="627" t="s">
        <v>274</v>
      </c>
      <c r="AR25" s="627" t="s">
        <v>275</v>
      </c>
      <c r="BA25" s="629" t="s">
        <v>1178</v>
      </c>
      <c r="BB25" s="627" t="s">
        <v>850</v>
      </c>
      <c r="BC25" s="485">
        <v>1</v>
      </c>
      <c r="BE25" s="627" t="s">
        <v>275</v>
      </c>
      <c r="BF25" s="485">
        <v>1</v>
      </c>
      <c r="BG25" s="485">
        <v>1</v>
      </c>
    </row>
    <row r="26" spans="1:59" ht="12.75" customHeight="1" x14ac:dyDescent="0.15">
      <c r="C26" s="627">
        <v>4</v>
      </c>
      <c r="T26" s="487" t="s">
        <v>18</v>
      </c>
      <c r="X26" s="627" t="s">
        <v>276</v>
      </c>
      <c r="AF26" s="487" t="s">
        <v>18</v>
      </c>
      <c r="AH26" s="627" t="s">
        <v>277</v>
      </c>
      <c r="AI26" s="627">
        <v>1</v>
      </c>
      <c r="AN26" s="627" t="s">
        <v>278</v>
      </c>
      <c r="AP26" s="627" t="s">
        <v>279</v>
      </c>
      <c r="AR26" s="627" t="s">
        <v>280</v>
      </c>
      <c r="AW26" s="627" t="s">
        <v>1154</v>
      </c>
      <c r="BA26" s="629" t="s">
        <v>1179</v>
      </c>
      <c r="BE26" s="627" t="s">
        <v>280</v>
      </c>
      <c r="BF26" s="485">
        <v>1</v>
      </c>
      <c r="BG26" s="485">
        <v>1</v>
      </c>
    </row>
    <row r="27" spans="1:59" ht="12.75" customHeight="1" x14ac:dyDescent="0.15">
      <c r="C27" s="627">
        <v>5</v>
      </c>
      <c r="T27" s="627" t="s">
        <v>281</v>
      </c>
      <c r="X27" s="627" t="s">
        <v>282</v>
      </c>
      <c r="AF27" s="627" t="s">
        <v>283</v>
      </c>
      <c r="AH27" s="627" t="s">
        <v>284</v>
      </c>
      <c r="AI27" s="627">
        <v>1</v>
      </c>
      <c r="AN27" s="627" t="s">
        <v>285</v>
      </c>
      <c r="AP27" s="627" t="s">
        <v>286</v>
      </c>
      <c r="AR27" s="627" t="s">
        <v>1157</v>
      </c>
      <c r="AW27" s="627" t="s">
        <v>851</v>
      </c>
      <c r="BA27" s="629" t="s">
        <v>1180</v>
      </c>
      <c r="BE27" s="627" t="s">
        <v>1157</v>
      </c>
      <c r="BF27" s="485">
        <v>1</v>
      </c>
      <c r="BG27" s="486">
        <v>1</v>
      </c>
    </row>
    <row r="28" spans="1:59" ht="12.75" customHeight="1" x14ac:dyDescent="0.15">
      <c r="T28" s="627" t="s">
        <v>222</v>
      </c>
      <c r="X28" s="627" t="s">
        <v>287</v>
      </c>
      <c r="AH28" s="627" t="s">
        <v>288</v>
      </c>
      <c r="AI28" s="627">
        <v>1</v>
      </c>
      <c r="AN28" s="627" t="s">
        <v>289</v>
      </c>
      <c r="AP28" s="627" t="s">
        <v>290</v>
      </c>
      <c r="AR28" s="627" t="s">
        <v>291</v>
      </c>
      <c r="AW28" s="627" t="s">
        <v>849</v>
      </c>
      <c r="BA28" s="629" t="s">
        <v>1181</v>
      </c>
      <c r="BE28" s="627" t="s">
        <v>291</v>
      </c>
      <c r="BF28" s="485">
        <v>2</v>
      </c>
      <c r="BG28" s="485">
        <v>2</v>
      </c>
    </row>
    <row r="29" spans="1:59" ht="27" customHeight="1" x14ac:dyDescent="0.15">
      <c r="A29" s="436" t="s">
        <v>292</v>
      </c>
      <c r="B29" s="436"/>
      <c r="C29" s="436"/>
      <c r="T29" s="627" t="s">
        <v>293</v>
      </c>
      <c r="X29" s="627" t="s">
        <v>294</v>
      </c>
      <c r="AF29" s="487" t="s">
        <v>18</v>
      </c>
      <c r="AH29" s="627" t="s">
        <v>295</v>
      </c>
      <c r="AI29" s="627">
        <v>1</v>
      </c>
      <c r="AN29" s="627" t="s">
        <v>296</v>
      </c>
      <c r="AP29" s="627" t="s">
        <v>297</v>
      </c>
      <c r="AR29" s="627" t="s">
        <v>298</v>
      </c>
      <c r="AW29" s="627" t="s">
        <v>848</v>
      </c>
      <c r="BA29" s="629" t="s">
        <v>1182</v>
      </c>
      <c r="BE29" s="627" t="s">
        <v>298</v>
      </c>
      <c r="BF29" s="485">
        <v>1</v>
      </c>
      <c r="BG29" s="485">
        <v>1</v>
      </c>
    </row>
    <row r="30" spans="1:59" ht="27" customHeight="1" x14ac:dyDescent="0.15">
      <c r="A30" s="436" t="s">
        <v>299</v>
      </c>
      <c r="B30" s="436"/>
      <c r="C30" s="436"/>
      <c r="T30" s="627" t="s">
        <v>300</v>
      </c>
      <c r="X30" s="627" t="s">
        <v>301</v>
      </c>
      <c r="AF30" s="627" t="s">
        <v>302</v>
      </c>
      <c r="AH30" s="627" t="s">
        <v>303</v>
      </c>
      <c r="AI30" s="627">
        <v>1</v>
      </c>
      <c r="AN30" s="627" t="s">
        <v>304</v>
      </c>
      <c r="AP30" s="627" t="s">
        <v>305</v>
      </c>
      <c r="AR30" s="627" t="s">
        <v>306</v>
      </c>
      <c r="AW30" s="627" t="s">
        <v>1153</v>
      </c>
      <c r="BA30" s="630" t="s">
        <v>1183</v>
      </c>
      <c r="BE30" s="627" t="s">
        <v>306</v>
      </c>
      <c r="BF30" s="485">
        <v>1</v>
      </c>
      <c r="BG30" s="485">
        <v>1</v>
      </c>
    </row>
    <row r="31" spans="1:59" ht="27" customHeight="1" x14ac:dyDescent="0.2">
      <c r="A31" s="436" t="s">
        <v>307</v>
      </c>
      <c r="B31" s="436"/>
      <c r="C31" s="436"/>
      <c r="T31" s="627" t="s">
        <v>308</v>
      </c>
      <c r="X31" s="627" t="s">
        <v>310</v>
      </c>
      <c r="AF31" s="436"/>
      <c r="AH31" s="436" t="s">
        <v>1310</v>
      </c>
      <c r="AI31" s="627">
        <v>1</v>
      </c>
      <c r="AN31" s="627" t="s">
        <v>311</v>
      </c>
      <c r="AP31" s="627" t="s">
        <v>312</v>
      </c>
      <c r="AR31" s="627" t="s">
        <v>313</v>
      </c>
      <c r="BA31" s="630" t="s">
        <v>1184</v>
      </c>
      <c r="BE31" s="627" t="s">
        <v>313</v>
      </c>
      <c r="BF31" s="485">
        <v>1</v>
      </c>
      <c r="BG31" s="485">
        <v>1</v>
      </c>
    </row>
    <row r="32" spans="1:59" ht="27" customHeight="1" x14ac:dyDescent="0.2">
      <c r="A32" s="436" t="s">
        <v>314</v>
      </c>
      <c r="B32" s="436" t="s">
        <v>315</v>
      </c>
      <c r="C32" s="436"/>
      <c r="T32" s="627" t="s">
        <v>316</v>
      </c>
      <c r="X32" s="627" t="s">
        <v>316</v>
      </c>
      <c r="AF32" s="487" t="s">
        <v>18</v>
      </c>
      <c r="AH32" s="436" t="s">
        <v>1311</v>
      </c>
      <c r="AI32" s="627">
        <v>1</v>
      </c>
      <c r="AN32" s="627" t="s">
        <v>317</v>
      </c>
      <c r="AP32" s="627" t="s">
        <v>318</v>
      </c>
      <c r="AR32" s="627" t="s">
        <v>319</v>
      </c>
      <c r="BA32" s="630" t="s">
        <v>1185</v>
      </c>
      <c r="BE32" s="627" t="s">
        <v>319</v>
      </c>
      <c r="BF32" s="485">
        <v>1</v>
      </c>
      <c r="BG32" s="485">
        <v>1</v>
      </c>
    </row>
    <row r="33" spans="1:59" ht="27" customHeight="1" x14ac:dyDescent="0.2">
      <c r="A33" s="436" t="s">
        <v>320</v>
      </c>
      <c r="B33" s="436" t="s">
        <v>321</v>
      </c>
      <c r="C33" s="436"/>
      <c r="T33" s="627" t="s">
        <v>322</v>
      </c>
      <c r="X33" s="627" t="s">
        <v>323</v>
      </c>
      <c r="AF33" s="627" t="s">
        <v>324</v>
      </c>
      <c r="AH33" s="436" t="s">
        <v>1312</v>
      </c>
      <c r="AI33" s="627">
        <v>1</v>
      </c>
      <c r="AN33" s="627" t="s">
        <v>325</v>
      </c>
      <c r="AP33" s="627" t="s">
        <v>326</v>
      </c>
      <c r="AR33" s="627" t="s">
        <v>327</v>
      </c>
      <c r="BA33" s="630" t="s">
        <v>1186</v>
      </c>
      <c r="BE33" s="627" t="s">
        <v>327</v>
      </c>
      <c r="BF33" s="485">
        <v>1</v>
      </c>
      <c r="BG33" s="485">
        <v>1</v>
      </c>
    </row>
    <row r="34" spans="1:59" ht="27" customHeight="1" x14ac:dyDescent="0.15">
      <c r="A34" s="436" t="s">
        <v>328</v>
      </c>
      <c r="B34" s="436" t="s">
        <v>329</v>
      </c>
      <c r="C34" s="436"/>
      <c r="X34" s="627" t="s">
        <v>330</v>
      </c>
      <c r="AF34" s="436"/>
      <c r="AH34" s="627" t="s">
        <v>331</v>
      </c>
      <c r="AI34" s="627">
        <v>1</v>
      </c>
      <c r="AN34" s="627" t="s">
        <v>332</v>
      </c>
      <c r="AP34" s="627" t="s">
        <v>333</v>
      </c>
      <c r="AR34" s="627" t="s">
        <v>334</v>
      </c>
      <c r="BA34" s="630" t="s">
        <v>1187</v>
      </c>
      <c r="BE34" s="627" t="s">
        <v>334</v>
      </c>
      <c r="BF34" s="485">
        <v>2</v>
      </c>
      <c r="BG34" s="485">
        <v>2</v>
      </c>
    </row>
    <row r="35" spans="1:59" ht="27" customHeight="1" x14ac:dyDescent="0.15">
      <c r="A35" s="436" t="s">
        <v>335</v>
      </c>
      <c r="B35" s="436"/>
      <c r="C35" s="436"/>
      <c r="K35" s="436"/>
      <c r="X35" s="627" t="s">
        <v>336</v>
      </c>
      <c r="AF35" s="487" t="s">
        <v>18</v>
      </c>
      <c r="AN35" s="627" t="s">
        <v>337</v>
      </c>
      <c r="AP35" s="627" t="s">
        <v>338</v>
      </c>
      <c r="AR35" s="627" t="s">
        <v>339</v>
      </c>
      <c r="BA35" s="630" t="s">
        <v>1189</v>
      </c>
      <c r="BE35" s="627" t="s">
        <v>339</v>
      </c>
      <c r="BF35" s="485">
        <v>2</v>
      </c>
      <c r="BG35" s="485">
        <v>2</v>
      </c>
    </row>
    <row r="36" spans="1:59" ht="27" customHeight="1" x14ac:dyDescent="0.15">
      <c r="A36" s="436" t="s">
        <v>340</v>
      </c>
      <c r="B36" s="436" t="s">
        <v>341</v>
      </c>
      <c r="C36" s="436"/>
      <c r="K36" s="436"/>
      <c r="X36" s="627" t="s">
        <v>342</v>
      </c>
      <c r="AF36" s="627" t="s">
        <v>248</v>
      </c>
      <c r="AH36" s="436" t="s">
        <v>846</v>
      </c>
      <c r="AI36" s="627">
        <v>4</v>
      </c>
      <c r="AN36" s="627" t="s">
        <v>343</v>
      </c>
      <c r="AP36" s="627" t="s">
        <v>344</v>
      </c>
      <c r="AR36" s="627" t="s">
        <v>345</v>
      </c>
      <c r="BA36" s="629" t="s">
        <v>1190</v>
      </c>
      <c r="BE36" s="627" t="s">
        <v>345</v>
      </c>
      <c r="BF36" s="485">
        <v>1</v>
      </c>
      <c r="BG36" s="485">
        <v>1</v>
      </c>
    </row>
    <row r="37" spans="1:59" ht="27" customHeight="1" x14ac:dyDescent="0.15">
      <c r="A37" s="436" t="s">
        <v>346</v>
      </c>
      <c r="C37" s="436"/>
      <c r="X37" s="627" t="s">
        <v>847</v>
      </c>
      <c r="AF37" s="436"/>
      <c r="AH37" s="436" t="s">
        <v>845</v>
      </c>
      <c r="AI37" s="627">
        <v>2</v>
      </c>
      <c r="AN37" s="627" t="s">
        <v>348</v>
      </c>
      <c r="AP37" s="627" t="s">
        <v>349</v>
      </c>
      <c r="AR37" s="627" t="s">
        <v>350</v>
      </c>
      <c r="BA37" s="631" t="s">
        <v>1188</v>
      </c>
      <c r="BE37" s="627" t="s">
        <v>350</v>
      </c>
      <c r="BF37" s="485">
        <v>0</v>
      </c>
      <c r="BG37" s="485">
        <v>0</v>
      </c>
    </row>
    <row r="38" spans="1:59" ht="27" customHeight="1" x14ac:dyDescent="0.15">
      <c r="A38" s="436" t="s">
        <v>351</v>
      </c>
      <c r="B38" s="436" t="s">
        <v>352</v>
      </c>
      <c r="X38" s="627" t="s">
        <v>752</v>
      </c>
      <c r="AF38" s="436"/>
      <c r="AH38" s="436" t="s">
        <v>1147</v>
      </c>
      <c r="AI38" s="627">
        <v>2</v>
      </c>
      <c r="AN38" s="627" t="s">
        <v>354</v>
      </c>
      <c r="AP38" s="627" t="s">
        <v>355</v>
      </c>
      <c r="AR38" s="627" t="s">
        <v>356</v>
      </c>
      <c r="BA38" s="629" t="s">
        <v>1191</v>
      </c>
      <c r="BE38" s="627" t="s">
        <v>356</v>
      </c>
      <c r="BF38" s="485">
        <v>2</v>
      </c>
      <c r="BG38" s="485">
        <v>2</v>
      </c>
    </row>
    <row r="39" spans="1:59" ht="12.75" customHeight="1" x14ac:dyDescent="0.15">
      <c r="A39" s="436" t="s">
        <v>357</v>
      </c>
      <c r="B39" s="436" t="s">
        <v>358</v>
      </c>
      <c r="X39" s="436" t="s">
        <v>353</v>
      </c>
      <c r="AH39" s="436" t="s">
        <v>1149</v>
      </c>
      <c r="AI39" s="627">
        <v>1</v>
      </c>
      <c r="AN39" s="627" t="s">
        <v>426</v>
      </c>
      <c r="AP39" s="627" t="s">
        <v>360</v>
      </c>
      <c r="AR39" s="627" t="s">
        <v>361</v>
      </c>
      <c r="BA39" s="629" t="s">
        <v>1192</v>
      </c>
      <c r="BE39" s="627" t="s">
        <v>361</v>
      </c>
      <c r="BF39" s="485">
        <v>1</v>
      </c>
      <c r="BG39" s="485">
        <v>1</v>
      </c>
    </row>
    <row r="40" spans="1:59" ht="12.75" customHeight="1" x14ac:dyDescent="0.15">
      <c r="A40" s="436" t="s">
        <v>362</v>
      </c>
      <c r="B40" s="436" t="s">
        <v>363</v>
      </c>
      <c r="X40" s="627" t="s">
        <v>359</v>
      </c>
      <c r="AH40" s="436" t="s">
        <v>1148</v>
      </c>
      <c r="AI40" s="627">
        <v>1</v>
      </c>
      <c r="AN40" s="627" t="s">
        <v>328</v>
      </c>
      <c r="AP40" s="627" t="s">
        <v>365</v>
      </c>
      <c r="AR40" s="627" t="s">
        <v>366</v>
      </c>
      <c r="BA40" s="629" t="s">
        <v>1193</v>
      </c>
      <c r="BE40" s="627" t="s">
        <v>366</v>
      </c>
      <c r="BF40" s="485">
        <v>2</v>
      </c>
      <c r="BG40" s="485">
        <v>2</v>
      </c>
    </row>
    <row r="41" spans="1:59" ht="12.75" customHeight="1" x14ac:dyDescent="0.15">
      <c r="X41" s="627" t="s">
        <v>364</v>
      </c>
      <c r="AH41" s="436" t="s">
        <v>1150</v>
      </c>
      <c r="AI41" s="627">
        <v>1</v>
      </c>
      <c r="AN41" s="627" t="s">
        <v>844</v>
      </c>
      <c r="AP41" s="627" t="s">
        <v>368</v>
      </c>
      <c r="AR41" s="627" t="s">
        <v>369</v>
      </c>
      <c r="BA41" s="629" t="s">
        <v>1194</v>
      </c>
      <c r="BE41" s="627" t="s">
        <v>369</v>
      </c>
      <c r="BF41" s="485">
        <v>1</v>
      </c>
      <c r="BG41" s="485">
        <v>1</v>
      </c>
    </row>
    <row r="42" spans="1:59" ht="12.75" customHeight="1" x14ac:dyDescent="0.15">
      <c r="X42" s="627" t="s">
        <v>367</v>
      </c>
      <c r="AH42" s="436" t="s">
        <v>1151</v>
      </c>
      <c r="AI42" s="627">
        <v>1</v>
      </c>
      <c r="AN42" s="627" t="s">
        <v>843</v>
      </c>
      <c r="AP42" s="627" t="s">
        <v>371</v>
      </c>
      <c r="AR42" s="627" t="s">
        <v>372</v>
      </c>
      <c r="BA42" s="629" t="s">
        <v>1211</v>
      </c>
      <c r="BE42" s="627" t="s">
        <v>372</v>
      </c>
      <c r="BF42" s="485">
        <v>1</v>
      </c>
      <c r="BG42" s="485">
        <v>1</v>
      </c>
    </row>
    <row r="43" spans="1:59" ht="12.75" customHeight="1" x14ac:dyDescent="0.15">
      <c r="X43" s="627" t="s">
        <v>370</v>
      </c>
      <c r="AH43" s="436" t="s">
        <v>1152</v>
      </c>
      <c r="AI43" s="627">
        <v>1</v>
      </c>
      <c r="AN43" s="627" t="s">
        <v>842</v>
      </c>
      <c r="AP43" s="627" t="s">
        <v>374</v>
      </c>
      <c r="AR43" s="627" t="s">
        <v>375</v>
      </c>
      <c r="BA43" s="629" t="s">
        <v>1212</v>
      </c>
      <c r="BE43" s="627" t="s">
        <v>375</v>
      </c>
      <c r="BF43" s="485">
        <v>2</v>
      </c>
      <c r="BG43" s="485">
        <v>2</v>
      </c>
    </row>
    <row r="44" spans="1:59" ht="12.75" customHeight="1" x14ac:dyDescent="0.15">
      <c r="X44" s="627" t="s">
        <v>373</v>
      </c>
      <c r="AN44" s="627" t="s">
        <v>841</v>
      </c>
      <c r="AP44" s="627" t="s">
        <v>377</v>
      </c>
      <c r="AR44" s="627" t="s">
        <v>378</v>
      </c>
      <c r="BA44" s="629" t="s">
        <v>1225</v>
      </c>
      <c r="BE44" s="627" t="s">
        <v>378</v>
      </c>
      <c r="BF44" s="485">
        <v>1</v>
      </c>
      <c r="BG44" s="485">
        <v>1</v>
      </c>
    </row>
    <row r="45" spans="1:59" ht="12.75" customHeight="1" x14ac:dyDescent="0.15">
      <c r="X45" s="627" t="s">
        <v>376</v>
      </c>
      <c r="AN45" s="627" t="s">
        <v>840</v>
      </c>
      <c r="AP45" s="627" t="s">
        <v>380</v>
      </c>
      <c r="AR45" s="627" t="s">
        <v>381</v>
      </c>
      <c r="BA45" s="629" t="s">
        <v>1226</v>
      </c>
      <c r="BE45" s="627" t="s">
        <v>381</v>
      </c>
      <c r="BF45" s="485">
        <v>1</v>
      </c>
      <c r="BG45" s="485">
        <v>1</v>
      </c>
    </row>
    <row r="46" spans="1:59" ht="12.75" customHeight="1" x14ac:dyDescent="0.15">
      <c r="X46" s="627" t="s">
        <v>379</v>
      </c>
      <c r="AN46" s="627" t="s">
        <v>839</v>
      </c>
      <c r="AP46" s="627" t="s">
        <v>384</v>
      </c>
      <c r="AR46" s="436" t="s">
        <v>385</v>
      </c>
      <c r="BA46" s="629" t="s">
        <v>1227</v>
      </c>
      <c r="BE46" s="436" t="s">
        <v>385</v>
      </c>
      <c r="BF46" s="485">
        <v>2</v>
      </c>
      <c r="BG46" s="485">
        <v>2</v>
      </c>
    </row>
    <row r="47" spans="1:59" ht="12.75" customHeight="1" x14ac:dyDescent="0.15">
      <c r="X47" s="627" t="s">
        <v>383</v>
      </c>
      <c r="AH47" s="436"/>
      <c r="AN47" s="627" t="s">
        <v>838</v>
      </c>
      <c r="AP47" s="627" t="s">
        <v>386</v>
      </c>
      <c r="AR47" s="436" t="s">
        <v>387</v>
      </c>
      <c r="BA47" s="629" t="s">
        <v>1228</v>
      </c>
      <c r="BE47" s="436" t="s">
        <v>387</v>
      </c>
      <c r="BF47" s="485">
        <v>1</v>
      </c>
      <c r="BG47" s="485">
        <v>1</v>
      </c>
    </row>
    <row r="48" spans="1:59" ht="12.75" customHeight="1" x14ac:dyDescent="0.15">
      <c r="X48" s="627" t="s">
        <v>1146</v>
      </c>
      <c r="AH48" s="436"/>
      <c r="AN48" s="627" t="s">
        <v>837</v>
      </c>
      <c r="AP48" s="627" t="s">
        <v>388</v>
      </c>
      <c r="AR48" s="627" t="s">
        <v>389</v>
      </c>
      <c r="BA48" s="629" t="s">
        <v>1229</v>
      </c>
      <c r="BE48" s="627" t="s">
        <v>389</v>
      </c>
      <c r="BF48" s="485">
        <v>2</v>
      </c>
      <c r="BG48" s="485">
        <v>2</v>
      </c>
    </row>
    <row r="49" spans="24:59" ht="12.75" customHeight="1" x14ac:dyDescent="0.15">
      <c r="X49" s="627" t="s">
        <v>1137</v>
      </c>
      <c r="AN49" s="627" t="s">
        <v>836</v>
      </c>
      <c r="AP49" s="627" t="s">
        <v>390</v>
      </c>
      <c r="AR49" s="627" t="s">
        <v>391</v>
      </c>
      <c r="BA49" s="629" t="s">
        <v>1230</v>
      </c>
      <c r="BE49" s="627" t="s">
        <v>391</v>
      </c>
      <c r="BF49" s="485">
        <v>1</v>
      </c>
      <c r="BG49" s="485">
        <v>1</v>
      </c>
    </row>
    <row r="50" spans="24:59" ht="12.75" customHeight="1" x14ac:dyDescent="0.15">
      <c r="X50" s="627" t="s">
        <v>1133</v>
      </c>
      <c r="AN50" s="627" t="s">
        <v>835</v>
      </c>
      <c r="AP50" s="627" t="s">
        <v>392</v>
      </c>
      <c r="AR50" s="627" t="s">
        <v>393</v>
      </c>
      <c r="BA50" s="629" t="s">
        <v>1231</v>
      </c>
      <c r="BE50" s="627" t="s">
        <v>393</v>
      </c>
      <c r="BF50" s="485">
        <v>1</v>
      </c>
      <c r="BG50" s="486">
        <v>2</v>
      </c>
    </row>
    <row r="51" spans="24:59" ht="12.75" customHeight="1" x14ac:dyDescent="0.15">
      <c r="X51" s="627" t="s">
        <v>1134</v>
      </c>
      <c r="AN51" s="627" t="s">
        <v>834</v>
      </c>
      <c r="AP51" s="627" t="s">
        <v>394</v>
      </c>
      <c r="AR51" s="627" t="s">
        <v>395</v>
      </c>
      <c r="BA51" s="629" t="s">
        <v>1232</v>
      </c>
      <c r="BE51" s="627" t="s">
        <v>395</v>
      </c>
      <c r="BF51" s="485">
        <v>1</v>
      </c>
      <c r="BG51" s="486">
        <v>2</v>
      </c>
    </row>
    <row r="52" spans="24:59" ht="12.75" customHeight="1" x14ac:dyDescent="0.15">
      <c r="X52" s="627" t="s">
        <v>1135</v>
      </c>
      <c r="AN52" s="627" t="s">
        <v>833</v>
      </c>
      <c r="AP52" s="627" t="s">
        <v>396</v>
      </c>
      <c r="AR52" s="627" t="s">
        <v>397</v>
      </c>
      <c r="BA52" s="629" t="s">
        <v>1233</v>
      </c>
      <c r="BE52" s="627" t="s">
        <v>397</v>
      </c>
      <c r="BF52" s="485">
        <v>1</v>
      </c>
      <c r="BG52" s="486">
        <v>2</v>
      </c>
    </row>
    <row r="53" spans="24:59" ht="12.75" customHeight="1" x14ac:dyDescent="0.15">
      <c r="X53" s="627" t="s">
        <v>1136</v>
      </c>
      <c r="AN53" s="627" t="s">
        <v>832</v>
      </c>
      <c r="AP53" s="627" t="s">
        <v>398</v>
      </c>
      <c r="AR53" s="627" t="s">
        <v>399</v>
      </c>
      <c r="BA53" s="629" t="s">
        <v>1234</v>
      </c>
      <c r="BE53" s="627" t="s">
        <v>399</v>
      </c>
      <c r="BF53" s="485">
        <v>1</v>
      </c>
      <c r="BG53" s="485">
        <v>1</v>
      </c>
    </row>
    <row r="54" spans="24:59" ht="12.75" customHeight="1" x14ac:dyDescent="0.15">
      <c r="X54" s="632" t="s">
        <v>1140</v>
      </c>
      <c r="AN54" s="627" t="s">
        <v>831</v>
      </c>
      <c r="AP54" s="627" t="s">
        <v>400</v>
      </c>
      <c r="AR54" s="627" t="s">
        <v>401</v>
      </c>
      <c r="BA54" s="629" t="s">
        <v>1235</v>
      </c>
      <c r="BE54" s="627" t="s">
        <v>401</v>
      </c>
      <c r="BF54" s="485">
        <v>2</v>
      </c>
      <c r="BG54" s="485">
        <v>2</v>
      </c>
    </row>
    <row r="55" spans="24:59" ht="12.75" customHeight="1" x14ac:dyDescent="0.15">
      <c r="X55" s="632" t="s">
        <v>1138</v>
      </c>
      <c r="AN55" s="627" t="s">
        <v>830</v>
      </c>
      <c r="AP55" s="627" t="s">
        <v>402</v>
      </c>
      <c r="AR55" s="627" t="s">
        <v>403</v>
      </c>
      <c r="BA55" s="629" t="s">
        <v>1236</v>
      </c>
      <c r="BE55" s="627" t="s">
        <v>403</v>
      </c>
      <c r="BF55" s="485">
        <v>1</v>
      </c>
      <c r="BG55" s="485">
        <v>1</v>
      </c>
    </row>
    <row r="56" spans="24:59" ht="12.75" customHeight="1" x14ac:dyDescent="0.15">
      <c r="AN56" s="627" t="s">
        <v>829</v>
      </c>
      <c r="AP56" s="627" t="s">
        <v>404</v>
      </c>
      <c r="AR56" s="627" t="s">
        <v>405</v>
      </c>
      <c r="BA56" s="629" t="s">
        <v>1237</v>
      </c>
      <c r="BE56" s="627" t="s">
        <v>405</v>
      </c>
      <c r="BF56" s="485">
        <v>1</v>
      </c>
      <c r="BG56" s="485">
        <v>1</v>
      </c>
    </row>
    <row r="57" spans="24:59" ht="12.75" customHeight="1" x14ac:dyDescent="0.15">
      <c r="AN57" s="627" t="s">
        <v>828</v>
      </c>
      <c r="AP57" s="627" t="s">
        <v>406</v>
      </c>
      <c r="AR57" s="627" t="s">
        <v>407</v>
      </c>
      <c r="BA57" s="629" t="s">
        <v>1238</v>
      </c>
      <c r="BE57" s="627" t="s">
        <v>407</v>
      </c>
      <c r="BF57" s="485">
        <v>1</v>
      </c>
      <c r="BG57" s="485">
        <v>1</v>
      </c>
    </row>
    <row r="58" spans="24:59" ht="12.75" customHeight="1" x14ac:dyDescent="0.15">
      <c r="AN58" s="627" t="s">
        <v>382</v>
      </c>
      <c r="AP58" s="627" t="s">
        <v>408</v>
      </c>
      <c r="AR58" s="627" t="s">
        <v>409</v>
      </c>
      <c r="BA58" s="629" t="s">
        <v>1239</v>
      </c>
      <c r="BE58" s="627" t="s">
        <v>409</v>
      </c>
      <c r="BF58" s="485">
        <v>1</v>
      </c>
      <c r="BG58" s="486">
        <v>2</v>
      </c>
    </row>
    <row r="59" spans="24:59" ht="12.75" customHeight="1" x14ac:dyDescent="0.15">
      <c r="AN59" s="627" t="s">
        <v>827</v>
      </c>
      <c r="AP59" s="627" t="s">
        <v>410</v>
      </c>
      <c r="BA59" s="629" t="s">
        <v>1240</v>
      </c>
      <c r="BE59" s="627" t="s">
        <v>826</v>
      </c>
      <c r="BF59" s="485">
        <v>0</v>
      </c>
      <c r="BG59" s="485">
        <v>1</v>
      </c>
    </row>
    <row r="60" spans="24:59" ht="12.75" customHeight="1" x14ac:dyDescent="0.15">
      <c r="AN60" s="627" t="s">
        <v>825</v>
      </c>
      <c r="AP60" s="627" t="s">
        <v>411</v>
      </c>
      <c r="BA60" s="629" t="s">
        <v>1241</v>
      </c>
      <c r="BE60" s="627" t="s">
        <v>824</v>
      </c>
      <c r="BF60" s="485">
        <v>0</v>
      </c>
      <c r="BG60" s="486">
        <v>2</v>
      </c>
    </row>
    <row r="61" spans="24:59" ht="12.75" customHeight="1" x14ac:dyDescent="0.15">
      <c r="AN61" s="627" t="s">
        <v>823</v>
      </c>
      <c r="AP61" s="627" t="s">
        <v>412</v>
      </c>
      <c r="BA61" s="629" t="s">
        <v>1242</v>
      </c>
      <c r="BE61" s="627" t="s">
        <v>822</v>
      </c>
      <c r="BF61" s="485">
        <v>0</v>
      </c>
      <c r="BG61" s="486">
        <v>0</v>
      </c>
    </row>
    <row r="62" spans="24:59" ht="12.75" customHeight="1" x14ac:dyDescent="0.15">
      <c r="AN62" s="627" t="s">
        <v>821</v>
      </c>
      <c r="AP62" s="627" t="s">
        <v>413</v>
      </c>
      <c r="BA62" s="629" t="s">
        <v>1243</v>
      </c>
      <c r="BE62" s="627" t="s">
        <v>820</v>
      </c>
      <c r="BF62" s="485">
        <v>0</v>
      </c>
      <c r="BG62" s="486">
        <v>1</v>
      </c>
    </row>
    <row r="63" spans="24:59" ht="12.75" customHeight="1" x14ac:dyDescent="0.15">
      <c r="AN63" s="627" t="s">
        <v>819</v>
      </c>
      <c r="AP63" s="627" t="s">
        <v>414</v>
      </c>
      <c r="BA63" s="629" t="s">
        <v>1244</v>
      </c>
      <c r="BE63" s="627" t="s">
        <v>818</v>
      </c>
      <c r="BF63" s="485">
        <v>0</v>
      </c>
      <c r="BG63" s="486">
        <v>1</v>
      </c>
    </row>
    <row r="64" spans="24:59" ht="12.75" customHeight="1" x14ac:dyDescent="0.15">
      <c r="AN64" s="627" t="s">
        <v>487</v>
      </c>
      <c r="AP64" s="627" t="s">
        <v>415</v>
      </c>
      <c r="BA64" s="629" t="s">
        <v>1245</v>
      </c>
      <c r="BE64" s="627" t="s">
        <v>817</v>
      </c>
      <c r="BF64" s="485">
        <v>0</v>
      </c>
      <c r="BG64" s="486">
        <v>1</v>
      </c>
    </row>
    <row r="65" spans="40:59" ht="12.75" customHeight="1" x14ac:dyDescent="0.15">
      <c r="AN65" s="627" t="s">
        <v>816</v>
      </c>
      <c r="AP65" s="627" t="s">
        <v>416</v>
      </c>
      <c r="BA65" s="629" t="s">
        <v>1224</v>
      </c>
      <c r="BE65" s="627" t="s">
        <v>1158</v>
      </c>
      <c r="BF65" s="485">
        <v>0</v>
      </c>
      <c r="BG65" s="486">
        <v>2</v>
      </c>
    </row>
    <row r="66" spans="40:59" ht="12.75" customHeight="1" x14ac:dyDescent="0.15">
      <c r="AN66" s="627" t="s">
        <v>815</v>
      </c>
      <c r="AP66" s="627" t="s">
        <v>417</v>
      </c>
      <c r="BA66" s="629" t="s">
        <v>1223</v>
      </c>
    </row>
    <row r="67" spans="40:59" ht="12.75" customHeight="1" x14ac:dyDescent="0.15">
      <c r="AN67" s="627" t="s">
        <v>814</v>
      </c>
      <c r="AP67" s="627" t="s">
        <v>418</v>
      </c>
      <c r="BA67" s="629" t="s">
        <v>1222</v>
      </c>
    </row>
    <row r="68" spans="40:59" ht="12.75" customHeight="1" x14ac:dyDescent="0.15">
      <c r="AN68" s="627" t="s">
        <v>309</v>
      </c>
      <c r="AP68" s="627" t="s">
        <v>419</v>
      </c>
      <c r="BA68" s="629" t="s">
        <v>1221</v>
      </c>
    </row>
    <row r="69" spans="40:59" ht="12.75" customHeight="1" x14ac:dyDescent="0.15">
      <c r="AN69" s="627" t="s">
        <v>813</v>
      </c>
      <c r="AP69" s="627" t="s">
        <v>420</v>
      </c>
      <c r="BA69" s="629" t="s">
        <v>1213</v>
      </c>
    </row>
    <row r="70" spans="40:59" ht="12.75" customHeight="1" x14ac:dyDescent="0.15">
      <c r="AN70" s="627" t="s">
        <v>812</v>
      </c>
      <c r="AP70" s="627" t="s">
        <v>421</v>
      </c>
      <c r="BA70" s="629" t="s">
        <v>1215</v>
      </c>
    </row>
    <row r="71" spans="40:59" ht="12.75" customHeight="1" x14ac:dyDescent="0.15">
      <c r="AN71" s="627" t="s">
        <v>811</v>
      </c>
      <c r="AP71" s="627" t="s">
        <v>422</v>
      </c>
      <c r="BA71" s="629" t="s">
        <v>1214</v>
      </c>
    </row>
    <row r="72" spans="40:59" ht="12.75" customHeight="1" x14ac:dyDescent="0.15">
      <c r="AN72" s="627" t="s">
        <v>810</v>
      </c>
      <c r="AP72" s="627" t="s">
        <v>423</v>
      </c>
      <c r="BA72" s="629" t="s">
        <v>1216</v>
      </c>
    </row>
    <row r="73" spans="40:59" ht="12.75" customHeight="1" x14ac:dyDescent="0.15">
      <c r="AN73" s="627" t="s">
        <v>809</v>
      </c>
      <c r="AP73" s="627" t="s">
        <v>424</v>
      </c>
      <c r="BA73" s="630" t="s">
        <v>1217</v>
      </c>
    </row>
    <row r="74" spans="40:59" ht="12.75" customHeight="1" x14ac:dyDescent="0.15">
      <c r="AN74" s="627" t="s">
        <v>80</v>
      </c>
      <c r="AP74" s="627" t="s">
        <v>425</v>
      </c>
      <c r="BA74" s="630" t="s">
        <v>1218</v>
      </c>
    </row>
    <row r="75" spans="40:59" ht="12.75" customHeight="1" x14ac:dyDescent="0.15">
      <c r="AP75" s="627" t="s">
        <v>808</v>
      </c>
      <c r="BA75" s="629" t="s">
        <v>1219</v>
      </c>
    </row>
    <row r="76" spans="40:59" ht="12.75" customHeight="1" x14ac:dyDescent="0.15">
      <c r="AP76" s="627" t="s">
        <v>807</v>
      </c>
      <c r="BA76" s="629" t="s">
        <v>1220</v>
      </c>
    </row>
    <row r="77" spans="40:59" ht="12.75" customHeight="1" x14ac:dyDescent="0.15">
      <c r="AP77" s="627" t="s">
        <v>806</v>
      </c>
      <c r="BA77" s="629" t="s">
        <v>1210</v>
      </c>
    </row>
    <row r="78" spans="40:59" ht="12.75" customHeight="1" x14ac:dyDescent="0.15">
      <c r="AP78" s="627" t="s">
        <v>805</v>
      </c>
      <c r="BA78" s="629" t="s">
        <v>1209</v>
      </c>
    </row>
    <row r="79" spans="40:59" ht="12.75" customHeight="1" x14ac:dyDescent="0.15">
      <c r="AP79" s="627" t="s">
        <v>804</v>
      </c>
      <c r="BA79" s="629" t="s">
        <v>1207</v>
      </c>
    </row>
    <row r="80" spans="40:59" ht="12.75" customHeight="1" x14ac:dyDescent="0.15">
      <c r="AP80" s="627" t="s">
        <v>357</v>
      </c>
      <c r="BA80" s="629" t="s">
        <v>1208</v>
      </c>
    </row>
    <row r="81" spans="1:1020" s="485" customFormat="1" ht="12.75" customHeight="1" x14ac:dyDescent="0.15">
      <c r="A81" s="627"/>
      <c r="B81" s="627"/>
      <c r="C81" s="627"/>
      <c r="D81" s="627"/>
      <c r="E81" s="627"/>
      <c r="F81" s="627"/>
      <c r="G81" s="627"/>
      <c r="H81" s="627"/>
      <c r="I81" s="627"/>
      <c r="J81" s="627"/>
      <c r="K81" s="627"/>
      <c r="L81" s="627"/>
      <c r="M81" s="627"/>
      <c r="N81" s="627"/>
      <c r="O81" s="627"/>
      <c r="P81" s="627"/>
      <c r="Q81" s="627"/>
      <c r="R81" s="627"/>
      <c r="S81" s="627"/>
      <c r="T81" s="627"/>
      <c r="U81" s="627"/>
      <c r="V81" s="627"/>
      <c r="W81" s="627"/>
      <c r="X81" s="627"/>
      <c r="Y81" s="627"/>
      <c r="Z81" s="627"/>
      <c r="AA81" s="627"/>
      <c r="AB81" s="627"/>
      <c r="AC81" s="627"/>
      <c r="AD81" s="627"/>
      <c r="AE81" s="627"/>
      <c r="AF81" s="627"/>
      <c r="AG81" s="627"/>
      <c r="AH81" s="627"/>
      <c r="AI81" s="627"/>
      <c r="AJ81" s="627"/>
      <c r="AK81" s="627"/>
      <c r="AL81" s="627"/>
      <c r="AM81" s="627"/>
      <c r="AN81" s="627"/>
      <c r="AO81" s="627"/>
      <c r="AP81" s="627" t="s">
        <v>803</v>
      </c>
      <c r="AQ81" s="627"/>
      <c r="AR81" s="627"/>
      <c r="AS81" s="627"/>
      <c r="AT81" s="627"/>
      <c r="AU81" s="627"/>
      <c r="AV81" s="627"/>
      <c r="AW81" s="627"/>
      <c r="AX81" s="627"/>
      <c r="AY81" s="627"/>
      <c r="AZ81" s="627"/>
      <c r="BA81" s="629" t="s">
        <v>1206</v>
      </c>
      <c r="BB81" s="627"/>
      <c r="BC81" s="627"/>
      <c r="BD81" s="627"/>
      <c r="BE81" s="627"/>
      <c r="BG81" s="486"/>
      <c r="BH81" s="436"/>
      <c r="BI81" s="436"/>
      <c r="BJ81" s="436"/>
      <c r="BK81" s="436"/>
      <c r="BL81" s="436"/>
      <c r="BM81" s="436"/>
      <c r="BN81" s="436"/>
      <c r="BO81" s="436"/>
      <c r="BP81" s="436"/>
      <c r="BQ81" s="436"/>
      <c r="BR81" s="436"/>
      <c r="BS81" s="436"/>
      <c r="BT81" s="436"/>
      <c r="BU81" s="436"/>
      <c r="BV81" s="627"/>
      <c r="BW81" s="627"/>
      <c r="BX81" s="627"/>
      <c r="BY81" s="627"/>
      <c r="BZ81" s="627"/>
      <c r="CA81" s="627"/>
      <c r="CB81" s="627"/>
      <c r="CC81" s="627"/>
      <c r="CD81" s="627"/>
      <c r="CE81" s="627"/>
      <c r="CF81" s="627"/>
      <c r="CG81" s="627"/>
      <c r="CH81" s="627"/>
      <c r="CI81" s="627"/>
      <c r="CJ81" s="627"/>
      <c r="CK81" s="627"/>
      <c r="CL81" s="627"/>
      <c r="CM81" s="627"/>
      <c r="CN81" s="627"/>
      <c r="CO81" s="627"/>
      <c r="CP81" s="627"/>
      <c r="CQ81" s="627"/>
      <c r="CR81" s="627"/>
      <c r="CS81" s="627"/>
      <c r="CT81" s="627"/>
      <c r="CU81" s="627"/>
      <c r="CV81" s="627"/>
      <c r="CW81" s="627"/>
      <c r="CX81" s="627"/>
      <c r="CY81" s="627"/>
      <c r="CZ81" s="627"/>
      <c r="DA81" s="627"/>
      <c r="DB81" s="627"/>
      <c r="DC81" s="627"/>
      <c r="DD81" s="627"/>
      <c r="DE81" s="627"/>
      <c r="DF81" s="627"/>
      <c r="DG81" s="627"/>
      <c r="DH81" s="627"/>
      <c r="DI81" s="627"/>
      <c r="DJ81" s="627"/>
      <c r="DK81" s="627"/>
      <c r="DL81" s="627"/>
      <c r="DM81" s="627"/>
      <c r="DN81" s="627"/>
      <c r="DO81" s="627"/>
      <c r="DP81" s="627"/>
      <c r="DQ81" s="627"/>
      <c r="DR81" s="627"/>
      <c r="DS81" s="627"/>
      <c r="DT81" s="627"/>
      <c r="DU81" s="627"/>
      <c r="DV81" s="627"/>
      <c r="DW81" s="627"/>
      <c r="DX81" s="627"/>
      <c r="DY81" s="627"/>
      <c r="DZ81" s="627"/>
      <c r="EA81" s="627"/>
      <c r="EB81" s="627"/>
      <c r="EC81" s="627"/>
      <c r="ED81" s="627"/>
      <c r="EE81" s="627"/>
      <c r="EF81" s="627"/>
      <c r="EG81" s="627"/>
      <c r="EH81" s="627"/>
      <c r="EI81" s="627"/>
      <c r="EJ81" s="627"/>
      <c r="EK81" s="627"/>
      <c r="EL81" s="627"/>
      <c r="EM81" s="627"/>
      <c r="EN81" s="627"/>
      <c r="EO81" s="627"/>
      <c r="EP81" s="627"/>
      <c r="EQ81" s="627"/>
      <c r="ER81" s="627"/>
      <c r="ES81" s="627"/>
      <c r="ET81" s="627"/>
      <c r="EU81" s="627"/>
      <c r="EV81" s="627"/>
      <c r="EW81" s="627"/>
      <c r="EX81" s="627"/>
      <c r="EY81" s="627"/>
      <c r="EZ81" s="627"/>
      <c r="FA81" s="627"/>
      <c r="FB81" s="627"/>
      <c r="FC81" s="627"/>
      <c r="FD81" s="627"/>
      <c r="FE81" s="627"/>
      <c r="FF81" s="627"/>
      <c r="FG81" s="627"/>
      <c r="FH81" s="627"/>
      <c r="FI81" s="627"/>
      <c r="FJ81" s="627"/>
      <c r="FK81" s="627"/>
      <c r="FL81" s="627"/>
      <c r="FM81" s="627"/>
      <c r="FN81" s="627"/>
      <c r="FO81" s="627"/>
      <c r="FP81" s="627"/>
      <c r="FQ81" s="627"/>
      <c r="FR81" s="627"/>
      <c r="FS81" s="627"/>
      <c r="FT81" s="627"/>
      <c r="FU81" s="627"/>
      <c r="FV81" s="627"/>
      <c r="FW81" s="627"/>
      <c r="FX81" s="627"/>
      <c r="FY81" s="627"/>
      <c r="FZ81" s="627"/>
      <c r="GA81" s="627"/>
      <c r="GB81" s="627"/>
      <c r="GC81" s="627"/>
      <c r="GD81" s="627"/>
      <c r="GE81" s="627"/>
      <c r="GF81" s="627"/>
      <c r="GG81" s="627"/>
      <c r="GH81" s="627"/>
      <c r="GI81" s="627"/>
      <c r="GJ81" s="627"/>
      <c r="GK81" s="627"/>
      <c r="GL81" s="627"/>
      <c r="GM81" s="627"/>
      <c r="GN81" s="627"/>
      <c r="GO81" s="627"/>
      <c r="GP81" s="627"/>
      <c r="GQ81" s="627"/>
      <c r="GR81" s="627"/>
      <c r="GS81" s="627"/>
      <c r="GT81" s="627"/>
      <c r="GU81" s="627"/>
      <c r="GV81" s="627"/>
      <c r="GW81" s="627"/>
      <c r="GX81" s="627"/>
      <c r="GY81" s="627"/>
      <c r="GZ81" s="627"/>
      <c r="HA81" s="627"/>
      <c r="HB81" s="627"/>
      <c r="HC81" s="627"/>
      <c r="HD81" s="627"/>
      <c r="HE81" s="627"/>
      <c r="HF81" s="627"/>
      <c r="HG81" s="627"/>
      <c r="HH81" s="627"/>
      <c r="HI81" s="627"/>
      <c r="HJ81" s="627"/>
      <c r="HK81" s="627"/>
      <c r="HL81" s="627"/>
      <c r="HM81" s="627"/>
      <c r="HN81" s="627"/>
      <c r="HO81" s="627"/>
      <c r="HP81" s="627"/>
      <c r="HQ81" s="627"/>
      <c r="HR81" s="627"/>
      <c r="HS81" s="627"/>
      <c r="HT81" s="627"/>
      <c r="HU81" s="627"/>
      <c r="HV81" s="627"/>
      <c r="HW81" s="627"/>
      <c r="HX81" s="627"/>
      <c r="HY81" s="627"/>
      <c r="HZ81" s="627"/>
      <c r="IA81" s="627"/>
      <c r="IB81" s="627"/>
      <c r="IC81" s="627"/>
      <c r="ID81" s="627"/>
      <c r="IE81" s="627"/>
      <c r="IF81" s="627"/>
      <c r="IG81" s="627"/>
      <c r="IH81" s="627"/>
      <c r="II81" s="627"/>
      <c r="IJ81" s="627"/>
      <c r="IK81" s="627"/>
      <c r="IL81" s="627"/>
      <c r="IM81" s="627"/>
      <c r="IN81" s="627"/>
      <c r="IO81" s="627"/>
      <c r="IP81" s="627"/>
      <c r="IQ81" s="627"/>
      <c r="IR81" s="627"/>
      <c r="IS81" s="627"/>
      <c r="IT81" s="627"/>
      <c r="IU81" s="627"/>
      <c r="IV81" s="627"/>
      <c r="IW81" s="627"/>
      <c r="IX81" s="627"/>
      <c r="IY81" s="627"/>
      <c r="IZ81" s="627"/>
      <c r="JA81" s="627"/>
      <c r="JB81" s="627"/>
      <c r="JC81" s="627"/>
      <c r="JD81" s="627"/>
      <c r="JE81" s="627"/>
      <c r="JF81" s="627"/>
      <c r="JG81" s="627"/>
      <c r="JH81" s="627"/>
      <c r="JI81" s="627"/>
      <c r="JJ81" s="627"/>
      <c r="JK81" s="627"/>
      <c r="JL81" s="627"/>
      <c r="JM81" s="627"/>
      <c r="JN81" s="627"/>
      <c r="JO81" s="627"/>
      <c r="JP81" s="627"/>
      <c r="JQ81" s="627"/>
      <c r="JR81" s="627"/>
      <c r="JS81" s="627"/>
      <c r="JT81" s="627"/>
      <c r="JU81" s="627"/>
      <c r="JV81" s="627"/>
      <c r="JW81" s="627"/>
      <c r="JX81" s="627"/>
      <c r="JY81" s="627"/>
      <c r="JZ81" s="627"/>
      <c r="KA81" s="627"/>
      <c r="KB81" s="627"/>
      <c r="KC81" s="627"/>
      <c r="KD81" s="627"/>
      <c r="KE81" s="627"/>
      <c r="KF81" s="627"/>
      <c r="KG81" s="627"/>
      <c r="KH81" s="627"/>
      <c r="KI81" s="627"/>
      <c r="KJ81" s="627"/>
      <c r="KK81" s="627"/>
      <c r="KL81" s="627"/>
      <c r="KM81" s="627"/>
      <c r="KN81" s="627"/>
      <c r="KO81" s="627"/>
      <c r="KP81" s="627"/>
      <c r="KQ81" s="627"/>
      <c r="KR81" s="627"/>
      <c r="KS81" s="627"/>
      <c r="KT81" s="627"/>
      <c r="KU81" s="627"/>
      <c r="KV81" s="627"/>
      <c r="KW81" s="627"/>
      <c r="KX81" s="627"/>
      <c r="KY81" s="627"/>
      <c r="KZ81" s="627"/>
      <c r="LA81" s="627"/>
      <c r="LB81" s="627"/>
      <c r="LC81" s="627"/>
      <c r="LD81" s="627"/>
      <c r="LE81" s="627"/>
      <c r="LF81" s="627"/>
      <c r="LG81" s="627"/>
      <c r="LH81" s="627"/>
      <c r="LI81" s="627"/>
      <c r="LJ81" s="627"/>
      <c r="LK81" s="627"/>
      <c r="LL81" s="627"/>
      <c r="LM81" s="627"/>
      <c r="LN81" s="627"/>
      <c r="LO81" s="627"/>
      <c r="LP81" s="627"/>
      <c r="LQ81" s="627"/>
      <c r="LR81" s="627"/>
      <c r="LS81" s="627"/>
      <c r="LT81" s="627"/>
      <c r="LU81" s="627"/>
      <c r="LV81" s="627"/>
      <c r="LW81" s="627"/>
      <c r="LX81" s="627"/>
      <c r="LY81" s="627"/>
      <c r="LZ81" s="627"/>
      <c r="MA81" s="627"/>
      <c r="MB81" s="627"/>
      <c r="MC81" s="627"/>
      <c r="MD81" s="627"/>
      <c r="ME81" s="627"/>
      <c r="MF81" s="627"/>
      <c r="MG81" s="627"/>
      <c r="MH81" s="627"/>
      <c r="MI81" s="627"/>
      <c r="MJ81" s="627"/>
      <c r="MK81" s="627"/>
      <c r="ML81" s="627"/>
      <c r="MM81" s="627"/>
      <c r="MN81" s="627"/>
      <c r="MO81" s="627"/>
      <c r="MP81" s="627"/>
      <c r="MQ81" s="627"/>
      <c r="MR81" s="627"/>
      <c r="MS81" s="627"/>
      <c r="MT81" s="627"/>
      <c r="MU81" s="627"/>
      <c r="MV81" s="627"/>
      <c r="MW81" s="627"/>
      <c r="MX81" s="627"/>
      <c r="MY81" s="627"/>
      <c r="MZ81" s="627"/>
      <c r="NA81" s="627"/>
      <c r="NB81" s="627"/>
      <c r="NC81" s="627"/>
      <c r="ND81" s="627"/>
      <c r="NE81" s="627"/>
      <c r="NF81" s="627"/>
      <c r="NG81" s="627"/>
      <c r="NH81" s="627"/>
      <c r="NI81" s="627"/>
      <c r="NJ81" s="627"/>
      <c r="NK81" s="627"/>
      <c r="NL81" s="627"/>
      <c r="NM81" s="627"/>
      <c r="NN81" s="627"/>
      <c r="NO81" s="627"/>
      <c r="NP81" s="627"/>
      <c r="NQ81" s="627"/>
      <c r="NR81" s="627"/>
      <c r="NS81" s="627"/>
      <c r="NT81" s="627"/>
      <c r="NU81" s="627"/>
      <c r="NV81" s="627"/>
      <c r="NW81" s="627"/>
      <c r="NX81" s="627"/>
      <c r="NY81" s="627"/>
      <c r="NZ81" s="627"/>
      <c r="OA81" s="627"/>
      <c r="OB81" s="627"/>
      <c r="OC81" s="627"/>
      <c r="OD81" s="627"/>
      <c r="OE81" s="627"/>
      <c r="OF81" s="627"/>
      <c r="OG81" s="627"/>
      <c r="OH81" s="627"/>
      <c r="OI81" s="627"/>
      <c r="OJ81" s="627"/>
      <c r="OK81" s="627"/>
      <c r="OL81" s="627"/>
      <c r="OM81" s="627"/>
      <c r="ON81" s="627"/>
      <c r="OO81" s="627"/>
      <c r="OP81" s="627"/>
      <c r="OQ81" s="627"/>
      <c r="OR81" s="627"/>
      <c r="OS81" s="627"/>
      <c r="OT81" s="627"/>
      <c r="OU81" s="627"/>
      <c r="OV81" s="627"/>
      <c r="OW81" s="627"/>
      <c r="OX81" s="627"/>
      <c r="OY81" s="627"/>
      <c r="OZ81" s="627"/>
      <c r="PA81" s="627"/>
      <c r="PB81" s="627"/>
      <c r="PC81" s="627"/>
      <c r="PD81" s="627"/>
      <c r="PE81" s="627"/>
      <c r="PF81" s="627"/>
      <c r="PG81" s="627"/>
      <c r="PH81" s="627"/>
      <c r="PI81" s="627"/>
      <c r="PJ81" s="627"/>
      <c r="PK81" s="627"/>
      <c r="PL81" s="627"/>
      <c r="PM81" s="627"/>
      <c r="PN81" s="627"/>
      <c r="PO81" s="627"/>
      <c r="PP81" s="627"/>
      <c r="PQ81" s="627"/>
      <c r="PR81" s="627"/>
      <c r="PS81" s="627"/>
      <c r="PT81" s="627"/>
      <c r="PU81" s="627"/>
      <c r="PV81" s="627"/>
      <c r="PW81" s="627"/>
      <c r="PX81" s="627"/>
      <c r="PY81" s="627"/>
      <c r="PZ81" s="627"/>
      <c r="QA81" s="627"/>
      <c r="QB81" s="627"/>
      <c r="QC81" s="627"/>
      <c r="QD81" s="627"/>
      <c r="QE81" s="627"/>
      <c r="QF81" s="627"/>
      <c r="QG81" s="627"/>
      <c r="QH81" s="627"/>
      <c r="QI81" s="627"/>
      <c r="QJ81" s="627"/>
      <c r="QK81" s="627"/>
      <c r="QL81" s="627"/>
      <c r="QM81" s="627"/>
      <c r="QN81" s="627"/>
      <c r="QO81" s="627"/>
      <c r="QP81" s="627"/>
      <c r="QQ81" s="627"/>
      <c r="QR81" s="627"/>
      <c r="QS81" s="627"/>
      <c r="QT81" s="627"/>
      <c r="QU81" s="627"/>
      <c r="QV81" s="627"/>
      <c r="QW81" s="627"/>
      <c r="QX81" s="627"/>
      <c r="QY81" s="627"/>
      <c r="QZ81" s="627"/>
      <c r="RA81" s="627"/>
      <c r="RB81" s="627"/>
      <c r="RC81" s="627"/>
      <c r="RD81" s="627"/>
      <c r="RE81" s="627"/>
      <c r="RF81" s="627"/>
      <c r="RG81" s="627"/>
      <c r="RH81" s="627"/>
      <c r="RI81" s="627"/>
      <c r="RJ81" s="627"/>
      <c r="RK81" s="627"/>
      <c r="RL81" s="627"/>
      <c r="RM81" s="627"/>
      <c r="RN81" s="627"/>
      <c r="RO81" s="627"/>
      <c r="RP81" s="627"/>
      <c r="RQ81" s="627"/>
      <c r="RR81" s="627"/>
      <c r="RS81" s="627"/>
      <c r="RT81" s="627"/>
      <c r="RU81" s="627"/>
      <c r="RV81" s="627"/>
      <c r="RW81" s="627"/>
      <c r="RX81" s="627"/>
      <c r="RY81" s="627"/>
      <c r="RZ81" s="627"/>
      <c r="SA81" s="627"/>
      <c r="SB81" s="627"/>
      <c r="SC81" s="627"/>
      <c r="SD81" s="627"/>
      <c r="SE81" s="627"/>
      <c r="SF81" s="627"/>
      <c r="SG81" s="627"/>
      <c r="SH81" s="627"/>
      <c r="SI81" s="627"/>
      <c r="SJ81" s="627"/>
      <c r="SK81" s="627"/>
      <c r="SL81" s="627"/>
      <c r="SM81" s="627"/>
      <c r="SN81" s="627"/>
      <c r="SO81" s="627"/>
      <c r="SP81" s="627"/>
      <c r="SQ81" s="627"/>
      <c r="SR81" s="627"/>
      <c r="SS81" s="627"/>
      <c r="ST81" s="627"/>
      <c r="SU81" s="627"/>
      <c r="SV81" s="627"/>
      <c r="SW81" s="627"/>
      <c r="SX81" s="627"/>
      <c r="SY81" s="627"/>
      <c r="SZ81" s="627"/>
      <c r="TA81" s="627"/>
      <c r="TB81" s="627"/>
      <c r="TC81" s="627"/>
      <c r="TD81" s="627"/>
      <c r="TE81" s="627"/>
      <c r="TF81" s="627"/>
      <c r="TG81" s="627"/>
      <c r="TH81" s="627"/>
      <c r="TI81" s="627"/>
      <c r="TJ81" s="627"/>
      <c r="TK81" s="627"/>
      <c r="TL81" s="627"/>
      <c r="TM81" s="627"/>
      <c r="TN81" s="627"/>
      <c r="TO81" s="627"/>
      <c r="TP81" s="627"/>
      <c r="TQ81" s="627"/>
      <c r="TR81" s="627"/>
      <c r="TS81" s="627"/>
      <c r="TT81" s="627"/>
      <c r="TU81" s="627"/>
      <c r="TV81" s="627"/>
      <c r="TW81" s="627"/>
      <c r="TX81" s="627"/>
      <c r="TY81" s="627"/>
      <c r="TZ81" s="627"/>
      <c r="UA81" s="627"/>
      <c r="UB81" s="627"/>
      <c r="UC81" s="627"/>
      <c r="UD81" s="627"/>
      <c r="UE81" s="627"/>
      <c r="UF81" s="627"/>
      <c r="UG81" s="627"/>
      <c r="UH81" s="627"/>
      <c r="UI81" s="627"/>
      <c r="UJ81" s="627"/>
      <c r="UK81" s="627"/>
      <c r="UL81" s="627"/>
      <c r="UM81" s="627"/>
      <c r="UN81" s="627"/>
      <c r="UO81" s="627"/>
      <c r="UP81" s="627"/>
      <c r="UQ81" s="627"/>
      <c r="UR81" s="627"/>
      <c r="US81" s="627"/>
      <c r="UT81" s="627"/>
      <c r="UU81" s="627"/>
      <c r="UV81" s="627"/>
      <c r="UW81" s="627"/>
      <c r="UX81" s="627"/>
      <c r="UY81" s="627"/>
      <c r="UZ81" s="627"/>
      <c r="VA81" s="627"/>
      <c r="VB81" s="627"/>
      <c r="VC81" s="627"/>
      <c r="VD81" s="627"/>
      <c r="VE81" s="627"/>
      <c r="VF81" s="627"/>
      <c r="VG81" s="627"/>
      <c r="VH81" s="627"/>
      <c r="VI81" s="627"/>
      <c r="VJ81" s="627"/>
      <c r="VK81" s="627"/>
      <c r="VL81" s="627"/>
      <c r="VM81" s="627"/>
      <c r="VN81" s="627"/>
      <c r="VO81" s="627"/>
      <c r="VP81" s="627"/>
      <c r="VQ81" s="627"/>
      <c r="VR81" s="627"/>
      <c r="VS81" s="627"/>
      <c r="VT81" s="627"/>
      <c r="VU81" s="627"/>
      <c r="VV81" s="627"/>
      <c r="VW81" s="627"/>
      <c r="VX81" s="627"/>
      <c r="VY81" s="627"/>
      <c r="VZ81" s="627"/>
      <c r="WA81" s="627"/>
      <c r="WB81" s="627"/>
      <c r="WC81" s="627"/>
      <c r="WD81" s="627"/>
      <c r="WE81" s="627"/>
      <c r="WF81" s="627"/>
      <c r="WG81" s="627"/>
      <c r="WH81" s="627"/>
      <c r="WI81" s="627"/>
      <c r="WJ81" s="627"/>
      <c r="WK81" s="627"/>
      <c r="WL81" s="627"/>
      <c r="WM81" s="627"/>
      <c r="WN81" s="627"/>
      <c r="WO81" s="627"/>
      <c r="WP81" s="627"/>
      <c r="WQ81" s="627"/>
      <c r="WR81" s="627"/>
      <c r="WS81" s="627"/>
      <c r="WT81" s="627"/>
      <c r="WU81" s="627"/>
      <c r="WV81" s="627"/>
      <c r="WW81" s="627"/>
      <c r="WX81" s="627"/>
      <c r="WY81" s="627"/>
      <c r="WZ81" s="627"/>
      <c r="XA81" s="627"/>
      <c r="XB81" s="627"/>
      <c r="XC81" s="627"/>
      <c r="XD81" s="627"/>
      <c r="XE81" s="627"/>
      <c r="XF81" s="627"/>
      <c r="XG81" s="627"/>
      <c r="XH81" s="627"/>
      <c r="XI81" s="627"/>
      <c r="XJ81" s="627"/>
      <c r="XK81" s="627"/>
      <c r="XL81" s="627"/>
      <c r="XM81" s="627"/>
      <c r="XN81" s="627"/>
      <c r="XO81" s="627"/>
      <c r="XP81" s="627"/>
      <c r="XQ81" s="627"/>
      <c r="XR81" s="627"/>
      <c r="XS81" s="627"/>
      <c r="XT81" s="627"/>
      <c r="XU81" s="627"/>
      <c r="XV81" s="627"/>
      <c r="XW81" s="627"/>
      <c r="XX81" s="627"/>
      <c r="XY81" s="627"/>
      <c r="XZ81" s="627"/>
      <c r="YA81" s="627"/>
      <c r="YB81" s="627"/>
      <c r="YC81" s="627"/>
      <c r="YD81" s="627"/>
      <c r="YE81" s="627"/>
      <c r="YF81" s="627"/>
      <c r="YG81" s="627"/>
      <c r="YH81" s="627"/>
      <c r="YI81" s="627"/>
      <c r="YJ81" s="627"/>
      <c r="YK81" s="627"/>
      <c r="YL81" s="627"/>
      <c r="YM81" s="627"/>
      <c r="YN81" s="627"/>
      <c r="YO81" s="627"/>
      <c r="YP81" s="627"/>
      <c r="YQ81" s="627"/>
      <c r="YR81" s="627"/>
      <c r="YS81" s="627"/>
      <c r="YT81" s="627"/>
      <c r="YU81" s="627"/>
      <c r="YV81" s="627"/>
      <c r="YW81" s="627"/>
      <c r="YX81" s="627"/>
      <c r="YY81" s="627"/>
      <c r="YZ81" s="627"/>
      <c r="ZA81" s="627"/>
      <c r="ZB81" s="627"/>
      <c r="ZC81" s="627"/>
      <c r="ZD81" s="627"/>
      <c r="ZE81" s="627"/>
      <c r="ZF81" s="627"/>
      <c r="ZG81" s="627"/>
      <c r="ZH81" s="627"/>
      <c r="ZI81" s="627"/>
      <c r="ZJ81" s="627"/>
      <c r="ZK81" s="627"/>
      <c r="ZL81" s="627"/>
      <c r="ZM81" s="627"/>
      <c r="ZN81" s="627"/>
      <c r="ZO81" s="627"/>
      <c r="ZP81" s="627"/>
      <c r="ZQ81" s="627"/>
      <c r="ZR81" s="627"/>
      <c r="ZS81" s="627"/>
      <c r="ZT81" s="627"/>
      <c r="ZU81" s="627"/>
      <c r="ZV81" s="627"/>
      <c r="ZW81" s="627"/>
      <c r="ZX81" s="627"/>
      <c r="ZY81" s="627"/>
      <c r="ZZ81" s="627"/>
      <c r="AAA81" s="627"/>
      <c r="AAB81" s="627"/>
      <c r="AAC81" s="627"/>
      <c r="AAD81" s="627"/>
      <c r="AAE81" s="627"/>
      <c r="AAF81" s="627"/>
      <c r="AAG81" s="627"/>
      <c r="AAH81" s="627"/>
      <c r="AAI81" s="627"/>
      <c r="AAJ81" s="627"/>
      <c r="AAK81" s="627"/>
      <c r="AAL81" s="627"/>
      <c r="AAM81" s="627"/>
      <c r="AAN81" s="627"/>
      <c r="AAO81" s="627"/>
      <c r="AAP81" s="627"/>
      <c r="AAQ81" s="627"/>
      <c r="AAR81" s="627"/>
      <c r="AAS81" s="627"/>
      <c r="AAT81" s="627"/>
      <c r="AAU81" s="627"/>
      <c r="AAV81" s="627"/>
      <c r="AAW81" s="627"/>
      <c r="AAX81" s="627"/>
      <c r="AAY81" s="627"/>
      <c r="AAZ81" s="627"/>
      <c r="ABA81" s="627"/>
      <c r="ABB81" s="627"/>
      <c r="ABC81" s="627"/>
      <c r="ABD81" s="627"/>
      <c r="ABE81" s="627"/>
      <c r="ABF81" s="627"/>
      <c r="ABG81" s="627"/>
      <c r="ABH81" s="627"/>
      <c r="ABI81" s="627"/>
      <c r="ABJ81" s="627"/>
      <c r="ABK81" s="627"/>
      <c r="ABL81" s="627"/>
      <c r="ABM81" s="627"/>
      <c r="ABN81" s="627"/>
      <c r="ABO81" s="627"/>
      <c r="ABP81" s="627"/>
      <c r="ABQ81" s="627"/>
      <c r="ABR81" s="627"/>
      <c r="ABS81" s="627"/>
      <c r="ABT81" s="627"/>
      <c r="ABU81" s="627"/>
      <c r="ABV81" s="627"/>
      <c r="ABW81" s="627"/>
      <c r="ABX81" s="627"/>
      <c r="ABY81" s="627"/>
      <c r="ABZ81" s="627"/>
      <c r="ACA81" s="627"/>
      <c r="ACB81" s="627"/>
      <c r="ACC81" s="627"/>
      <c r="ACD81" s="627"/>
      <c r="ACE81" s="627"/>
      <c r="ACF81" s="627"/>
      <c r="ACG81" s="627"/>
      <c r="ACH81" s="627"/>
      <c r="ACI81" s="627"/>
      <c r="ACJ81" s="627"/>
      <c r="ACK81" s="627"/>
      <c r="ACL81" s="627"/>
      <c r="ACM81" s="627"/>
      <c r="ACN81" s="627"/>
      <c r="ACO81" s="627"/>
      <c r="ACP81" s="627"/>
      <c r="ACQ81" s="627"/>
      <c r="ACR81" s="627"/>
      <c r="ACS81" s="627"/>
      <c r="ACT81" s="627"/>
      <c r="ACU81" s="627"/>
      <c r="ACV81" s="627"/>
      <c r="ACW81" s="627"/>
      <c r="ACX81" s="627"/>
      <c r="ACY81" s="627"/>
      <c r="ACZ81" s="627"/>
      <c r="ADA81" s="627"/>
      <c r="ADB81" s="627"/>
      <c r="ADC81" s="627"/>
      <c r="ADD81" s="627"/>
      <c r="ADE81" s="627"/>
      <c r="ADF81" s="627"/>
      <c r="ADG81" s="627"/>
      <c r="ADH81" s="627"/>
      <c r="ADI81" s="627"/>
      <c r="ADJ81" s="627"/>
      <c r="ADK81" s="627"/>
      <c r="ADL81" s="627"/>
      <c r="ADM81" s="627"/>
      <c r="ADN81" s="627"/>
      <c r="ADO81" s="627"/>
      <c r="ADP81" s="627"/>
      <c r="ADQ81" s="627"/>
      <c r="ADR81" s="627"/>
      <c r="ADS81" s="627"/>
      <c r="ADT81" s="627"/>
      <c r="ADU81" s="627"/>
      <c r="ADV81" s="627"/>
      <c r="ADW81" s="627"/>
      <c r="ADX81" s="627"/>
      <c r="ADY81" s="627"/>
      <c r="ADZ81" s="627"/>
      <c r="AEA81" s="627"/>
      <c r="AEB81" s="627"/>
      <c r="AEC81" s="627"/>
      <c r="AED81" s="627"/>
      <c r="AEE81" s="627"/>
      <c r="AEF81" s="627"/>
      <c r="AEG81" s="627"/>
      <c r="AEH81" s="627"/>
      <c r="AEI81" s="627"/>
      <c r="AEJ81" s="627"/>
      <c r="AEK81" s="627"/>
      <c r="AEL81" s="627"/>
      <c r="AEM81" s="627"/>
      <c r="AEN81" s="627"/>
      <c r="AEO81" s="627"/>
      <c r="AEP81" s="627"/>
      <c r="AEQ81" s="627"/>
      <c r="AER81" s="627"/>
      <c r="AES81" s="627"/>
      <c r="AET81" s="627"/>
      <c r="AEU81" s="627"/>
      <c r="AEV81" s="627"/>
      <c r="AEW81" s="627"/>
      <c r="AEX81" s="627"/>
      <c r="AEY81" s="627"/>
      <c r="AEZ81" s="627"/>
      <c r="AFA81" s="627"/>
      <c r="AFB81" s="627"/>
      <c r="AFC81" s="627"/>
      <c r="AFD81" s="627"/>
      <c r="AFE81" s="627"/>
      <c r="AFF81" s="627"/>
      <c r="AFG81" s="627"/>
      <c r="AFH81" s="627"/>
      <c r="AFI81" s="627"/>
      <c r="AFJ81" s="627"/>
      <c r="AFK81" s="627"/>
      <c r="AFL81" s="627"/>
      <c r="AFM81" s="627"/>
      <c r="AFN81" s="627"/>
      <c r="AFO81" s="627"/>
      <c r="AFP81" s="627"/>
      <c r="AFQ81" s="627"/>
      <c r="AFR81" s="627"/>
      <c r="AFS81" s="627"/>
      <c r="AFT81" s="627"/>
      <c r="AFU81" s="627"/>
      <c r="AFV81" s="627"/>
      <c r="AFW81" s="627"/>
      <c r="AFX81" s="627"/>
      <c r="AFY81" s="627"/>
      <c r="AFZ81" s="627"/>
      <c r="AGA81" s="627"/>
      <c r="AGB81" s="627"/>
      <c r="AGC81" s="627"/>
      <c r="AGD81" s="627"/>
      <c r="AGE81" s="627"/>
      <c r="AGF81" s="627"/>
      <c r="AGG81" s="627"/>
      <c r="AGH81" s="627"/>
      <c r="AGI81" s="627"/>
      <c r="AGJ81" s="627"/>
      <c r="AGK81" s="627"/>
      <c r="AGL81" s="627"/>
      <c r="AGM81" s="627"/>
      <c r="AGN81" s="627"/>
      <c r="AGO81" s="627"/>
      <c r="AGP81" s="627"/>
      <c r="AGQ81" s="627"/>
      <c r="AGR81" s="627"/>
      <c r="AGS81" s="627"/>
      <c r="AGT81" s="627"/>
      <c r="AGU81" s="627"/>
      <c r="AGV81" s="627"/>
      <c r="AGW81" s="627"/>
      <c r="AGX81" s="627"/>
      <c r="AGY81" s="627"/>
      <c r="AGZ81" s="627"/>
      <c r="AHA81" s="627"/>
      <c r="AHB81" s="627"/>
      <c r="AHC81" s="627"/>
      <c r="AHD81" s="627"/>
      <c r="AHE81" s="627"/>
      <c r="AHF81" s="627"/>
      <c r="AHG81" s="627"/>
      <c r="AHH81" s="627"/>
      <c r="AHI81" s="627"/>
      <c r="AHJ81" s="627"/>
      <c r="AHK81" s="627"/>
      <c r="AHL81" s="627"/>
      <c r="AHM81" s="627"/>
      <c r="AHN81" s="627"/>
      <c r="AHO81" s="627"/>
      <c r="AHP81" s="627"/>
      <c r="AHQ81" s="627"/>
      <c r="AHR81" s="627"/>
      <c r="AHS81" s="627"/>
      <c r="AHT81" s="627"/>
      <c r="AHU81" s="627"/>
      <c r="AHV81" s="627"/>
      <c r="AHW81" s="627"/>
      <c r="AHX81" s="627"/>
      <c r="AHY81" s="627"/>
      <c r="AHZ81" s="627"/>
      <c r="AIA81" s="627"/>
      <c r="AIB81" s="627"/>
      <c r="AIC81" s="627"/>
      <c r="AID81" s="627"/>
      <c r="AIE81" s="627"/>
      <c r="AIF81" s="627"/>
      <c r="AIG81" s="627"/>
      <c r="AIH81" s="627"/>
      <c r="AII81" s="627"/>
      <c r="AIJ81" s="627"/>
      <c r="AIK81" s="627"/>
      <c r="AIL81" s="627"/>
      <c r="AIM81" s="627"/>
      <c r="AIN81" s="627"/>
      <c r="AIO81" s="627"/>
      <c r="AIP81" s="627"/>
      <c r="AIQ81" s="627"/>
      <c r="AIR81" s="627"/>
      <c r="AIS81" s="627"/>
      <c r="AIT81" s="627"/>
      <c r="AIU81" s="627"/>
      <c r="AIV81" s="627"/>
      <c r="AIW81" s="627"/>
      <c r="AIX81" s="627"/>
      <c r="AIY81" s="627"/>
      <c r="AIZ81" s="627"/>
      <c r="AJA81" s="627"/>
      <c r="AJB81" s="627"/>
      <c r="AJC81" s="627"/>
      <c r="AJD81" s="627"/>
      <c r="AJE81" s="627"/>
      <c r="AJF81" s="627"/>
      <c r="AJG81" s="627"/>
      <c r="AJH81" s="627"/>
      <c r="AJI81" s="627"/>
      <c r="AJJ81" s="627"/>
      <c r="AJK81" s="627"/>
      <c r="AJL81" s="627"/>
      <c r="AJM81" s="627"/>
      <c r="AJN81" s="627"/>
      <c r="AJO81" s="627"/>
      <c r="AJP81" s="627"/>
      <c r="AJQ81" s="627"/>
      <c r="AJR81" s="627"/>
      <c r="AJS81" s="627"/>
      <c r="AJT81" s="627"/>
      <c r="AJU81" s="627"/>
      <c r="AJV81" s="627"/>
      <c r="AJW81" s="627"/>
      <c r="AJX81" s="627"/>
      <c r="AJY81" s="627"/>
      <c r="AJZ81" s="627"/>
      <c r="AKA81" s="627"/>
      <c r="AKB81" s="627"/>
      <c r="AKC81" s="627"/>
      <c r="AKD81" s="627"/>
      <c r="AKE81" s="627"/>
      <c r="AKF81" s="627"/>
      <c r="AKG81" s="627"/>
      <c r="AKH81" s="627"/>
      <c r="AKI81" s="627"/>
      <c r="AKJ81" s="627"/>
      <c r="AKK81" s="627"/>
      <c r="AKL81" s="627"/>
      <c r="AKM81" s="627"/>
      <c r="AKN81" s="627"/>
      <c r="AKO81" s="627"/>
      <c r="AKP81" s="627"/>
      <c r="AKQ81" s="627"/>
      <c r="AKR81" s="627"/>
      <c r="AKS81" s="627"/>
      <c r="AKT81" s="627"/>
      <c r="AKU81" s="627"/>
      <c r="AKV81" s="627"/>
      <c r="AKW81" s="627"/>
      <c r="AKX81" s="627"/>
      <c r="AKY81" s="627"/>
      <c r="AKZ81" s="627"/>
      <c r="ALA81" s="627"/>
      <c r="ALB81" s="627"/>
      <c r="ALC81" s="627"/>
      <c r="ALD81" s="627"/>
      <c r="ALE81" s="627"/>
      <c r="ALF81" s="627"/>
      <c r="ALG81" s="627"/>
      <c r="ALH81" s="627"/>
      <c r="ALI81" s="627"/>
      <c r="ALJ81" s="627"/>
      <c r="ALK81" s="627"/>
      <c r="ALL81" s="627"/>
      <c r="ALM81" s="627"/>
      <c r="ALN81" s="627"/>
      <c r="ALO81" s="627"/>
      <c r="ALP81" s="627"/>
      <c r="ALQ81" s="627"/>
      <c r="ALR81" s="627"/>
      <c r="ALS81" s="627"/>
      <c r="ALT81" s="627"/>
      <c r="ALU81" s="627"/>
      <c r="ALV81" s="627"/>
      <c r="ALW81" s="627"/>
      <c r="ALX81" s="627"/>
      <c r="ALY81" s="627"/>
      <c r="ALZ81" s="627"/>
      <c r="AMA81" s="627"/>
      <c r="AMB81" s="627"/>
      <c r="AMC81" s="627"/>
      <c r="AMD81" s="627"/>
      <c r="AME81" s="627"/>
      <c r="AMF81" s="627"/>
    </row>
    <row r="82" spans="1:1020" s="485" customFormat="1" ht="12.75" customHeight="1" x14ac:dyDescent="0.15">
      <c r="A82" s="627"/>
      <c r="B82" s="627"/>
      <c r="C82" s="627"/>
      <c r="D82" s="627"/>
      <c r="E82" s="627"/>
      <c r="F82" s="627"/>
      <c r="G82" s="627"/>
      <c r="H82" s="627"/>
      <c r="I82" s="627"/>
      <c r="J82" s="627"/>
      <c r="K82" s="627"/>
      <c r="L82" s="627"/>
      <c r="M82" s="627"/>
      <c r="N82" s="627"/>
      <c r="O82" s="627"/>
      <c r="P82" s="627"/>
      <c r="Q82" s="627"/>
      <c r="R82" s="627"/>
      <c r="S82" s="627"/>
      <c r="T82" s="627"/>
      <c r="U82" s="627"/>
      <c r="V82" s="627"/>
      <c r="W82" s="627"/>
      <c r="X82" s="627"/>
      <c r="Y82" s="627"/>
      <c r="Z82" s="627"/>
      <c r="AA82" s="627"/>
      <c r="AB82" s="627"/>
      <c r="AC82" s="627"/>
      <c r="AD82" s="627"/>
      <c r="AE82" s="627"/>
      <c r="AF82" s="627"/>
      <c r="AG82" s="627"/>
      <c r="AH82" s="627"/>
      <c r="AI82" s="627"/>
      <c r="AJ82" s="627"/>
      <c r="AK82" s="627"/>
      <c r="AL82" s="627"/>
      <c r="AM82" s="627"/>
      <c r="AN82" s="627"/>
      <c r="AO82" s="627"/>
      <c r="AP82" s="627" t="s">
        <v>802</v>
      </c>
      <c r="AQ82" s="627"/>
      <c r="AR82" s="627"/>
      <c r="AS82" s="627"/>
      <c r="AT82" s="627"/>
      <c r="AU82" s="627"/>
      <c r="AV82" s="627"/>
      <c r="AW82" s="627"/>
      <c r="AX82" s="627"/>
      <c r="AY82" s="627"/>
      <c r="AZ82" s="627"/>
      <c r="BA82" s="629" t="s">
        <v>1205</v>
      </c>
      <c r="BB82" s="627"/>
      <c r="BC82" s="627"/>
      <c r="BD82" s="627"/>
      <c r="BE82" s="627"/>
      <c r="BG82" s="486"/>
      <c r="BH82" s="436"/>
      <c r="BI82" s="436"/>
      <c r="BJ82" s="436"/>
      <c r="BK82" s="436"/>
      <c r="BL82" s="436"/>
      <c r="BM82" s="436"/>
      <c r="BN82" s="436"/>
      <c r="BO82" s="436"/>
      <c r="BP82" s="436"/>
      <c r="BQ82" s="436"/>
      <c r="BR82" s="436"/>
      <c r="BS82" s="436"/>
      <c r="BT82" s="436"/>
      <c r="BU82" s="436"/>
      <c r="BV82" s="627"/>
      <c r="BW82" s="627"/>
      <c r="BX82" s="627"/>
      <c r="BY82" s="627"/>
      <c r="BZ82" s="627"/>
      <c r="CA82" s="627"/>
      <c r="CB82" s="627"/>
      <c r="CC82" s="627"/>
      <c r="CD82" s="627"/>
      <c r="CE82" s="627"/>
      <c r="CF82" s="627"/>
      <c r="CG82" s="627"/>
      <c r="CH82" s="627"/>
      <c r="CI82" s="627"/>
      <c r="CJ82" s="627"/>
      <c r="CK82" s="627"/>
      <c r="CL82" s="627"/>
      <c r="CM82" s="627"/>
      <c r="CN82" s="627"/>
      <c r="CO82" s="627"/>
      <c r="CP82" s="627"/>
      <c r="CQ82" s="627"/>
      <c r="CR82" s="627"/>
      <c r="CS82" s="627"/>
      <c r="CT82" s="627"/>
      <c r="CU82" s="627"/>
      <c r="CV82" s="627"/>
      <c r="CW82" s="627"/>
      <c r="CX82" s="627"/>
      <c r="CY82" s="627"/>
      <c r="CZ82" s="627"/>
      <c r="DA82" s="627"/>
      <c r="DB82" s="627"/>
      <c r="DC82" s="627"/>
      <c r="DD82" s="627"/>
      <c r="DE82" s="627"/>
      <c r="DF82" s="627"/>
      <c r="DG82" s="627"/>
      <c r="DH82" s="627"/>
      <c r="DI82" s="627"/>
      <c r="DJ82" s="627"/>
      <c r="DK82" s="627"/>
      <c r="DL82" s="627"/>
      <c r="DM82" s="627"/>
      <c r="DN82" s="627"/>
      <c r="DO82" s="627"/>
      <c r="DP82" s="627"/>
      <c r="DQ82" s="627"/>
      <c r="DR82" s="627"/>
      <c r="DS82" s="627"/>
      <c r="DT82" s="627"/>
      <c r="DU82" s="627"/>
      <c r="DV82" s="627"/>
      <c r="DW82" s="627"/>
      <c r="DX82" s="627"/>
      <c r="DY82" s="627"/>
      <c r="DZ82" s="627"/>
      <c r="EA82" s="627"/>
      <c r="EB82" s="627"/>
      <c r="EC82" s="627"/>
      <c r="ED82" s="627"/>
      <c r="EE82" s="627"/>
      <c r="EF82" s="627"/>
      <c r="EG82" s="627"/>
      <c r="EH82" s="627"/>
      <c r="EI82" s="627"/>
      <c r="EJ82" s="627"/>
      <c r="EK82" s="627"/>
      <c r="EL82" s="627"/>
      <c r="EM82" s="627"/>
      <c r="EN82" s="627"/>
      <c r="EO82" s="627"/>
      <c r="EP82" s="627"/>
      <c r="EQ82" s="627"/>
      <c r="ER82" s="627"/>
      <c r="ES82" s="627"/>
      <c r="ET82" s="627"/>
      <c r="EU82" s="627"/>
      <c r="EV82" s="627"/>
      <c r="EW82" s="627"/>
      <c r="EX82" s="627"/>
      <c r="EY82" s="627"/>
      <c r="EZ82" s="627"/>
      <c r="FA82" s="627"/>
      <c r="FB82" s="627"/>
      <c r="FC82" s="627"/>
      <c r="FD82" s="627"/>
      <c r="FE82" s="627"/>
      <c r="FF82" s="627"/>
      <c r="FG82" s="627"/>
      <c r="FH82" s="627"/>
      <c r="FI82" s="627"/>
      <c r="FJ82" s="627"/>
      <c r="FK82" s="627"/>
      <c r="FL82" s="627"/>
      <c r="FM82" s="627"/>
      <c r="FN82" s="627"/>
      <c r="FO82" s="627"/>
      <c r="FP82" s="627"/>
      <c r="FQ82" s="627"/>
      <c r="FR82" s="627"/>
      <c r="FS82" s="627"/>
      <c r="FT82" s="627"/>
      <c r="FU82" s="627"/>
      <c r="FV82" s="627"/>
      <c r="FW82" s="627"/>
      <c r="FX82" s="627"/>
      <c r="FY82" s="627"/>
      <c r="FZ82" s="627"/>
      <c r="GA82" s="627"/>
      <c r="GB82" s="627"/>
      <c r="GC82" s="627"/>
      <c r="GD82" s="627"/>
      <c r="GE82" s="627"/>
      <c r="GF82" s="627"/>
      <c r="GG82" s="627"/>
      <c r="GH82" s="627"/>
      <c r="GI82" s="627"/>
      <c r="GJ82" s="627"/>
      <c r="GK82" s="627"/>
      <c r="GL82" s="627"/>
      <c r="GM82" s="627"/>
      <c r="GN82" s="627"/>
      <c r="GO82" s="627"/>
      <c r="GP82" s="627"/>
      <c r="GQ82" s="627"/>
      <c r="GR82" s="627"/>
      <c r="GS82" s="627"/>
      <c r="GT82" s="627"/>
      <c r="GU82" s="627"/>
      <c r="GV82" s="627"/>
      <c r="GW82" s="627"/>
      <c r="GX82" s="627"/>
      <c r="GY82" s="627"/>
      <c r="GZ82" s="627"/>
      <c r="HA82" s="627"/>
      <c r="HB82" s="627"/>
      <c r="HC82" s="627"/>
      <c r="HD82" s="627"/>
      <c r="HE82" s="627"/>
      <c r="HF82" s="627"/>
      <c r="HG82" s="627"/>
      <c r="HH82" s="627"/>
      <c r="HI82" s="627"/>
      <c r="HJ82" s="627"/>
      <c r="HK82" s="627"/>
      <c r="HL82" s="627"/>
      <c r="HM82" s="627"/>
      <c r="HN82" s="627"/>
      <c r="HO82" s="627"/>
      <c r="HP82" s="627"/>
      <c r="HQ82" s="627"/>
      <c r="HR82" s="627"/>
      <c r="HS82" s="627"/>
      <c r="HT82" s="627"/>
      <c r="HU82" s="627"/>
      <c r="HV82" s="627"/>
      <c r="HW82" s="627"/>
      <c r="HX82" s="627"/>
      <c r="HY82" s="627"/>
      <c r="HZ82" s="627"/>
      <c r="IA82" s="627"/>
      <c r="IB82" s="627"/>
      <c r="IC82" s="627"/>
      <c r="ID82" s="627"/>
      <c r="IE82" s="627"/>
      <c r="IF82" s="627"/>
      <c r="IG82" s="627"/>
      <c r="IH82" s="627"/>
      <c r="II82" s="627"/>
      <c r="IJ82" s="627"/>
      <c r="IK82" s="627"/>
      <c r="IL82" s="627"/>
      <c r="IM82" s="627"/>
      <c r="IN82" s="627"/>
      <c r="IO82" s="627"/>
      <c r="IP82" s="627"/>
      <c r="IQ82" s="627"/>
      <c r="IR82" s="627"/>
      <c r="IS82" s="627"/>
      <c r="IT82" s="627"/>
      <c r="IU82" s="627"/>
      <c r="IV82" s="627"/>
      <c r="IW82" s="627"/>
      <c r="IX82" s="627"/>
      <c r="IY82" s="627"/>
      <c r="IZ82" s="627"/>
      <c r="JA82" s="627"/>
      <c r="JB82" s="627"/>
      <c r="JC82" s="627"/>
      <c r="JD82" s="627"/>
      <c r="JE82" s="627"/>
      <c r="JF82" s="627"/>
      <c r="JG82" s="627"/>
      <c r="JH82" s="627"/>
      <c r="JI82" s="627"/>
      <c r="JJ82" s="627"/>
      <c r="JK82" s="627"/>
      <c r="JL82" s="627"/>
      <c r="JM82" s="627"/>
      <c r="JN82" s="627"/>
      <c r="JO82" s="627"/>
      <c r="JP82" s="627"/>
      <c r="JQ82" s="627"/>
      <c r="JR82" s="627"/>
      <c r="JS82" s="627"/>
      <c r="JT82" s="627"/>
      <c r="JU82" s="627"/>
      <c r="JV82" s="627"/>
      <c r="JW82" s="627"/>
      <c r="JX82" s="627"/>
      <c r="JY82" s="627"/>
      <c r="JZ82" s="627"/>
      <c r="KA82" s="627"/>
      <c r="KB82" s="627"/>
      <c r="KC82" s="627"/>
      <c r="KD82" s="627"/>
      <c r="KE82" s="627"/>
      <c r="KF82" s="627"/>
      <c r="KG82" s="627"/>
      <c r="KH82" s="627"/>
      <c r="KI82" s="627"/>
      <c r="KJ82" s="627"/>
      <c r="KK82" s="627"/>
      <c r="KL82" s="627"/>
      <c r="KM82" s="627"/>
      <c r="KN82" s="627"/>
      <c r="KO82" s="627"/>
      <c r="KP82" s="627"/>
      <c r="KQ82" s="627"/>
      <c r="KR82" s="627"/>
      <c r="KS82" s="627"/>
      <c r="KT82" s="627"/>
      <c r="KU82" s="627"/>
      <c r="KV82" s="627"/>
      <c r="KW82" s="627"/>
      <c r="KX82" s="627"/>
      <c r="KY82" s="627"/>
      <c r="KZ82" s="627"/>
      <c r="LA82" s="627"/>
      <c r="LB82" s="627"/>
      <c r="LC82" s="627"/>
      <c r="LD82" s="627"/>
      <c r="LE82" s="627"/>
      <c r="LF82" s="627"/>
      <c r="LG82" s="627"/>
      <c r="LH82" s="627"/>
      <c r="LI82" s="627"/>
      <c r="LJ82" s="627"/>
      <c r="LK82" s="627"/>
      <c r="LL82" s="627"/>
      <c r="LM82" s="627"/>
      <c r="LN82" s="627"/>
      <c r="LO82" s="627"/>
      <c r="LP82" s="627"/>
      <c r="LQ82" s="627"/>
      <c r="LR82" s="627"/>
      <c r="LS82" s="627"/>
      <c r="LT82" s="627"/>
      <c r="LU82" s="627"/>
      <c r="LV82" s="627"/>
      <c r="LW82" s="627"/>
      <c r="LX82" s="627"/>
      <c r="LY82" s="627"/>
      <c r="LZ82" s="627"/>
      <c r="MA82" s="627"/>
      <c r="MB82" s="627"/>
      <c r="MC82" s="627"/>
      <c r="MD82" s="627"/>
      <c r="ME82" s="627"/>
      <c r="MF82" s="627"/>
      <c r="MG82" s="627"/>
      <c r="MH82" s="627"/>
      <c r="MI82" s="627"/>
      <c r="MJ82" s="627"/>
      <c r="MK82" s="627"/>
      <c r="ML82" s="627"/>
      <c r="MM82" s="627"/>
      <c r="MN82" s="627"/>
      <c r="MO82" s="627"/>
      <c r="MP82" s="627"/>
      <c r="MQ82" s="627"/>
      <c r="MR82" s="627"/>
      <c r="MS82" s="627"/>
      <c r="MT82" s="627"/>
      <c r="MU82" s="627"/>
      <c r="MV82" s="627"/>
      <c r="MW82" s="627"/>
      <c r="MX82" s="627"/>
      <c r="MY82" s="627"/>
      <c r="MZ82" s="627"/>
      <c r="NA82" s="627"/>
      <c r="NB82" s="627"/>
      <c r="NC82" s="627"/>
      <c r="ND82" s="627"/>
      <c r="NE82" s="627"/>
      <c r="NF82" s="627"/>
      <c r="NG82" s="627"/>
      <c r="NH82" s="627"/>
      <c r="NI82" s="627"/>
      <c r="NJ82" s="627"/>
      <c r="NK82" s="627"/>
      <c r="NL82" s="627"/>
      <c r="NM82" s="627"/>
      <c r="NN82" s="627"/>
      <c r="NO82" s="627"/>
      <c r="NP82" s="627"/>
      <c r="NQ82" s="627"/>
      <c r="NR82" s="627"/>
      <c r="NS82" s="627"/>
      <c r="NT82" s="627"/>
      <c r="NU82" s="627"/>
      <c r="NV82" s="627"/>
      <c r="NW82" s="627"/>
      <c r="NX82" s="627"/>
      <c r="NY82" s="627"/>
      <c r="NZ82" s="627"/>
      <c r="OA82" s="627"/>
      <c r="OB82" s="627"/>
      <c r="OC82" s="627"/>
      <c r="OD82" s="627"/>
      <c r="OE82" s="627"/>
      <c r="OF82" s="627"/>
      <c r="OG82" s="627"/>
      <c r="OH82" s="627"/>
      <c r="OI82" s="627"/>
      <c r="OJ82" s="627"/>
      <c r="OK82" s="627"/>
      <c r="OL82" s="627"/>
      <c r="OM82" s="627"/>
      <c r="ON82" s="627"/>
      <c r="OO82" s="627"/>
      <c r="OP82" s="627"/>
      <c r="OQ82" s="627"/>
      <c r="OR82" s="627"/>
      <c r="OS82" s="627"/>
      <c r="OT82" s="627"/>
      <c r="OU82" s="627"/>
      <c r="OV82" s="627"/>
      <c r="OW82" s="627"/>
      <c r="OX82" s="627"/>
      <c r="OY82" s="627"/>
      <c r="OZ82" s="627"/>
      <c r="PA82" s="627"/>
      <c r="PB82" s="627"/>
      <c r="PC82" s="627"/>
      <c r="PD82" s="627"/>
      <c r="PE82" s="627"/>
      <c r="PF82" s="627"/>
      <c r="PG82" s="627"/>
      <c r="PH82" s="627"/>
      <c r="PI82" s="627"/>
      <c r="PJ82" s="627"/>
      <c r="PK82" s="627"/>
      <c r="PL82" s="627"/>
      <c r="PM82" s="627"/>
      <c r="PN82" s="627"/>
      <c r="PO82" s="627"/>
      <c r="PP82" s="627"/>
      <c r="PQ82" s="627"/>
      <c r="PR82" s="627"/>
      <c r="PS82" s="627"/>
      <c r="PT82" s="627"/>
      <c r="PU82" s="627"/>
      <c r="PV82" s="627"/>
      <c r="PW82" s="627"/>
      <c r="PX82" s="627"/>
      <c r="PY82" s="627"/>
      <c r="PZ82" s="627"/>
      <c r="QA82" s="627"/>
      <c r="QB82" s="627"/>
      <c r="QC82" s="627"/>
      <c r="QD82" s="627"/>
      <c r="QE82" s="627"/>
      <c r="QF82" s="627"/>
      <c r="QG82" s="627"/>
      <c r="QH82" s="627"/>
      <c r="QI82" s="627"/>
      <c r="QJ82" s="627"/>
      <c r="QK82" s="627"/>
      <c r="QL82" s="627"/>
      <c r="QM82" s="627"/>
      <c r="QN82" s="627"/>
      <c r="QO82" s="627"/>
      <c r="QP82" s="627"/>
      <c r="QQ82" s="627"/>
      <c r="QR82" s="627"/>
      <c r="QS82" s="627"/>
      <c r="QT82" s="627"/>
      <c r="QU82" s="627"/>
      <c r="QV82" s="627"/>
      <c r="QW82" s="627"/>
      <c r="QX82" s="627"/>
      <c r="QY82" s="627"/>
      <c r="QZ82" s="627"/>
      <c r="RA82" s="627"/>
      <c r="RB82" s="627"/>
      <c r="RC82" s="627"/>
      <c r="RD82" s="627"/>
      <c r="RE82" s="627"/>
      <c r="RF82" s="627"/>
      <c r="RG82" s="627"/>
      <c r="RH82" s="627"/>
      <c r="RI82" s="627"/>
      <c r="RJ82" s="627"/>
      <c r="RK82" s="627"/>
      <c r="RL82" s="627"/>
      <c r="RM82" s="627"/>
      <c r="RN82" s="627"/>
      <c r="RO82" s="627"/>
      <c r="RP82" s="627"/>
      <c r="RQ82" s="627"/>
      <c r="RR82" s="627"/>
      <c r="RS82" s="627"/>
      <c r="RT82" s="627"/>
      <c r="RU82" s="627"/>
      <c r="RV82" s="627"/>
      <c r="RW82" s="627"/>
      <c r="RX82" s="627"/>
      <c r="RY82" s="627"/>
      <c r="RZ82" s="627"/>
      <c r="SA82" s="627"/>
      <c r="SB82" s="627"/>
      <c r="SC82" s="627"/>
      <c r="SD82" s="627"/>
      <c r="SE82" s="627"/>
      <c r="SF82" s="627"/>
      <c r="SG82" s="627"/>
      <c r="SH82" s="627"/>
      <c r="SI82" s="627"/>
      <c r="SJ82" s="627"/>
      <c r="SK82" s="627"/>
      <c r="SL82" s="627"/>
      <c r="SM82" s="627"/>
      <c r="SN82" s="627"/>
      <c r="SO82" s="627"/>
      <c r="SP82" s="627"/>
      <c r="SQ82" s="627"/>
      <c r="SR82" s="627"/>
      <c r="SS82" s="627"/>
      <c r="ST82" s="627"/>
      <c r="SU82" s="627"/>
      <c r="SV82" s="627"/>
      <c r="SW82" s="627"/>
      <c r="SX82" s="627"/>
      <c r="SY82" s="627"/>
      <c r="SZ82" s="627"/>
      <c r="TA82" s="627"/>
      <c r="TB82" s="627"/>
      <c r="TC82" s="627"/>
      <c r="TD82" s="627"/>
      <c r="TE82" s="627"/>
      <c r="TF82" s="627"/>
      <c r="TG82" s="627"/>
      <c r="TH82" s="627"/>
      <c r="TI82" s="627"/>
      <c r="TJ82" s="627"/>
      <c r="TK82" s="627"/>
      <c r="TL82" s="627"/>
      <c r="TM82" s="627"/>
      <c r="TN82" s="627"/>
      <c r="TO82" s="627"/>
      <c r="TP82" s="627"/>
      <c r="TQ82" s="627"/>
      <c r="TR82" s="627"/>
      <c r="TS82" s="627"/>
      <c r="TT82" s="627"/>
      <c r="TU82" s="627"/>
      <c r="TV82" s="627"/>
      <c r="TW82" s="627"/>
      <c r="TX82" s="627"/>
      <c r="TY82" s="627"/>
      <c r="TZ82" s="627"/>
      <c r="UA82" s="627"/>
      <c r="UB82" s="627"/>
      <c r="UC82" s="627"/>
      <c r="UD82" s="627"/>
      <c r="UE82" s="627"/>
      <c r="UF82" s="627"/>
      <c r="UG82" s="627"/>
      <c r="UH82" s="627"/>
      <c r="UI82" s="627"/>
      <c r="UJ82" s="627"/>
      <c r="UK82" s="627"/>
      <c r="UL82" s="627"/>
      <c r="UM82" s="627"/>
      <c r="UN82" s="627"/>
      <c r="UO82" s="627"/>
      <c r="UP82" s="627"/>
      <c r="UQ82" s="627"/>
      <c r="UR82" s="627"/>
      <c r="US82" s="627"/>
      <c r="UT82" s="627"/>
      <c r="UU82" s="627"/>
      <c r="UV82" s="627"/>
      <c r="UW82" s="627"/>
      <c r="UX82" s="627"/>
      <c r="UY82" s="627"/>
      <c r="UZ82" s="627"/>
      <c r="VA82" s="627"/>
      <c r="VB82" s="627"/>
      <c r="VC82" s="627"/>
      <c r="VD82" s="627"/>
      <c r="VE82" s="627"/>
      <c r="VF82" s="627"/>
      <c r="VG82" s="627"/>
      <c r="VH82" s="627"/>
      <c r="VI82" s="627"/>
      <c r="VJ82" s="627"/>
      <c r="VK82" s="627"/>
      <c r="VL82" s="627"/>
      <c r="VM82" s="627"/>
      <c r="VN82" s="627"/>
      <c r="VO82" s="627"/>
      <c r="VP82" s="627"/>
      <c r="VQ82" s="627"/>
      <c r="VR82" s="627"/>
      <c r="VS82" s="627"/>
      <c r="VT82" s="627"/>
      <c r="VU82" s="627"/>
      <c r="VV82" s="627"/>
      <c r="VW82" s="627"/>
      <c r="VX82" s="627"/>
      <c r="VY82" s="627"/>
      <c r="VZ82" s="627"/>
      <c r="WA82" s="627"/>
      <c r="WB82" s="627"/>
      <c r="WC82" s="627"/>
      <c r="WD82" s="627"/>
      <c r="WE82" s="627"/>
      <c r="WF82" s="627"/>
      <c r="WG82" s="627"/>
      <c r="WH82" s="627"/>
      <c r="WI82" s="627"/>
      <c r="WJ82" s="627"/>
      <c r="WK82" s="627"/>
      <c r="WL82" s="627"/>
      <c r="WM82" s="627"/>
      <c r="WN82" s="627"/>
      <c r="WO82" s="627"/>
      <c r="WP82" s="627"/>
      <c r="WQ82" s="627"/>
      <c r="WR82" s="627"/>
      <c r="WS82" s="627"/>
      <c r="WT82" s="627"/>
      <c r="WU82" s="627"/>
      <c r="WV82" s="627"/>
      <c r="WW82" s="627"/>
      <c r="WX82" s="627"/>
      <c r="WY82" s="627"/>
      <c r="WZ82" s="627"/>
      <c r="XA82" s="627"/>
      <c r="XB82" s="627"/>
      <c r="XC82" s="627"/>
      <c r="XD82" s="627"/>
      <c r="XE82" s="627"/>
      <c r="XF82" s="627"/>
      <c r="XG82" s="627"/>
      <c r="XH82" s="627"/>
      <c r="XI82" s="627"/>
      <c r="XJ82" s="627"/>
      <c r="XK82" s="627"/>
      <c r="XL82" s="627"/>
      <c r="XM82" s="627"/>
      <c r="XN82" s="627"/>
      <c r="XO82" s="627"/>
      <c r="XP82" s="627"/>
      <c r="XQ82" s="627"/>
      <c r="XR82" s="627"/>
      <c r="XS82" s="627"/>
      <c r="XT82" s="627"/>
      <c r="XU82" s="627"/>
      <c r="XV82" s="627"/>
      <c r="XW82" s="627"/>
      <c r="XX82" s="627"/>
      <c r="XY82" s="627"/>
      <c r="XZ82" s="627"/>
      <c r="YA82" s="627"/>
      <c r="YB82" s="627"/>
      <c r="YC82" s="627"/>
      <c r="YD82" s="627"/>
      <c r="YE82" s="627"/>
      <c r="YF82" s="627"/>
      <c r="YG82" s="627"/>
      <c r="YH82" s="627"/>
      <c r="YI82" s="627"/>
      <c r="YJ82" s="627"/>
      <c r="YK82" s="627"/>
      <c r="YL82" s="627"/>
      <c r="YM82" s="627"/>
      <c r="YN82" s="627"/>
      <c r="YO82" s="627"/>
      <c r="YP82" s="627"/>
      <c r="YQ82" s="627"/>
      <c r="YR82" s="627"/>
      <c r="YS82" s="627"/>
      <c r="YT82" s="627"/>
      <c r="YU82" s="627"/>
      <c r="YV82" s="627"/>
      <c r="YW82" s="627"/>
      <c r="YX82" s="627"/>
      <c r="YY82" s="627"/>
      <c r="YZ82" s="627"/>
      <c r="ZA82" s="627"/>
      <c r="ZB82" s="627"/>
      <c r="ZC82" s="627"/>
      <c r="ZD82" s="627"/>
      <c r="ZE82" s="627"/>
      <c r="ZF82" s="627"/>
      <c r="ZG82" s="627"/>
      <c r="ZH82" s="627"/>
      <c r="ZI82" s="627"/>
      <c r="ZJ82" s="627"/>
      <c r="ZK82" s="627"/>
      <c r="ZL82" s="627"/>
      <c r="ZM82" s="627"/>
      <c r="ZN82" s="627"/>
      <c r="ZO82" s="627"/>
      <c r="ZP82" s="627"/>
      <c r="ZQ82" s="627"/>
      <c r="ZR82" s="627"/>
      <c r="ZS82" s="627"/>
      <c r="ZT82" s="627"/>
      <c r="ZU82" s="627"/>
      <c r="ZV82" s="627"/>
      <c r="ZW82" s="627"/>
      <c r="ZX82" s="627"/>
      <c r="ZY82" s="627"/>
      <c r="ZZ82" s="627"/>
      <c r="AAA82" s="627"/>
      <c r="AAB82" s="627"/>
      <c r="AAC82" s="627"/>
      <c r="AAD82" s="627"/>
      <c r="AAE82" s="627"/>
      <c r="AAF82" s="627"/>
      <c r="AAG82" s="627"/>
      <c r="AAH82" s="627"/>
      <c r="AAI82" s="627"/>
      <c r="AAJ82" s="627"/>
      <c r="AAK82" s="627"/>
      <c r="AAL82" s="627"/>
      <c r="AAM82" s="627"/>
      <c r="AAN82" s="627"/>
      <c r="AAO82" s="627"/>
      <c r="AAP82" s="627"/>
      <c r="AAQ82" s="627"/>
      <c r="AAR82" s="627"/>
      <c r="AAS82" s="627"/>
      <c r="AAT82" s="627"/>
      <c r="AAU82" s="627"/>
      <c r="AAV82" s="627"/>
      <c r="AAW82" s="627"/>
      <c r="AAX82" s="627"/>
      <c r="AAY82" s="627"/>
      <c r="AAZ82" s="627"/>
      <c r="ABA82" s="627"/>
      <c r="ABB82" s="627"/>
      <c r="ABC82" s="627"/>
      <c r="ABD82" s="627"/>
      <c r="ABE82" s="627"/>
      <c r="ABF82" s="627"/>
      <c r="ABG82" s="627"/>
      <c r="ABH82" s="627"/>
      <c r="ABI82" s="627"/>
      <c r="ABJ82" s="627"/>
      <c r="ABK82" s="627"/>
      <c r="ABL82" s="627"/>
      <c r="ABM82" s="627"/>
      <c r="ABN82" s="627"/>
      <c r="ABO82" s="627"/>
      <c r="ABP82" s="627"/>
      <c r="ABQ82" s="627"/>
      <c r="ABR82" s="627"/>
      <c r="ABS82" s="627"/>
      <c r="ABT82" s="627"/>
      <c r="ABU82" s="627"/>
      <c r="ABV82" s="627"/>
      <c r="ABW82" s="627"/>
      <c r="ABX82" s="627"/>
      <c r="ABY82" s="627"/>
      <c r="ABZ82" s="627"/>
      <c r="ACA82" s="627"/>
      <c r="ACB82" s="627"/>
      <c r="ACC82" s="627"/>
      <c r="ACD82" s="627"/>
      <c r="ACE82" s="627"/>
      <c r="ACF82" s="627"/>
      <c r="ACG82" s="627"/>
      <c r="ACH82" s="627"/>
      <c r="ACI82" s="627"/>
      <c r="ACJ82" s="627"/>
      <c r="ACK82" s="627"/>
      <c r="ACL82" s="627"/>
      <c r="ACM82" s="627"/>
      <c r="ACN82" s="627"/>
      <c r="ACO82" s="627"/>
      <c r="ACP82" s="627"/>
      <c r="ACQ82" s="627"/>
      <c r="ACR82" s="627"/>
      <c r="ACS82" s="627"/>
      <c r="ACT82" s="627"/>
      <c r="ACU82" s="627"/>
      <c r="ACV82" s="627"/>
      <c r="ACW82" s="627"/>
      <c r="ACX82" s="627"/>
      <c r="ACY82" s="627"/>
      <c r="ACZ82" s="627"/>
      <c r="ADA82" s="627"/>
      <c r="ADB82" s="627"/>
      <c r="ADC82" s="627"/>
      <c r="ADD82" s="627"/>
      <c r="ADE82" s="627"/>
      <c r="ADF82" s="627"/>
      <c r="ADG82" s="627"/>
      <c r="ADH82" s="627"/>
      <c r="ADI82" s="627"/>
      <c r="ADJ82" s="627"/>
      <c r="ADK82" s="627"/>
      <c r="ADL82" s="627"/>
      <c r="ADM82" s="627"/>
      <c r="ADN82" s="627"/>
      <c r="ADO82" s="627"/>
      <c r="ADP82" s="627"/>
      <c r="ADQ82" s="627"/>
      <c r="ADR82" s="627"/>
      <c r="ADS82" s="627"/>
      <c r="ADT82" s="627"/>
      <c r="ADU82" s="627"/>
      <c r="ADV82" s="627"/>
      <c r="ADW82" s="627"/>
      <c r="ADX82" s="627"/>
      <c r="ADY82" s="627"/>
      <c r="ADZ82" s="627"/>
      <c r="AEA82" s="627"/>
      <c r="AEB82" s="627"/>
      <c r="AEC82" s="627"/>
      <c r="AED82" s="627"/>
      <c r="AEE82" s="627"/>
      <c r="AEF82" s="627"/>
      <c r="AEG82" s="627"/>
      <c r="AEH82" s="627"/>
      <c r="AEI82" s="627"/>
      <c r="AEJ82" s="627"/>
      <c r="AEK82" s="627"/>
      <c r="AEL82" s="627"/>
      <c r="AEM82" s="627"/>
      <c r="AEN82" s="627"/>
      <c r="AEO82" s="627"/>
      <c r="AEP82" s="627"/>
      <c r="AEQ82" s="627"/>
      <c r="AER82" s="627"/>
      <c r="AES82" s="627"/>
      <c r="AET82" s="627"/>
      <c r="AEU82" s="627"/>
      <c r="AEV82" s="627"/>
      <c r="AEW82" s="627"/>
      <c r="AEX82" s="627"/>
      <c r="AEY82" s="627"/>
      <c r="AEZ82" s="627"/>
      <c r="AFA82" s="627"/>
      <c r="AFB82" s="627"/>
      <c r="AFC82" s="627"/>
      <c r="AFD82" s="627"/>
      <c r="AFE82" s="627"/>
      <c r="AFF82" s="627"/>
      <c r="AFG82" s="627"/>
      <c r="AFH82" s="627"/>
      <c r="AFI82" s="627"/>
      <c r="AFJ82" s="627"/>
      <c r="AFK82" s="627"/>
      <c r="AFL82" s="627"/>
      <c r="AFM82" s="627"/>
      <c r="AFN82" s="627"/>
      <c r="AFO82" s="627"/>
      <c r="AFP82" s="627"/>
      <c r="AFQ82" s="627"/>
      <c r="AFR82" s="627"/>
      <c r="AFS82" s="627"/>
      <c r="AFT82" s="627"/>
      <c r="AFU82" s="627"/>
      <c r="AFV82" s="627"/>
      <c r="AFW82" s="627"/>
      <c r="AFX82" s="627"/>
      <c r="AFY82" s="627"/>
      <c r="AFZ82" s="627"/>
      <c r="AGA82" s="627"/>
      <c r="AGB82" s="627"/>
      <c r="AGC82" s="627"/>
      <c r="AGD82" s="627"/>
      <c r="AGE82" s="627"/>
      <c r="AGF82" s="627"/>
      <c r="AGG82" s="627"/>
      <c r="AGH82" s="627"/>
      <c r="AGI82" s="627"/>
      <c r="AGJ82" s="627"/>
      <c r="AGK82" s="627"/>
      <c r="AGL82" s="627"/>
      <c r="AGM82" s="627"/>
      <c r="AGN82" s="627"/>
      <c r="AGO82" s="627"/>
      <c r="AGP82" s="627"/>
      <c r="AGQ82" s="627"/>
      <c r="AGR82" s="627"/>
      <c r="AGS82" s="627"/>
      <c r="AGT82" s="627"/>
      <c r="AGU82" s="627"/>
      <c r="AGV82" s="627"/>
      <c r="AGW82" s="627"/>
      <c r="AGX82" s="627"/>
      <c r="AGY82" s="627"/>
      <c r="AGZ82" s="627"/>
      <c r="AHA82" s="627"/>
      <c r="AHB82" s="627"/>
      <c r="AHC82" s="627"/>
      <c r="AHD82" s="627"/>
      <c r="AHE82" s="627"/>
      <c r="AHF82" s="627"/>
      <c r="AHG82" s="627"/>
      <c r="AHH82" s="627"/>
      <c r="AHI82" s="627"/>
      <c r="AHJ82" s="627"/>
      <c r="AHK82" s="627"/>
      <c r="AHL82" s="627"/>
      <c r="AHM82" s="627"/>
      <c r="AHN82" s="627"/>
      <c r="AHO82" s="627"/>
      <c r="AHP82" s="627"/>
      <c r="AHQ82" s="627"/>
      <c r="AHR82" s="627"/>
      <c r="AHS82" s="627"/>
      <c r="AHT82" s="627"/>
      <c r="AHU82" s="627"/>
      <c r="AHV82" s="627"/>
      <c r="AHW82" s="627"/>
      <c r="AHX82" s="627"/>
      <c r="AHY82" s="627"/>
      <c r="AHZ82" s="627"/>
      <c r="AIA82" s="627"/>
      <c r="AIB82" s="627"/>
      <c r="AIC82" s="627"/>
      <c r="AID82" s="627"/>
      <c r="AIE82" s="627"/>
      <c r="AIF82" s="627"/>
      <c r="AIG82" s="627"/>
      <c r="AIH82" s="627"/>
      <c r="AII82" s="627"/>
      <c r="AIJ82" s="627"/>
      <c r="AIK82" s="627"/>
      <c r="AIL82" s="627"/>
      <c r="AIM82" s="627"/>
      <c r="AIN82" s="627"/>
      <c r="AIO82" s="627"/>
      <c r="AIP82" s="627"/>
      <c r="AIQ82" s="627"/>
      <c r="AIR82" s="627"/>
      <c r="AIS82" s="627"/>
      <c r="AIT82" s="627"/>
      <c r="AIU82" s="627"/>
      <c r="AIV82" s="627"/>
      <c r="AIW82" s="627"/>
      <c r="AIX82" s="627"/>
      <c r="AIY82" s="627"/>
      <c r="AIZ82" s="627"/>
      <c r="AJA82" s="627"/>
      <c r="AJB82" s="627"/>
      <c r="AJC82" s="627"/>
      <c r="AJD82" s="627"/>
      <c r="AJE82" s="627"/>
      <c r="AJF82" s="627"/>
      <c r="AJG82" s="627"/>
      <c r="AJH82" s="627"/>
      <c r="AJI82" s="627"/>
      <c r="AJJ82" s="627"/>
      <c r="AJK82" s="627"/>
      <c r="AJL82" s="627"/>
      <c r="AJM82" s="627"/>
      <c r="AJN82" s="627"/>
      <c r="AJO82" s="627"/>
      <c r="AJP82" s="627"/>
      <c r="AJQ82" s="627"/>
      <c r="AJR82" s="627"/>
      <c r="AJS82" s="627"/>
      <c r="AJT82" s="627"/>
      <c r="AJU82" s="627"/>
      <c r="AJV82" s="627"/>
      <c r="AJW82" s="627"/>
      <c r="AJX82" s="627"/>
      <c r="AJY82" s="627"/>
      <c r="AJZ82" s="627"/>
      <c r="AKA82" s="627"/>
      <c r="AKB82" s="627"/>
      <c r="AKC82" s="627"/>
      <c r="AKD82" s="627"/>
      <c r="AKE82" s="627"/>
      <c r="AKF82" s="627"/>
      <c r="AKG82" s="627"/>
      <c r="AKH82" s="627"/>
      <c r="AKI82" s="627"/>
      <c r="AKJ82" s="627"/>
      <c r="AKK82" s="627"/>
      <c r="AKL82" s="627"/>
      <c r="AKM82" s="627"/>
      <c r="AKN82" s="627"/>
      <c r="AKO82" s="627"/>
      <c r="AKP82" s="627"/>
      <c r="AKQ82" s="627"/>
      <c r="AKR82" s="627"/>
      <c r="AKS82" s="627"/>
      <c r="AKT82" s="627"/>
      <c r="AKU82" s="627"/>
      <c r="AKV82" s="627"/>
      <c r="AKW82" s="627"/>
      <c r="AKX82" s="627"/>
      <c r="AKY82" s="627"/>
      <c r="AKZ82" s="627"/>
      <c r="ALA82" s="627"/>
      <c r="ALB82" s="627"/>
      <c r="ALC82" s="627"/>
      <c r="ALD82" s="627"/>
      <c r="ALE82" s="627"/>
      <c r="ALF82" s="627"/>
      <c r="ALG82" s="627"/>
      <c r="ALH82" s="627"/>
      <c r="ALI82" s="627"/>
      <c r="ALJ82" s="627"/>
      <c r="ALK82" s="627"/>
      <c r="ALL82" s="627"/>
      <c r="ALM82" s="627"/>
      <c r="ALN82" s="627"/>
      <c r="ALO82" s="627"/>
      <c r="ALP82" s="627"/>
      <c r="ALQ82" s="627"/>
      <c r="ALR82" s="627"/>
      <c r="ALS82" s="627"/>
      <c r="ALT82" s="627"/>
      <c r="ALU82" s="627"/>
      <c r="ALV82" s="627"/>
      <c r="ALW82" s="627"/>
      <c r="ALX82" s="627"/>
      <c r="ALY82" s="627"/>
      <c r="ALZ82" s="627"/>
      <c r="AMA82" s="627"/>
      <c r="AMB82" s="627"/>
      <c r="AMC82" s="627"/>
      <c r="AMD82" s="627"/>
      <c r="AME82" s="627"/>
      <c r="AMF82" s="627"/>
    </row>
    <row r="83" spans="1:1020" s="485" customFormat="1" ht="12.75" customHeight="1" x14ac:dyDescent="0.15">
      <c r="A83" s="627"/>
      <c r="B83" s="627"/>
      <c r="C83" s="627"/>
      <c r="D83" s="627"/>
      <c r="E83" s="627"/>
      <c r="F83" s="627"/>
      <c r="G83" s="627"/>
      <c r="H83" s="627"/>
      <c r="I83" s="627"/>
      <c r="J83" s="627"/>
      <c r="K83" s="627"/>
      <c r="L83" s="627"/>
      <c r="M83" s="627"/>
      <c r="N83" s="627"/>
      <c r="O83" s="627"/>
      <c r="P83" s="627"/>
      <c r="Q83" s="627"/>
      <c r="R83" s="627"/>
      <c r="S83" s="627"/>
      <c r="T83" s="627"/>
      <c r="U83" s="627"/>
      <c r="V83" s="627"/>
      <c r="W83" s="627"/>
      <c r="X83" s="627"/>
      <c r="Y83" s="627"/>
      <c r="Z83" s="627"/>
      <c r="AA83" s="627"/>
      <c r="AB83" s="627"/>
      <c r="AC83" s="627"/>
      <c r="AD83" s="627"/>
      <c r="AE83" s="627"/>
      <c r="AF83" s="627"/>
      <c r="AG83" s="627"/>
      <c r="AH83" s="627"/>
      <c r="AI83" s="627"/>
      <c r="AJ83" s="627"/>
      <c r="AK83" s="627"/>
      <c r="AL83" s="627"/>
      <c r="AM83" s="627"/>
      <c r="AN83" s="627"/>
      <c r="AO83" s="627"/>
      <c r="AP83" s="627" t="s">
        <v>801</v>
      </c>
      <c r="AQ83" s="627"/>
      <c r="AR83" s="627"/>
      <c r="AS83" s="627"/>
      <c r="AT83" s="627"/>
      <c r="AU83" s="627"/>
      <c r="AV83" s="627"/>
      <c r="AW83" s="627"/>
      <c r="AX83" s="627"/>
      <c r="AY83" s="627"/>
      <c r="AZ83" s="627"/>
      <c r="BA83" s="629" t="s">
        <v>1203</v>
      </c>
      <c r="BB83" s="627"/>
      <c r="BC83" s="627"/>
      <c r="BD83" s="627"/>
      <c r="BE83" s="627"/>
      <c r="BG83" s="486"/>
      <c r="BH83" s="436"/>
      <c r="BI83" s="436"/>
      <c r="BJ83" s="436"/>
      <c r="BK83" s="436"/>
      <c r="BL83" s="436"/>
      <c r="BM83" s="436"/>
      <c r="BN83" s="436"/>
      <c r="BO83" s="436"/>
      <c r="BP83" s="436"/>
      <c r="BQ83" s="436"/>
      <c r="BR83" s="436"/>
      <c r="BS83" s="436"/>
      <c r="BT83" s="436"/>
      <c r="BU83" s="436"/>
      <c r="BV83" s="627"/>
      <c r="BW83" s="627"/>
      <c r="BX83" s="627"/>
      <c r="BY83" s="627"/>
      <c r="BZ83" s="627"/>
      <c r="CA83" s="627"/>
      <c r="CB83" s="627"/>
      <c r="CC83" s="627"/>
      <c r="CD83" s="627"/>
      <c r="CE83" s="627"/>
      <c r="CF83" s="627"/>
      <c r="CG83" s="627"/>
      <c r="CH83" s="627"/>
      <c r="CI83" s="627"/>
      <c r="CJ83" s="627"/>
      <c r="CK83" s="627"/>
      <c r="CL83" s="627"/>
      <c r="CM83" s="627"/>
      <c r="CN83" s="627"/>
      <c r="CO83" s="627"/>
      <c r="CP83" s="627"/>
      <c r="CQ83" s="627"/>
      <c r="CR83" s="627"/>
      <c r="CS83" s="627"/>
      <c r="CT83" s="627"/>
      <c r="CU83" s="627"/>
      <c r="CV83" s="627"/>
      <c r="CW83" s="627"/>
      <c r="CX83" s="627"/>
      <c r="CY83" s="627"/>
      <c r="CZ83" s="627"/>
      <c r="DA83" s="627"/>
      <c r="DB83" s="627"/>
      <c r="DC83" s="627"/>
      <c r="DD83" s="627"/>
      <c r="DE83" s="627"/>
      <c r="DF83" s="627"/>
      <c r="DG83" s="627"/>
      <c r="DH83" s="627"/>
      <c r="DI83" s="627"/>
      <c r="DJ83" s="627"/>
      <c r="DK83" s="627"/>
      <c r="DL83" s="627"/>
      <c r="DM83" s="627"/>
      <c r="DN83" s="627"/>
      <c r="DO83" s="627"/>
      <c r="DP83" s="627"/>
      <c r="DQ83" s="627"/>
      <c r="DR83" s="627"/>
      <c r="DS83" s="627"/>
      <c r="DT83" s="627"/>
      <c r="DU83" s="627"/>
      <c r="DV83" s="627"/>
      <c r="DW83" s="627"/>
      <c r="DX83" s="627"/>
      <c r="DY83" s="627"/>
      <c r="DZ83" s="627"/>
      <c r="EA83" s="627"/>
      <c r="EB83" s="627"/>
      <c r="EC83" s="627"/>
      <c r="ED83" s="627"/>
      <c r="EE83" s="627"/>
      <c r="EF83" s="627"/>
      <c r="EG83" s="627"/>
      <c r="EH83" s="627"/>
      <c r="EI83" s="627"/>
      <c r="EJ83" s="627"/>
      <c r="EK83" s="627"/>
      <c r="EL83" s="627"/>
      <c r="EM83" s="627"/>
      <c r="EN83" s="627"/>
      <c r="EO83" s="627"/>
      <c r="EP83" s="627"/>
      <c r="EQ83" s="627"/>
      <c r="ER83" s="627"/>
      <c r="ES83" s="627"/>
      <c r="ET83" s="627"/>
      <c r="EU83" s="627"/>
      <c r="EV83" s="627"/>
      <c r="EW83" s="627"/>
      <c r="EX83" s="627"/>
      <c r="EY83" s="627"/>
      <c r="EZ83" s="627"/>
      <c r="FA83" s="627"/>
      <c r="FB83" s="627"/>
      <c r="FC83" s="627"/>
      <c r="FD83" s="627"/>
      <c r="FE83" s="627"/>
      <c r="FF83" s="627"/>
      <c r="FG83" s="627"/>
      <c r="FH83" s="627"/>
      <c r="FI83" s="627"/>
      <c r="FJ83" s="627"/>
      <c r="FK83" s="627"/>
      <c r="FL83" s="627"/>
      <c r="FM83" s="627"/>
      <c r="FN83" s="627"/>
      <c r="FO83" s="627"/>
      <c r="FP83" s="627"/>
      <c r="FQ83" s="627"/>
      <c r="FR83" s="627"/>
      <c r="FS83" s="627"/>
      <c r="FT83" s="627"/>
      <c r="FU83" s="627"/>
      <c r="FV83" s="627"/>
      <c r="FW83" s="627"/>
      <c r="FX83" s="627"/>
      <c r="FY83" s="627"/>
      <c r="FZ83" s="627"/>
      <c r="GA83" s="627"/>
      <c r="GB83" s="627"/>
      <c r="GC83" s="627"/>
      <c r="GD83" s="627"/>
      <c r="GE83" s="627"/>
      <c r="GF83" s="627"/>
      <c r="GG83" s="627"/>
      <c r="GH83" s="627"/>
      <c r="GI83" s="627"/>
      <c r="GJ83" s="627"/>
      <c r="GK83" s="627"/>
      <c r="GL83" s="627"/>
      <c r="GM83" s="627"/>
      <c r="GN83" s="627"/>
      <c r="GO83" s="627"/>
      <c r="GP83" s="627"/>
      <c r="GQ83" s="627"/>
      <c r="GR83" s="627"/>
      <c r="GS83" s="627"/>
      <c r="GT83" s="627"/>
      <c r="GU83" s="627"/>
      <c r="GV83" s="627"/>
      <c r="GW83" s="627"/>
      <c r="GX83" s="627"/>
      <c r="GY83" s="627"/>
      <c r="GZ83" s="627"/>
      <c r="HA83" s="627"/>
      <c r="HB83" s="627"/>
      <c r="HC83" s="627"/>
      <c r="HD83" s="627"/>
      <c r="HE83" s="627"/>
      <c r="HF83" s="627"/>
      <c r="HG83" s="627"/>
      <c r="HH83" s="627"/>
      <c r="HI83" s="627"/>
      <c r="HJ83" s="627"/>
      <c r="HK83" s="627"/>
      <c r="HL83" s="627"/>
      <c r="HM83" s="627"/>
      <c r="HN83" s="627"/>
      <c r="HO83" s="627"/>
      <c r="HP83" s="627"/>
      <c r="HQ83" s="627"/>
      <c r="HR83" s="627"/>
      <c r="HS83" s="627"/>
      <c r="HT83" s="627"/>
      <c r="HU83" s="627"/>
      <c r="HV83" s="627"/>
      <c r="HW83" s="627"/>
      <c r="HX83" s="627"/>
      <c r="HY83" s="627"/>
      <c r="HZ83" s="627"/>
      <c r="IA83" s="627"/>
      <c r="IB83" s="627"/>
      <c r="IC83" s="627"/>
      <c r="ID83" s="627"/>
      <c r="IE83" s="627"/>
      <c r="IF83" s="627"/>
      <c r="IG83" s="627"/>
      <c r="IH83" s="627"/>
      <c r="II83" s="627"/>
      <c r="IJ83" s="627"/>
      <c r="IK83" s="627"/>
      <c r="IL83" s="627"/>
      <c r="IM83" s="627"/>
      <c r="IN83" s="627"/>
      <c r="IO83" s="627"/>
      <c r="IP83" s="627"/>
      <c r="IQ83" s="627"/>
      <c r="IR83" s="627"/>
      <c r="IS83" s="627"/>
      <c r="IT83" s="627"/>
      <c r="IU83" s="627"/>
      <c r="IV83" s="627"/>
      <c r="IW83" s="627"/>
      <c r="IX83" s="627"/>
      <c r="IY83" s="627"/>
      <c r="IZ83" s="627"/>
      <c r="JA83" s="627"/>
      <c r="JB83" s="627"/>
      <c r="JC83" s="627"/>
      <c r="JD83" s="627"/>
      <c r="JE83" s="627"/>
      <c r="JF83" s="627"/>
      <c r="JG83" s="627"/>
      <c r="JH83" s="627"/>
      <c r="JI83" s="627"/>
      <c r="JJ83" s="627"/>
      <c r="JK83" s="627"/>
      <c r="JL83" s="627"/>
      <c r="JM83" s="627"/>
      <c r="JN83" s="627"/>
      <c r="JO83" s="627"/>
      <c r="JP83" s="627"/>
      <c r="JQ83" s="627"/>
      <c r="JR83" s="627"/>
      <c r="JS83" s="627"/>
      <c r="JT83" s="627"/>
      <c r="JU83" s="627"/>
      <c r="JV83" s="627"/>
      <c r="JW83" s="627"/>
      <c r="JX83" s="627"/>
      <c r="JY83" s="627"/>
      <c r="JZ83" s="627"/>
      <c r="KA83" s="627"/>
      <c r="KB83" s="627"/>
      <c r="KC83" s="627"/>
      <c r="KD83" s="627"/>
      <c r="KE83" s="627"/>
      <c r="KF83" s="627"/>
      <c r="KG83" s="627"/>
      <c r="KH83" s="627"/>
      <c r="KI83" s="627"/>
      <c r="KJ83" s="627"/>
      <c r="KK83" s="627"/>
      <c r="KL83" s="627"/>
      <c r="KM83" s="627"/>
      <c r="KN83" s="627"/>
      <c r="KO83" s="627"/>
      <c r="KP83" s="627"/>
      <c r="KQ83" s="627"/>
      <c r="KR83" s="627"/>
      <c r="KS83" s="627"/>
      <c r="KT83" s="627"/>
      <c r="KU83" s="627"/>
      <c r="KV83" s="627"/>
      <c r="KW83" s="627"/>
      <c r="KX83" s="627"/>
      <c r="KY83" s="627"/>
      <c r="KZ83" s="627"/>
      <c r="LA83" s="627"/>
      <c r="LB83" s="627"/>
      <c r="LC83" s="627"/>
      <c r="LD83" s="627"/>
      <c r="LE83" s="627"/>
      <c r="LF83" s="627"/>
      <c r="LG83" s="627"/>
      <c r="LH83" s="627"/>
      <c r="LI83" s="627"/>
      <c r="LJ83" s="627"/>
      <c r="LK83" s="627"/>
      <c r="LL83" s="627"/>
      <c r="LM83" s="627"/>
      <c r="LN83" s="627"/>
      <c r="LO83" s="627"/>
      <c r="LP83" s="627"/>
      <c r="LQ83" s="627"/>
      <c r="LR83" s="627"/>
      <c r="LS83" s="627"/>
      <c r="LT83" s="627"/>
      <c r="LU83" s="627"/>
      <c r="LV83" s="627"/>
      <c r="LW83" s="627"/>
      <c r="LX83" s="627"/>
      <c r="LY83" s="627"/>
      <c r="LZ83" s="627"/>
      <c r="MA83" s="627"/>
      <c r="MB83" s="627"/>
      <c r="MC83" s="627"/>
      <c r="MD83" s="627"/>
      <c r="ME83" s="627"/>
      <c r="MF83" s="627"/>
      <c r="MG83" s="627"/>
      <c r="MH83" s="627"/>
      <c r="MI83" s="627"/>
      <c r="MJ83" s="627"/>
      <c r="MK83" s="627"/>
      <c r="ML83" s="627"/>
      <c r="MM83" s="627"/>
      <c r="MN83" s="627"/>
      <c r="MO83" s="627"/>
      <c r="MP83" s="627"/>
      <c r="MQ83" s="627"/>
      <c r="MR83" s="627"/>
      <c r="MS83" s="627"/>
      <c r="MT83" s="627"/>
      <c r="MU83" s="627"/>
      <c r="MV83" s="627"/>
      <c r="MW83" s="627"/>
      <c r="MX83" s="627"/>
      <c r="MY83" s="627"/>
      <c r="MZ83" s="627"/>
      <c r="NA83" s="627"/>
      <c r="NB83" s="627"/>
      <c r="NC83" s="627"/>
      <c r="ND83" s="627"/>
      <c r="NE83" s="627"/>
      <c r="NF83" s="627"/>
      <c r="NG83" s="627"/>
      <c r="NH83" s="627"/>
      <c r="NI83" s="627"/>
      <c r="NJ83" s="627"/>
      <c r="NK83" s="627"/>
      <c r="NL83" s="627"/>
      <c r="NM83" s="627"/>
      <c r="NN83" s="627"/>
      <c r="NO83" s="627"/>
      <c r="NP83" s="627"/>
      <c r="NQ83" s="627"/>
      <c r="NR83" s="627"/>
      <c r="NS83" s="627"/>
      <c r="NT83" s="627"/>
      <c r="NU83" s="627"/>
      <c r="NV83" s="627"/>
      <c r="NW83" s="627"/>
      <c r="NX83" s="627"/>
      <c r="NY83" s="627"/>
      <c r="NZ83" s="627"/>
      <c r="OA83" s="627"/>
      <c r="OB83" s="627"/>
      <c r="OC83" s="627"/>
      <c r="OD83" s="627"/>
      <c r="OE83" s="627"/>
      <c r="OF83" s="627"/>
      <c r="OG83" s="627"/>
      <c r="OH83" s="627"/>
      <c r="OI83" s="627"/>
      <c r="OJ83" s="627"/>
      <c r="OK83" s="627"/>
      <c r="OL83" s="627"/>
      <c r="OM83" s="627"/>
      <c r="ON83" s="627"/>
      <c r="OO83" s="627"/>
      <c r="OP83" s="627"/>
      <c r="OQ83" s="627"/>
      <c r="OR83" s="627"/>
      <c r="OS83" s="627"/>
      <c r="OT83" s="627"/>
      <c r="OU83" s="627"/>
      <c r="OV83" s="627"/>
      <c r="OW83" s="627"/>
      <c r="OX83" s="627"/>
      <c r="OY83" s="627"/>
      <c r="OZ83" s="627"/>
      <c r="PA83" s="627"/>
      <c r="PB83" s="627"/>
      <c r="PC83" s="627"/>
      <c r="PD83" s="627"/>
      <c r="PE83" s="627"/>
      <c r="PF83" s="627"/>
      <c r="PG83" s="627"/>
      <c r="PH83" s="627"/>
      <c r="PI83" s="627"/>
      <c r="PJ83" s="627"/>
      <c r="PK83" s="627"/>
      <c r="PL83" s="627"/>
      <c r="PM83" s="627"/>
      <c r="PN83" s="627"/>
      <c r="PO83" s="627"/>
      <c r="PP83" s="627"/>
      <c r="PQ83" s="627"/>
      <c r="PR83" s="627"/>
      <c r="PS83" s="627"/>
      <c r="PT83" s="627"/>
      <c r="PU83" s="627"/>
      <c r="PV83" s="627"/>
      <c r="PW83" s="627"/>
      <c r="PX83" s="627"/>
      <c r="PY83" s="627"/>
      <c r="PZ83" s="627"/>
      <c r="QA83" s="627"/>
      <c r="QB83" s="627"/>
      <c r="QC83" s="627"/>
      <c r="QD83" s="627"/>
      <c r="QE83" s="627"/>
      <c r="QF83" s="627"/>
      <c r="QG83" s="627"/>
      <c r="QH83" s="627"/>
      <c r="QI83" s="627"/>
      <c r="QJ83" s="627"/>
      <c r="QK83" s="627"/>
      <c r="QL83" s="627"/>
      <c r="QM83" s="627"/>
      <c r="QN83" s="627"/>
      <c r="QO83" s="627"/>
      <c r="QP83" s="627"/>
      <c r="QQ83" s="627"/>
      <c r="QR83" s="627"/>
      <c r="QS83" s="627"/>
      <c r="QT83" s="627"/>
      <c r="QU83" s="627"/>
      <c r="QV83" s="627"/>
      <c r="QW83" s="627"/>
      <c r="QX83" s="627"/>
      <c r="QY83" s="627"/>
      <c r="QZ83" s="627"/>
      <c r="RA83" s="627"/>
      <c r="RB83" s="627"/>
      <c r="RC83" s="627"/>
      <c r="RD83" s="627"/>
      <c r="RE83" s="627"/>
      <c r="RF83" s="627"/>
      <c r="RG83" s="627"/>
      <c r="RH83" s="627"/>
      <c r="RI83" s="627"/>
      <c r="RJ83" s="627"/>
      <c r="RK83" s="627"/>
      <c r="RL83" s="627"/>
      <c r="RM83" s="627"/>
      <c r="RN83" s="627"/>
      <c r="RO83" s="627"/>
      <c r="RP83" s="627"/>
      <c r="RQ83" s="627"/>
      <c r="RR83" s="627"/>
      <c r="RS83" s="627"/>
      <c r="RT83" s="627"/>
      <c r="RU83" s="627"/>
      <c r="RV83" s="627"/>
      <c r="RW83" s="627"/>
      <c r="RX83" s="627"/>
      <c r="RY83" s="627"/>
      <c r="RZ83" s="627"/>
      <c r="SA83" s="627"/>
      <c r="SB83" s="627"/>
      <c r="SC83" s="627"/>
      <c r="SD83" s="627"/>
      <c r="SE83" s="627"/>
      <c r="SF83" s="627"/>
      <c r="SG83" s="627"/>
      <c r="SH83" s="627"/>
      <c r="SI83" s="627"/>
      <c r="SJ83" s="627"/>
      <c r="SK83" s="627"/>
      <c r="SL83" s="627"/>
      <c r="SM83" s="627"/>
      <c r="SN83" s="627"/>
      <c r="SO83" s="627"/>
      <c r="SP83" s="627"/>
      <c r="SQ83" s="627"/>
      <c r="SR83" s="627"/>
      <c r="SS83" s="627"/>
      <c r="ST83" s="627"/>
      <c r="SU83" s="627"/>
      <c r="SV83" s="627"/>
      <c r="SW83" s="627"/>
      <c r="SX83" s="627"/>
      <c r="SY83" s="627"/>
      <c r="SZ83" s="627"/>
      <c r="TA83" s="627"/>
      <c r="TB83" s="627"/>
      <c r="TC83" s="627"/>
      <c r="TD83" s="627"/>
      <c r="TE83" s="627"/>
      <c r="TF83" s="627"/>
      <c r="TG83" s="627"/>
      <c r="TH83" s="627"/>
      <c r="TI83" s="627"/>
      <c r="TJ83" s="627"/>
      <c r="TK83" s="627"/>
      <c r="TL83" s="627"/>
      <c r="TM83" s="627"/>
      <c r="TN83" s="627"/>
      <c r="TO83" s="627"/>
      <c r="TP83" s="627"/>
      <c r="TQ83" s="627"/>
      <c r="TR83" s="627"/>
      <c r="TS83" s="627"/>
      <c r="TT83" s="627"/>
      <c r="TU83" s="627"/>
      <c r="TV83" s="627"/>
      <c r="TW83" s="627"/>
      <c r="TX83" s="627"/>
      <c r="TY83" s="627"/>
      <c r="TZ83" s="627"/>
      <c r="UA83" s="627"/>
      <c r="UB83" s="627"/>
      <c r="UC83" s="627"/>
      <c r="UD83" s="627"/>
      <c r="UE83" s="627"/>
      <c r="UF83" s="627"/>
      <c r="UG83" s="627"/>
      <c r="UH83" s="627"/>
      <c r="UI83" s="627"/>
      <c r="UJ83" s="627"/>
      <c r="UK83" s="627"/>
      <c r="UL83" s="627"/>
      <c r="UM83" s="627"/>
      <c r="UN83" s="627"/>
      <c r="UO83" s="627"/>
      <c r="UP83" s="627"/>
      <c r="UQ83" s="627"/>
      <c r="UR83" s="627"/>
      <c r="US83" s="627"/>
      <c r="UT83" s="627"/>
      <c r="UU83" s="627"/>
      <c r="UV83" s="627"/>
      <c r="UW83" s="627"/>
      <c r="UX83" s="627"/>
      <c r="UY83" s="627"/>
      <c r="UZ83" s="627"/>
      <c r="VA83" s="627"/>
      <c r="VB83" s="627"/>
      <c r="VC83" s="627"/>
      <c r="VD83" s="627"/>
      <c r="VE83" s="627"/>
      <c r="VF83" s="627"/>
      <c r="VG83" s="627"/>
      <c r="VH83" s="627"/>
      <c r="VI83" s="627"/>
      <c r="VJ83" s="627"/>
      <c r="VK83" s="627"/>
      <c r="VL83" s="627"/>
      <c r="VM83" s="627"/>
      <c r="VN83" s="627"/>
      <c r="VO83" s="627"/>
      <c r="VP83" s="627"/>
      <c r="VQ83" s="627"/>
      <c r="VR83" s="627"/>
      <c r="VS83" s="627"/>
      <c r="VT83" s="627"/>
      <c r="VU83" s="627"/>
      <c r="VV83" s="627"/>
      <c r="VW83" s="627"/>
      <c r="VX83" s="627"/>
      <c r="VY83" s="627"/>
      <c r="VZ83" s="627"/>
      <c r="WA83" s="627"/>
      <c r="WB83" s="627"/>
      <c r="WC83" s="627"/>
      <c r="WD83" s="627"/>
      <c r="WE83" s="627"/>
      <c r="WF83" s="627"/>
      <c r="WG83" s="627"/>
      <c r="WH83" s="627"/>
      <c r="WI83" s="627"/>
      <c r="WJ83" s="627"/>
      <c r="WK83" s="627"/>
      <c r="WL83" s="627"/>
      <c r="WM83" s="627"/>
      <c r="WN83" s="627"/>
      <c r="WO83" s="627"/>
      <c r="WP83" s="627"/>
      <c r="WQ83" s="627"/>
      <c r="WR83" s="627"/>
      <c r="WS83" s="627"/>
      <c r="WT83" s="627"/>
      <c r="WU83" s="627"/>
      <c r="WV83" s="627"/>
      <c r="WW83" s="627"/>
      <c r="WX83" s="627"/>
      <c r="WY83" s="627"/>
      <c r="WZ83" s="627"/>
      <c r="XA83" s="627"/>
      <c r="XB83" s="627"/>
      <c r="XC83" s="627"/>
      <c r="XD83" s="627"/>
      <c r="XE83" s="627"/>
      <c r="XF83" s="627"/>
      <c r="XG83" s="627"/>
      <c r="XH83" s="627"/>
      <c r="XI83" s="627"/>
      <c r="XJ83" s="627"/>
      <c r="XK83" s="627"/>
      <c r="XL83" s="627"/>
      <c r="XM83" s="627"/>
      <c r="XN83" s="627"/>
      <c r="XO83" s="627"/>
      <c r="XP83" s="627"/>
      <c r="XQ83" s="627"/>
      <c r="XR83" s="627"/>
      <c r="XS83" s="627"/>
      <c r="XT83" s="627"/>
      <c r="XU83" s="627"/>
      <c r="XV83" s="627"/>
      <c r="XW83" s="627"/>
      <c r="XX83" s="627"/>
      <c r="XY83" s="627"/>
      <c r="XZ83" s="627"/>
      <c r="YA83" s="627"/>
      <c r="YB83" s="627"/>
      <c r="YC83" s="627"/>
      <c r="YD83" s="627"/>
      <c r="YE83" s="627"/>
      <c r="YF83" s="627"/>
      <c r="YG83" s="627"/>
      <c r="YH83" s="627"/>
      <c r="YI83" s="627"/>
      <c r="YJ83" s="627"/>
      <c r="YK83" s="627"/>
      <c r="YL83" s="627"/>
      <c r="YM83" s="627"/>
      <c r="YN83" s="627"/>
      <c r="YO83" s="627"/>
      <c r="YP83" s="627"/>
      <c r="YQ83" s="627"/>
      <c r="YR83" s="627"/>
      <c r="YS83" s="627"/>
      <c r="YT83" s="627"/>
      <c r="YU83" s="627"/>
      <c r="YV83" s="627"/>
      <c r="YW83" s="627"/>
      <c r="YX83" s="627"/>
      <c r="YY83" s="627"/>
      <c r="YZ83" s="627"/>
      <c r="ZA83" s="627"/>
      <c r="ZB83" s="627"/>
      <c r="ZC83" s="627"/>
      <c r="ZD83" s="627"/>
      <c r="ZE83" s="627"/>
      <c r="ZF83" s="627"/>
      <c r="ZG83" s="627"/>
      <c r="ZH83" s="627"/>
      <c r="ZI83" s="627"/>
      <c r="ZJ83" s="627"/>
      <c r="ZK83" s="627"/>
      <c r="ZL83" s="627"/>
      <c r="ZM83" s="627"/>
      <c r="ZN83" s="627"/>
      <c r="ZO83" s="627"/>
      <c r="ZP83" s="627"/>
      <c r="ZQ83" s="627"/>
      <c r="ZR83" s="627"/>
      <c r="ZS83" s="627"/>
      <c r="ZT83" s="627"/>
      <c r="ZU83" s="627"/>
      <c r="ZV83" s="627"/>
      <c r="ZW83" s="627"/>
      <c r="ZX83" s="627"/>
      <c r="ZY83" s="627"/>
      <c r="ZZ83" s="627"/>
      <c r="AAA83" s="627"/>
      <c r="AAB83" s="627"/>
      <c r="AAC83" s="627"/>
      <c r="AAD83" s="627"/>
      <c r="AAE83" s="627"/>
      <c r="AAF83" s="627"/>
      <c r="AAG83" s="627"/>
      <c r="AAH83" s="627"/>
      <c r="AAI83" s="627"/>
      <c r="AAJ83" s="627"/>
      <c r="AAK83" s="627"/>
      <c r="AAL83" s="627"/>
      <c r="AAM83" s="627"/>
      <c r="AAN83" s="627"/>
      <c r="AAO83" s="627"/>
      <c r="AAP83" s="627"/>
      <c r="AAQ83" s="627"/>
      <c r="AAR83" s="627"/>
      <c r="AAS83" s="627"/>
      <c r="AAT83" s="627"/>
      <c r="AAU83" s="627"/>
      <c r="AAV83" s="627"/>
      <c r="AAW83" s="627"/>
      <c r="AAX83" s="627"/>
      <c r="AAY83" s="627"/>
      <c r="AAZ83" s="627"/>
      <c r="ABA83" s="627"/>
      <c r="ABB83" s="627"/>
      <c r="ABC83" s="627"/>
      <c r="ABD83" s="627"/>
      <c r="ABE83" s="627"/>
      <c r="ABF83" s="627"/>
      <c r="ABG83" s="627"/>
      <c r="ABH83" s="627"/>
      <c r="ABI83" s="627"/>
      <c r="ABJ83" s="627"/>
      <c r="ABK83" s="627"/>
      <c r="ABL83" s="627"/>
      <c r="ABM83" s="627"/>
      <c r="ABN83" s="627"/>
      <c r="ABO83" s="627"/>
      <c r="ABP83" s="627"/>
      <c r="ABQ83" s="627"/>
      <c r="ABR83" s="627"/>
      <c r="ABS83" s="627"/>
      <c r="ABT83" s="627"/>
      <c r="ABU83" s="627"/>
      <c r="ABV83" s="627"/>
      <c r="ABW83" s="627"/>
      <c r="ABX83" s="627"/>
      <c r="ABY83" s="627"/>
      <c r="ABZ83" s="627"/>
      <c r="ACA83" s="627"/>
      <c r="ACB83" s="627"/>
      <c r="ACC83" s="627"/>
      <c r="ACD83" s="627"/>
      <c r="ACE83" s="627"/>
      <c r="ACF83" s="627"/>
      <c r="ACG83" s="627"/>
      <c r="ACH83" s="627"/>
      <c r="ACI83" s="627"/>
      <c r="ACJ83" s="627"/>
      <c r="ACK83" s="627"/>
      <c r="ACL83" s="627"/>
      <c r="ACM83" s="627"/>
      <c r="ACN83" s="627"/>
      <c r="ACO83" s="627"/>
      <c r="ACP83" s="627"/>
      <c r="ACQ83" s="627"/>
      <c r="ACR83" s="627"/>
      <c r="ACS83" s="627"/>
      <c r="ACT83" s="627"/>
      <c r="ACU83" s="627"/>
      <c r="ACV83" s="627"/>
      <c r="ACW83" s="627"/>
      <c r="ACX83" s="627"/>
      <c r="ACY83" s="627"/>
      <c r="ACZ83" s="627"/>
      <c r="ADA83" s="627"/>
      <c r="ADB83" s="627"/>
      <c r="ADC83" s="627"/>
      <c r="ADD83" s="627"/>
      <c r="ADE83" s="627"/>
      <c r="ADF83" s="627"/>
      <c r="ADG83" s="627"/>
      <c r="ADH83" s="627"/>
      <c r="ADI83" s="627"/>
      <c r="ADJ83" s="627"/>
      <c r="ADK83" s="627"/>
      <c r="ADL83" s="627"/>
      <c r="ADM83" s="627"/>
      <c r="ADN83" s="627"/>
      <c r="ADO83" s="627"/>
      <c r="ADP83" s="627"/>
      <c r="ADQ83" s="627"/>
      <c r="ADR83" s="627"/>
      <c r="ADS83" s="627"/>
      <c r="ADT83" s="627"/>
      <c r="ADU83" s="627"/>
      <c r="ADV83" s="627"/>
      <c r="ADW83" s="627"/>
      <c r="ADX83" s="627"/>
      <c r="ADY83" s="627"/>
      <c r="ADZ83" s="627"/>
      <c r="AEA83" s="627"/>
      <c r="AEB83" s="627"/>
      <c r="AEC83" s="627"/>
      <c r="AED83" s="627"/>
      <c r="AEE83" s="627"/>
      <c r="AEF83" s="627"/>
      <c r="AEG83" s="627"/>
      <c r="AEH83" s="627"/>
      <c r="AEI83" s="627"/>
      <c r="AEJ83" s="627"/>
      <c r="AEK83" s="627"/>
      <c r="AEL83" s="627"/>
      <c r="AEM83" s="627"/>
      <c r="AEN83" s="627"/>
      <c r="AEO83" s="627"/>
      <c r="AEP83" s="627"/>
      <c r="AEQ83" s="627"/>
      <c r="AER83" s="627"/>
      <c r="AES83" s="627"/>
      <c r="AET83" s="627"/>
      <c r="AEU83" s="627"/>
      <c r="AEV83" s="627"/>
      <c r="AEW83" s="627"/>
      <c r="AEX83" s="627"/>
      <c r="AEY83" s="627"/>
      <c r="AEZ83" s="627"/>
      <c r="AFA83" s="627"/>
      <c r="AFB83" s="627"/>
      <c r="AFC83" s="627"/>
      <c r="AFD83" s="627"/>
      <c r="AFE83" s="627"/>
      <c r="AFF83" s="627"/>
      <c r="AFG83" s="627"/>
      <c r="AFH83" s="627"/>
      <c r="AFI83" s="627"/>
      <c r="AFJ83" s="627"/>
      <c r="AFK83" s="627"/>
      <c r="AFL83" s="627"/>
      <c r="AFM83" s="627"/>
      <c r="AFN83" s="627"/>
      <c r="AFO83" s="627"/>
      <c r="AFP83" s="627"/>
      <c r="AFQ83" s="627"/>
      <c r="AFR83" s="627"/>
      <c r="AFS83" s="627"/>
      <c r="AFT83" s="627"/>
      <c r="AFU83" s="627"/>
      <c r="AFV83" s="627"/>
      <c r="AFW83" s="627"/>
      <c r="AFX83" s="627"/>
      <c r="AFY83" s="627"/>
      <c r="AFZ83" s="627"/>
      <c r="AGA83" s="627"/>
      <c r="AGB83" s="627"/>
      <c r="AGC83" s="627"/>
      <c r="AGD83" s="627"/>
      <c r="AGE83" s="627"/>
      <c r="AGF83" s="627"/>
      <c r="AGG83" s="627"/>
      <c r="AGH83" s="627"/>
      <c r="AGI83" s="627"/>
      <c r="AGJ83" s="627"/>
      <c r="AGK83" s="627"/>
      <c r="AGL83" s="627"/>
      <c r="AGM83" s="627"/>
      <c r="AGN83" s="627"/>
      <c r="AGO83" s="627"/>
      <c r="AGP83" s="627"/>
      <c r="AGQ83" s="627"/>
      <c r="AGR83" s="627"/>
      <c r="AGS83" s="627"/>
      <c r="AGT83" s="627"/>
      <c r="AGU83" s="627"/>
      <c r="AGV83" s="627"/>
      <c r="AGW83" s="627"/>
      <c r="AGX83" s="627"/>
      <c r="AGY83" s="627"/>
      <c r="AGZ83" s="627"/>
      <c r="AHA83" s="627"/>
      <c r="AHB83" s="627"/>
      <c r="AHC83" s="627"/>
      <c r="AHD83" s="627"/>
      <c r="AHE83" s="627"/>
      <c r="AHF83" s="627"/>
      <c r="AHG83" s="627"/>
      <c r="AHH83" s="627"/>
      <c r="AHI83" s="627"/>
      <c r="AHJ83" s="627"/>
      <c r="AHK83" s="627"/>
      <c r="AHL83" s="627"/>
      <c r="AHM83" s="627"/>
      <c r="AHN83" s="627"/>
      <c r="AHO83" s="627"/>
      <c r="AHP83" s="627"/>
      <c r="AHQ83" s="627"/>
      <c r="AHR83" s="627"/>
      <c r="AHS83" s="627"/>
      <c r="AHT83" s="627"/>
      <c r="AHU83" s="627"/>
      <c r="AHV83" s="627"/>
      <c r="AHW83" s="627"/>
      <c r="AHX83" s="627"/>
      <c r="AHY83" s="627"/>
      <c r="AHZ83" s="627"/>
      <c r="AIA83" s="627"/>
      <c r="AIB83" s="627"/>
      <c r="AIC83" s="627"/>
      <c r="AID83" s="627"/>
      <c r="AIE83" s="627"/>
      <c r="AIF83" s="627"/>
      <c r="AIG83" s="627"/>
      <c r="AIH83" s="627"/>
      <c r="AII83" s="627"/>
      <c r="AIJ83" s="627"/>
      <c r="AIK83" s="627"/>
      <c r="AIL83" s="627"/>
      <c r="AIM83" s="627"/>
      <c r="AIN83" s="627"/>
      <c r="AIO83" s="627"/>
      <c r="AIP83" s="627"/>
      <c r="AIQ83" s="627"/>
      <c r="AIR83" s="627"/>
      <c r="AIS83" s="627"/>
      <c r="AIT83" s="627"/>
      <c r="AIU83" s="627"/>
      <c r="AIV83" s="627"/>
      <c r="AIW83" s="627"/>
      <c r="AIX83" s="627"/>
      <c r="AIY83" s="627"/>
      <c r="AIZ83" s="627"/>
      <c r="AJA83" s="627"/>
      <c r="AJB83" s="627"/>
      <c r="AJC83" s="627"/>
      <c r="AJD83" s="627"/>
      <c r="AJE83" s="627"/>
      <c r="AJF83" s="627"/>
      <c r="AJG83" s="627"/>
      <c r="AJH83" s="627"/>
      <c r="AJI83" s="627"/>
      <c r="AJJ83" s="627"/>
      <c r="AJK83" s="627"/>
      <c r="AJL83" s="627"/>
      <c r="AJM83" s="627"/>
      <c r="AJN83" s="627"/>
      <c r="AJO83" s="627"/>
      <c r="AJP83" s="627"/>
      <c r="AJQ83" s="627"/>
      <c r="AJR83" s="627"/>
      <c r="AJS83" s="627"/>
      <c r="AJT83" s="627"/>
      <c r="AJU83" s="627"/>
      <c r="AJV83" s="627"/>
      <c r="AJW83" s="627"/>
      <c r="AJX83" s="627"/>
      <c r="AJY83" s="627"/>
      <c r="AJZ83" s="627"/>
      <c r="AKA83" s="627"/>
      <c r="AKB83" s="627"/>
      <c r="AKC83" s="627"/>
      <c r="AKD83" s="627"/>
      <c r="AKE83" s="627"/>
      <c r="AKF83" s="627"/>
      <c r="AKG83" s="627"/>
      <c r="AKH83" s="627"/>
      <c r="AKI83" s="627"/>
      <c r="AKJ83" s="627"/>
      <c r="AKK83" s="627"/>
      <c r="AKL83" s="627"/>
      <c r="AKM83" s="627"/>
      <c r="AKN83" s="627"/>
      <c r="AKO83" s="627"/>
      <c r="AKP83" s="627"/>
      <c r="AKQ83" s="627"/>
      <c r="AKR83" s="627"/>
      <c r="AKS83" s="627"/>
      <c r="AKT83" s="627"/>
      <c r="AKU83" s="627"/>
      <c r="AKV83" s="627"/>
      <c r="AKW83" s="627"/>
      <c r="AKX83" s="627"/>
      <c r="AKY83" s="627"/>
      <c r="AKZ83" s="627"/>
      <c r="ALA83" s="627"/>
      <c r="ALB83" s="627"/>
      <c r="ALC83" s="627"/>
      <c r="ALD83" s="627"/>
      <c r="ALE83" s="627"/>
      <c r="ALF83" s="627"/>
      <c r="ALG83" s="627"/>
      <c r="ALH83" s="627"/>
      <c r="ALI83" s="627"/>
      <c r="ALJ83" s="627"/>
      <c r="ALK83" s="627"/>
      <c r="ALL83" s="627"/>
      <c r="ALM83" s="627"/>
      <c r="ALN83" s="627"/>
      <c r="ALO83" s="627"/>
      <c r="ALP83" s="627"/>
      <c r="ALQ83" s="627"/>
      <c r="ALR83" s="627"/>
      <c r="ALS83" s="627"/>
      <c r="ALT83" s="627"/>
      <c r="ALU83" s="627"/>
      <c r="ALV83" s="627"/>
      <c r="ALW83" s="627"/>
      <c r="ALX83" s="627"/>
      <c r="ALY83" s="627"/>
      <c r="ALZ83" s="627"/>
      <c r="AMA83" s="627"/>
      <c r="AMB83" s="627"/>
      <c r="AMC83" s="627"/>
      <c r="AMD83" s="627"/>
      <c r="AME83" s="627"/>
      <c r="AMF83" s="627"/>
    </row>
    <row r="84" spans="1:1020" s="485" customFormat="1" ht="12.75" customHeight="1" x14ac:dyDescent="0.15">
      <c r="A84" s="627"/>
      <c r="B84" s="627"/>
      <c r="C84" s="627"/>
      <c r="D84" s="627"/>
      <c r="E84" s="627"/>
      <c r="F84" s="627"/>
      <c r="G84" s="627"/>
      <c r="H84" s="627"/>
      <c r="I84" s="627"/>
      <c r="J84" s="627"/>
      <c r="K84" s="627"/>
      <c r="L84" s="627"/>
      <c r="M84" s="627"/>
      <c r="N84" s="627"/>
      <c r="O84" s="627"/>
      <c r="P84" s="627"/>
      <c r="Q84" s="627"/>
      <c r="R84" s="627"/>
      <c r="S84" s="627"/>
      <c r="T84" s="627"/>
      <c r="U84" s="627"/>
      <c r="V84" s="627"/>
      <c r="W84" s="627"/>
      <c r="X84" s="627"/>
      <c r="Y84" s="627"/>
      <c r="Z84" s="627"/>
      <c r="AA84" s="627"/>
      <c r="AB84" s="627"/>
      <c r="AC84" s="627"/>
      <c r="AD84" s="627"/>
      <c r="AE84" s="627"/>
      <c r="AF84" s="627"/>
      <c r="AG84" s="627"/>
      <c r="AH84" s="627"/>
      <c r="AI84" s="627"/>
      <c r="AJ84" s="627"/>
      <c r="AK84" s="627"/>
      <c r="AL84" s="627"/>
      <c r="AM84" s="627"/>
      <c r="AN84" s="627"/>
      <c r="AO84" s="627"/>
      <c r="AP84" s="627" t="s">
        <v>800</v>
      </c>
      <c r="AQ84" s="627"/>
      <c r="AR84" s="627"/>
      <c r="AS84" s="627"/>
      <c r="AT84" s="627"/>
      <c r="AU84" s="627"/>
      <c r="AV84" s="627"/>
      <c r="AW84" s="627"/>
      <c r="AX84" s="627"/>
      <c r="AY84" s="627"/>
      <c r="AZ84" s="627"/>
      <c r="BA84" s="629" t="s">
        <v>1204</v>
      </c>
      <c r="BB84" s="627"/>
      <c r="BC84" s="627"/>
      <c r="BD84" s="627"/>
      <c r="BE84" s="627"/>
      <c r="BG84" s="486"/>
      <c r="BH84" s="436"/>
      <c r="BI84" s="436"/>
      <c r="BJ84" s="436"/>
      <c r="BK84" s="436"/>
      <c r="BL84" s="436"/>
      <c r="BM84" s="436"/>
      <c r="BN84" s="436"/>
      <c r="BO84" s="436"/>
      <c r="BP84" s="436"/>
      <c r="BQ84" s="436"/>
      <c r="BR84" s="436"/>
      <c r="BS84" s="436"/>
      <c r="BT84" s="436"/>
      <c r="BU84" s="436"/>
      <c r="BV84" s="627"/>
      <c r="BW84" s="627"/>
      <c r="BX84" s="627"/>
      <c r="BY84" s="627"/>
      <c r="BZ84" s="627"/>
      <c r="CA84" s="627"/>
      <c r="CB84" s="627"/>
      <c r="CC84" s="627"/>
      <c r="CD84" s="627"/>
      <c r="CE84" s="627"/>
      <c r="CF84" s="627"/>
      <c r="CG84" s="627"/>
      <c r="CH84" s="627"/>
      <c r="CI84" s="627"/>
      <c r="CJ84" s="627"/>
      <c r="CK84" s="627"/>
      <c r="CL84" s="627"/>
      <c r="CM84" s="627"/>
      <c r="CN84" s="627"/>
      <c r="CO84" s="627"/>
      <c r="CP84" s="627"/>
      <c r="CQ84" s="627"/>
      <c r="CR84" s="627"/>
      <c r="CS84" s="627"/>
      <c r="CT84" s="627"/>
      <c r="CU84" s="627"/>
      <c r="CV84" s="627"/>
      <c r="CW84" s="627"/>
      <c r="CX84" s="627"/>
      <c r="CY84" s="627"/>
      <c r="CZ84" s="627"/>
      <c r="DA84" s="627"/>
      <c r="DB84" s="627"/>
      <c r="DC84" s="627"/>
      <c r="DD84" s="627"/>
      <c r="DE84" s="627"/>
      <c r="DF84" s="627"/>
      <c r="DG84" s="627"/>
      <c r="DH84" s="627"/>
      <c r="DI84" s="627"/>
      <c r="DJ84" s="627"/>
      <c r="DK84" s="627"/>
      <c r="DL84" s="627"/>
      <c r="DM84" s="627"/>
      <c r="DN84" s="627"/>
      <c r="DO84" s="627"/>
      <c r="DP84" s="627"/>
      <c r="DQ84" s="627"/>
      <c r="DR84" s="627"/>
      <c r="DS84" s="627"/>
      <c r="DT84" s="627"/>
      <c r="DU84" s="627"/>
      <c r="DV84" s="627"/>
      <c r="DW84" s="627"/>
      <c r="DX84" s="627"/>
      <c r="DY84" s="627"/>
      <c r="DZ84" s="627"/>
      <c r="EA84" s="627"/>
      <c r="EB84" s="627"/>
      <c r="EC84" s="627"/>
      <c r="ED84" s="627"/>
      <c r="EE84" s="627"/>
      <c r="EF84" s="627"/>
      <c r="EG84" s="627"/>
      <c r="EH84" s="627"/>
      <c r="EI84" s="627"/>
      <c r="EJ84" s="627"/>
      <c r="EK84" s="627"/>
      <c r="EL84" s="627"/>
      <c r="EM84" s="627"/>
      <c r="EN84" s="627"/>
      <c r="EO84" s="627"/>
      <c r="EP84" s="627"/>
      <c r="EQ84" s="627"/>
      <c r="ER84" s="627"/>
      <c r="ES84" s="627"/>
      <c r="ET84" s="627"/>
      <c r="EU84" s="627"/>
      <c r="EV84" s="627"/>
      <c r="EW84" s="627"/>
      <c r="EX84" s="627"/>
      <c r="EY84" s="627"/>
      <c r="EZ84" s="627"/>
      <c r="FA84" s="627"/>
      <c r="FB84" s="627"/>
      <c r="FC84" s="627"/>
      <c r="FD84" s="627"/>
      <c r="FE84" s="627"/>
      <c r="FF84" s="627"/>
      <c r="FG84" s="627"/>
      <c r="FH84" s="627"/>
      <c r="FI84" s="627"/>
      <c r="FJ84" s="627"/>
      <c r="FK84" s="627"/>
      <c r="FL84" s="627"/>
      <c r="FM84" s="627"/>
      <c r="FN84" s="627"/>
      <c r="FO84" s="627"/>
      <c r="FP84" s="627"/>
      <c r="FQ84" s="627"/>
      <c r="FR84" s="627"/>
      <c r="FS84" s="627"/>
      <c r="FT84" s="627"/>
      <c r="FU84" s="627"/>
      <c r="FV84" s="627"/>
      <c r="FW84" s="627"/>
      <c r="FX84" s="627"/>
      <c r="FY84" s="627"/>
      <c r="FZ84" s="627"/>
      <c r="GA84" s="627"/>
      <c r="GB84" s="627"/>
      <c r="GC84" s="627"/>
      <c r="GD84" s="627"/>
      <c r="GE84" s="627"/>
      <c r="GF84" s="627"/>
      <c r="GG84" s="627"/>
      <c r="GH84" s="627"/>
      <c r="GI84" s="627"/>
      <c r="GJ84" s="627"/>
      <c r="GK84" s="627"/>
      <c r="GL84" s="627"/>
      <c r="GM84" s="627"/>
      <c r="GN84" s="627"/>
      <c r="GO84" s="627"/>
      <c r="GP84" s="627"/>
      <c r="GQ84" s="627"/>
      <c r="GR84" s="627"/>
      <c r="GS84" s="627"/>
      <c r="GT84" s="627"/>
      <c r="GU84" s="627"/>
      <c r="GV84" s="627"/>
      <c r="GW84" s="627"/>
      <c r="GX84" s="627"/>
      <c r="GY84" s="627"/>
      <c r="GZ84" s="627"/>
      <c r="HA84" s="627"/>
      <c r="HB84" s="627"/>
      <c r="HC84" s="627"/>
      <c r="HD84" s="627"/>
      <c r="HE84" s="627"/>
      <c r="HF84" s="627"/>
      <c r="HG84" s="627"/>
      <c r="HH84" s="627"/>
      <c r="HI84" s="627"/>
      <c r="HJ84" s="627"/>
      <c r="HK84" s="627"/>
      <c r="HL84" s="627"/>
      <c r="HM84" s="627"/>
      <c r="HN84" s="627"/>
      <c r="HO84" s="627"/>
      <c r="HP84" s="627"/>
      <c r="HQ84" s="627"/>
      <c r="HR84" s="627"/>
      <c r="HS84" s="627"/>
      <c r="HT84" s="627"/>
      <c r="HU84" s="627"/>
      <c r="HV84" s="627"/>
      <c r="HW84" s="627"/>
      <c r="HX84" s="627"/>
      <c r="HY84" s="627"/>
      <c r="HZ84" s="627"/>
      <c r="IA84" s="627"/>
      <c r="IB84" s="627"/>
      <c r="IC84" s="627"/>
      <c r="ID84" s="627"/>
      <c r="IE84" s="627"/>
      <c r="IF84" s="627"/>
      <c r="IG84" s="627"/>
      <c r="IH84" s="627"/>
      <c r="II84" s="627"/>
      <c r="IJ84" s="627"/>
      <c r="IK84" s="627"/>
      <c r="IL84" s="627"/>
      <c r="IM84" s="627"/>
      <c r="IN84" s="627"/>
      <c r="IO84" s="627"/>
      <c r="IP84" s="627"/>
      <c r="IQ84" s="627"/>
      <c r="IR84" s="627"/>
      <c r="IS84" s="627"/>
      <c r="IT84" s="627"/>
      <c r="IU84" s="627"/>
      <c r="IV84" s="627"/>
      <c r="IW84" s="627"/>
      <c r="IX84" s="627"/>
      <c r="IY84" s="627"/>
      <c r="IZ84" s="627"/>
      <c r="JA84" s="627"/>
      <c r="JB84" s="627"/>
      <c r="JC84" s="627"/>
      <c r="JD84" s="627"/>
      <c r="JE84" s="627"/>
      <c r="JF84" s="627"/>
      <c r="JG84" s="627"/>
      <c r="JH84" s="627"/>
      <c r="JI84" s="627"/>
      <c r="JJ84" s="627"/>
      <c r="JK84" s="627"/>
      <c r="JL84" s="627"/>
      <c r="JM84" s="627"/>
      <c r="JN84" s="627"/>
      <c r="JO84" s="627"/>
      <c r="JP84" s="627"/>
      <c r="JQ84" s="627"/>
      <c r="JR84" s="627"/>
      <c r="JS84" s="627"/>
      <c r="JT84" s="627"/>
      <c r="JU84" s="627"/>
      <c r="JV84" s="627"/>
      <c r="JW84" s="627"/>
      <c r="JX84" s="627"/>
      <c r="JY84" s="627"/>
      <c r="JZ84" s="627"/>
      <c r="KA84" s="627"/>
      <c r="KB84" s="627"/>
      <c r="KC84" s="627"/>
      <c r="KD84" s="627"/>
      <c r="KE84" s="627"/>
      <c r="KF84" s="627"/>
      <c r="KG84" s="627"/>
      <c r="KH84" s="627"/>
      <c r="KI84" s="627"/>
      <c r="KJ84" s="627"/>
      <c r="KK84" s="627"/>
      <c r="KL84" s="627"/>
      <c r="KM84" s="627"/>
      <c r="KN84" s="627"/>
      <c r="KO84" s="627"/>
      <c r="KP84" s="627"/>
      <c r="KQ84" s="627"/>
      <c r="KR84" s="627"/>
      <c r="KS84" s="627"/>
      <c r="KT84" s="627"/>
      <c r="KU84" s="627"/>
      <c r="KV84" s="627"/>
      <c r="KW84" s="627"/>
      <c r="KX84" s="627"/>
      <c r="KY84" s="627"/>
      <c r="KZ84" s="627"/>
      <c r="LA84" s="627"/>
      <c r="LB84" s="627"/>
      <c r="LC84" s="627"/>
      <c r="LD84" s="627"/>
      <c r="LE84" s="627"/>
      <c r="LF84" s="627"/>
      <c r="LG84" s="627"/>
      <c r="LH84" s="627"/>
      <c r="LI84" s="627"/>
      <c r="LJ84" s="627"/>
      <c r="LK84" s="627"/>
      <c r="LL84" s="627"/>
      <c r="LM84" s="627"/>
      <c r="LN84" s="627"/>
      <c r="LO84" s="627"/>
      <c r="LP84" s="627"/>
      <c r="LQ84" s="627"/>
      <c r="LR84" s="627"/>
      <c r="LS84" s="627"/>
      <c r="LT84" s="627"/>
      <c r="LU84" s="627"/>
      <c r="LV84" s="627"/>
      <c r="LW84" s="627"/>
      <c r="LX84" s="627"/>
      <c r="LY84" s="627"/>
      <c r="LZ84" s="627"/>
      <c r="MA84" s="627"/>
      <c r="MB84" s="627"/>
      <c r="MC84" s="627"/>
      <c r="MD84" s="627"/>
      <c r="ME84" s="627"/>
      <c r="MF84" s="627"/>
      <c r="MG84" s="627"/>
      <c r="MH84" s="627"/>
      <c r="MI84" s="627"/>
      <c r="MJ84" s="627"/>
      <c r="MK84" s="627"/>
      <c r="ML84" s="627"/>
      <c r="MM84" s="627"/>
      <c r="MN84" s="627"/>
      <c r="MO84" s="627"/>
      <c r="MP84" s="627"/>
      <c r="MQ84" s="627"/>
      <c r="MR84" s="627"/>
      <c r="MS84" s="627"/>
      <c r="MT84" s="627"/>
      <c r="MU84" s="627"/>
      <c r="MV84" s="627"/>
      <c r="MW84" s="627"/>
      <c r="MX84" s="627"/>
      <c r="MY84" s="627"/>
      <c r="MZ84" s="627"/>
      <c r="NA84" s="627"/>
      <c r="NB84" s="627"/>
      <c r="NC84" s="627"/>
      <c r="ND84" s="627"/>
      <c r="NE84" s="627"/>
      <c r="NF84" s="627"/>
      <c r="NG84" s="627"/>
      <c r="NH84" s="627"/>
      <c r="NI84" s="627"/>
      <c r="NJ84" s="627"/>
      <c r="NK84" s="627"/>
      <c r="NL84" s="627"/>
      <c r="NM84" s="627"/>
      <c r="NN84" s="627"/>
      <c r="NO84" s="627"/>
      <c r="NP84" s="627"/>
      <c r="NQ84" s="627"/>
      <c r="NR84" s="627"/>
      <c r="NS84" s="627"/>
      <c r="NT84" s="627"/>
      <c r="NU84" s="627"/>
      <c r="NV84" s="627"/>
      <c r="NW84" s="627"/>
      <c r="NX84" s="627"/>
      <c r="NY84" s="627"/>
      <c r="NZ84" s="627"/>
      <c r="OA84" s="627"/>
      <c r="OB84" s="627"/>
      <c r="OC84" s="627"/>
      <c r="OD84" s="627"/>
      <c r="OE84" s="627"/>
      <c r="OF84" s="627"/>
      <c r="OG84" s="627"/>
      <c r="OH84" s="627"/>
      <c r="OI84" s="627"/>
      <c r="OJ84" s="627"/>
      <c r="OK84" s="627"/>
      <c r="OL84" s="627"/>
      <c r="OM84" s="627"/>
      <c r="ON84" s="627"/>
      <c r="OO84" s="627"/>
      <c r="OP84" s="627"/>
      <c r="OQ84" s="627"/>
      <c r="OR84" s="627"/>
      <c r="OS84" s="627"/>
      <c r="OT84" s="627"/>
      <c r="OU84" s="627"/>
      <c r="OV84" s="627"/>
      <c r="OW84" s="627"/>
      <c r="OX84" s="627"/>
      <c r="OY84" s="627"/>
      <c r="OZ84" s="627"/>
      <c r="PA84" s="627"/>
      <c r="PB84" s="627"/>
      <c r="PC84" s="627"/>
      <c r="PD84" s="627"/>
      <c r="PE84" s="627"/>
      <c r="PF84" s="627"/>
      <c r="PG84" s="627"/>
      <c r="PH84" s="627"/>
      <c r="PI84" s="627"/>
      <c r="PJ84" s="627"/>
      <c r="PK84" s="627"/>
      <c r="PL84" s="627"/>
      <c r="PM84" s="627"/>
      <c r="PN84" s="627"/>
      <c r="PO84" s="627"/>
      <c r="PP84" s="627"/>
      <c r="PQ84" s="627"/>
      <c r="PR84" s="627"/>
      <c r="PS84" s="627"/>
      <c r="PT84" s="627"/>
      <c r="PU84" s="627"/>
      <c r="PV84" s="627"/>
      <c r="PW84" s="627"/>
      <c r="PX84" s="627"/>
      <c r="PY84" s="627"/>
      <c r="PZ84" s="627"/>
      <c r="QA84" s="627"/>
      <c r="QB84" s="627"/>
      <c r="QC84" s="627"/>
      <c r="QD84" s="627"/>
      <c r="QE84" s="627"/>
      <c r="QF84" s="627"/>
      <c r="QG84" s="627"/>
      <c r="QH84" s="627"/>
      <c r="QI84" s="627"/>
      <c r="QJ84" s="627"/>
      <c r="QK84" s="627"/>
      <c r="QL84" s="627"/>
      <c r="QM84" s="627"/>
      <c r="QN84" s="627"/>
      <c r="QO84" s="627"/>
      <c r="QP84" s="627"/>
      <c r="QQ84" s="627"/>
      <c r="QR84" s="627"/>
      <c r="QS84" s="627"/>
      <c r="QT84" s="627"/>
      <c r="QU84" s="627"/>
      <c r="QV84" s="627"/>
      <c r="QW84" s="627"/>
      <c r="QX84" s="627"/>
      <c r="QY84" s="627"/>
      <c r="QZ84" s="627"/>
      <c r="RA84" s="627"/>
      <c r="RB84" s="627"/>
      <c r="RC84" s="627"/>
      <c r="RD84" s="627"/>
      <c r="RE84" s="627"/>
      <c r="RF84" s="627"/>
      <c r="RG84" s="627"/>
      <c r="RH84" s="627"/>
      <c r="RI84" s="627"/>
      <c r="RJ84" s="627"/>
      <c r="RK84" s="627"/>
      <c r="RL84" s="627"/>
      <c r="RM84" s="627"/>
      <c r="RN84" s="627"/>
      <c r="RO84" s="627"/>
      <c r="RP84" s="627"/>
      <c r="RQ84" s="627"/>
      <c r="RR84" s="627"/>
      <c r="RS84" s="627"/>
      <c r="RT84" s="627"/>
      <c r="RU84" s="627"/>
      <c r="RV84" s="627"/>
      <c r="RW84" s="627"/>
      <c r="RX84" s="627"/>
      <c r="RY84" s="627"/>
      <c r="RZ84" s="627"/>
      <c r="SA84" s="627"/>
      <c r="SB84" s="627"/>
      <c r="SC84" s="627"/>
      <c r="SD84" s="627"/>
      <c r="SE84" s="627"/>
      <c r="SF84" s="627"/>
      <c r="SG84" s="627"/>
      <c r="SH84" s="627"/>
      <c r="SI84" s="627"/>
      <c r="SJ84" s="627"/>
      <c r="SK84" s="627"/>
      <c r="SL84" s="627"/>
      <c r="SM84" s="627"/>
      <c r="SN84" s="627"/>
      <c r="SO84" s="627"/>
      <c r="SP84" s="627"/>
      <c r="SQ84" s="627"/>
      <c r="SR84" s="627"/>
      <c r="SS84" s="627"/>
      <c r="ST84" s="627"/>
      <c r="SU84" s="627"/>
      <c r="SV84" s="627"/>
      <c r="SW84" s="627"/>
      <c r="SX84" s="627"/>
      <c r="SY84" s="627"/>
      <c r="SZ84" s="627"/>
      <c r="TA84" s="627"/>
      <c r="TB84" s="627"/>
      <c r="TC84" s="627"/>
      <c r="TD84" s="627"/>
      <c r="TE84" s="627"/>
      <c r="TF84" s="627"/>
      <c r="TG84" s="627"/>
      <c r="TH84" s="627"/>
      <c r="TI84" s="627"/>
      <c r="TJ84" s="627"/>
      <c r="TK84" s="627"/>
      <c r="TL84" s="627"/>
      <c r="TM84" s="627"/>
      <c r="TN84" s="627"/>
      <c r="TO84" s="627"/>
      <c r="TP84" s="627"/>
      <c r="TQ84" s="627"/>
      <c r="TR84" s="627"/>
      <c r="TS84" s="627"/>
      <c r="TT84" s="627"/>
      <c r="TU84" s="627"/>
      <c r="TV84" s="627"/>
      <c r="TW84" s="627"/>
      <c r="TX84" s="627"/>
      <c r="TY84" s="627"/>
      <c r="TZ84" s="627"/>
      <c r="UA84" s="627"/>
      <c r="UB84" s="627"/>
      <c r="UC84" s="627"/>
      <c r="UD84" s="627"/>
      <c r="UE84" s="627"/>
      <c r="UF84" s="627"/>
      <c r="UG84" s="627"/>
      <c r="UH84" s="627"/>
      <c r="UI84" s="627"/>
      <c r="UJ84" s="627"/>
      <c r="UK84" s="627"/>
      <c r="UL84" s="627"/>
      <c r="UM84" s="627"/>
      <c r="UN84" s="627"/>
      <c r="UO84" s="627"/>
      <c r="UP84" s="627"/>
      <c r="UQ84" s="627"/>
      <c r="UR84" s="627"/>
      <c r="US84" s="627"/>
      <c r="UT84" s="627"/>
      <c r="UU84" s="627"/>
      <c r="UV84" s="627"/>
      <c r="UW84" s="627"/>
      <c r="UX84" s="627"/>
      <c r="UY84" s="627"/>
      <c r="UZ84" s="627"/>
      <c r="VA84" s="627"/>
      <c r="VB84" s="627"/>
      <c r="VC84" s="627"/>
      <c r="VD84" s="627"/>
      <c r="VE84" s="627"/>
      <c r="VF84" s="627"/>
      <c r="VG84" s="627"/>
      <c r="VH84" s="627"/>
      <c r="VI84" s="627"/>
      <c r="VJ84" s="627"/>
      <c r="VK84" s="627"/>
      <c r="VL84" s="627"/>
      <c r="VM84" s="627"/>
      <c r="VN84" s="627"/>
      <c r="VO84" s="627"/>
      <c r="VP84" s="627"/>
      <c r="VQ84" s="627"/>
      <c r="VR84" s="627"/>
      <c r="VS84" s="627"/>
      <c r="VT84" s="627"/>
      <c r="VU84" s="627"/>
      <c r="VV84" s="627"/>
      <c r="VW84" s="627"/>
      <c r="VX84" s="627"/>
      <c r="VY84" s="627"/>
      <c r="VZ84" s="627"/>
      <c r="WA84" s="627"/>
      <c r="WB84" s="627"/>
      <c r="WC84" s="627"/>
      <c r="WD84" s="627"/>
      <c r="WE84" s="627"/>
      <c r="WF84" s="627"/>
      <c r="WG84" s="627"/>
      <c r="WH84" s="627"/>
      <c r="WI84" s="627"/>
      <c r="WJ84" s="627"/>
      <c r="WK84" s="627"/>
      <c r="WL84" s="627"/>
      <c r="WM84" s="627"/>
      <c r="WN84" s="627"/>
      <c r="WO84" s="627"/>
      <c r="WP84" s="627"/>
      <c r="WQ84" s="627"/>
      <c r="WR84" s="627"/>
      <c r="WS84" s="627"/>
      <c r="WT84" s="627"/>
      <c r="WU84" s="627"/>
      <c r="WV84" s="627"/>
      <c r="WW84" s="627"/>
      <c r="WX84" s="627"/>
      <c r="WY84" s="627"/>
      <c r="WZ84" s="627"/>
      <c r="XA84" s="627"/>
      <c r="XB84" s="627"/>
      <c r="XC84" s="627"/>
      <c r="XD84" s="627"/>
      <c r="XE84" s="627"/>
      <c r="XF84" s="627"/>
      <c r="XG84" s="627"/>
      <c r="XH84" s="627"/>
      <c r="XI84" s="627"/>
      <c r="XJ84" s="627"/>
      <c r="XK84" s="627"/>
      <c r="XL84" s="627"/>
      <c r="XM84" s="627"/>
      <c r="XN84" s="627"/>
      <c r="XO84" s="627"/>
      <c r="XP84" s="627"/>
      <c r="XQ84" s="627"/>
      <c r="XR84" s="627"/>
      <c r="XS84" s="627"/>
      <c r="XT84" s="627"/>
      <c r="XU84" s="627"/>
      <c r="XV84" s="627"/>
      <c r="XW84" s="627"/>
      <c r="XX84" s="627"/>
      <c r="XY84" s="627"/>
      <c r="XZ84" s="627"/>
      <c r="YA84" s="627"/>
      <c r="YB84" s="627"/>
      <c r="YC84" s="627"/>
      <c r="YD84" s="627"/>
      <c r="YE84" s="627"/>
      <c r="YF84" s="627"/>
      <c r="YG84" s="627"/>
      <c r="YH84" s="627"/>
      <c r="YI84" s="627"/>
      <c r="YJ84" s="627"/>
      <c r="YK84" s="627"/>
      <c r="YL84" s="627"/>
      <c r="YM84" s="627"/>
      <c r="YN84" s="627"/>
      <c r="YO84" s="627"/>
      <c r="YP84" s="627"/>
      <c r="YQ84" s="627"/>
      <c r="YR84" s="627"/>
      <c r="YS84" s="627"/>
      <c r="YT84" s="627"/>
      <c r="YU84" s="627"/>
      <c r="YV84" s="627"/>
      <c r="YW84" s="627"/>
      <c r="YX84" s="627"/>
      <c r="YY84" s="627"/>
      <c r="YZ84" s="627"/>
      <c r="ZA84" s="627"/>
      <c r="ZB84" s="627"/>
      <c r="ZC84" s="627"/>
      <c r="ZD84" s="627"/>
      <c r="ZE84" s="627"/>
      <c r="ZF84" s="627"/>
      <c r="ZG84" s="627"/>
      <c r="ZH84" s="627"/>
      <c r="ZI84" s="627"/>
      <c r="ZJ84" s="627"/>
      <c r="ZK84" s="627"/>
      <c r="ZL84" s="627"/>
      <c r="ZM84" s="627"/>
      <c r="ZN84" s="627"/>
      <c r="ZO84" s="627"/>
      <c r="ZP84" s="627"/>
      <c r="ZQ84" s="627"/>
      <c r="ZR84" s="627"/>
      <c r="ZS84" s="627"/>
      <c r="ZT84" s="627"/>
      <c r="ZU84" s="627"/>
      <c r="ZV84" s="627"/>
      <c r="ZW84" s="627"/>
      <c r="ZX84" s="627"/>
      <c r="ZY84" s="627"/>
      <c r="ZZ84" s="627"/>
      <c r="AAA84" s="627"/>
      <c r="AAB84" s="627"/>
      <c r="AAC84" s="627"/>
      <c r="AAD84" s="627"/>
      <c r="AAE84" s="627"/>
      <c r="AAF84" s="627"/>
      <c r="AAG84" s="627"/>
      <c r="AAH84" s="627"/>
      <c r="AAI84" s="627"/>
      <c r="AAJ84" s="627"/>
      <c r="AAK84" s="627"/>
      <c r="AAL84" s="627"/>
      <c r="AAM84" s="627"/>
      <c r="AAN84" s="627"/>
      <c r="AAO84" s="627"/>
      <c r="AAP84" s="627"/>
      <c r="AAQ84" s="627"/>
      <c r="AAR84" s="627"/>
      <c r="AAS84" s="627"/>
      <c r="AAT84" s="627"/>
      <c r="AAU84" s="627"/>
      <c r="AAV84" s="627"/>
      <c r="AAW84" s="627"/>
      <c r="AAX84" s="627"/>
      <c r="AAY84" s="627"/>
      <c r="AAZ84" s="627"/>
      <c r="ABA84" s="627"/>
      <c r="ABB84" s="627"/>
      <c r="ABC84" s="627"/>
      <c r="ABD84" s="627"/>
      <c r="ABE84" s="627"/>
      <c r="ABF84" s="627"/>
      <c r="ABG84" s="627"/>
      <c r="ABH84" s="627"/>
      <c r="ABI84" s="627"/>
      <c r="ABJ84" s="627"/>
      <c r="ABK84" s="627"/>
      <c r="ABL84" s="627"/>
      <c r="ABM84" s="627"/>
      <c r="ABN84" s="627"/>
      <c r="ABO84" s="627"/>
      <c r="ABP84" s="627"/>
      <c r="ABQ84" s="627"/>
      <c r="ABR84" s="627"/>
      <c r="ABS84" s="627"/>
      <c r="ABT84" s="627"/>
      <c r="ABU84" s="627"/>
      <c r="ABV84" s="627"/>
      <c r="ABW84" s="627"/>
      <c r="ABX84" s="627"/>
      <c r="ABY84" s="627"/>
      <c r="ABZ84" s="627"/>
      <c r="ACA84" s="627"/>
      <c r="ACB84" s="627"/>
      <c r="ACC84" s="627"/>
      <c r="ACD84" s="627"/>
      <c r="ACE84" s="627"/>
      <c r="ACF84" s="627"/>
      <c r="ACG84" s="627"/>
      <c r="ACH84" s="627"/>
      <c r="ACI84" s="627"/>
      <c r="ACJ84" s="627"/>
      <c r="ACK84" s="627"/>
      <c r="ACL84" s="627"/>
      <c r="ACM84" s="627"/>
      <c r="ACN84" s="627"/>
      <c r="ACO84" s="627"/>
      <c r="ACP84" s="627"/>
      <c r="ACQ84" s="627"/>
      <c r="ACR84" s="627"/>
      <c r="ACS84" s="627"/>
      <c r="ACT84" s="627"/>
      <c r="ACU84" s="627"/>
      <c r="ACV84" s="627"/>
      <c r="ACW84" s="627"/>
      <c r="ACX84" s="627"/>
      <c r="ACY84" s="627"/>
      <c r="ACZ84" s="627"/>
      <c r="ADA84" s="627"/>
      <c r="ADB84" s="627"/>
      <c r="ADC84" s="627"/>
      <c r="ADD84" s="627"/>
      <c r="ADE84" s="627"/>
      <c r="ADF84" s="627"/>
      <c r="ADG84" s="627"/>
      <c r="ADH84" s="627"/>
      <c r="ADI84" s="627"/>
      <c r="ADJ84" s="627"/>
      <c r="ADK84" s="627"/>
      <c r="ADL84" s="627"/>
      <c r="ADM84" s="627"/>
      <c r="ADN84" s="627"/>
      <c r="ADO84" s="627"/>
      <c r="ADP84" s="627"/>
      <c r="ADQ84" s="627"/>
      <c r="ADR84" s="627"/>
      <c r="ADS84" s="627"/>
      <c r="ADT84" s="627"/>
      <c r="ADU84" s="627"/>
      <c r="ADV84" s="627"/>
      <c r="ADW84" s="627"/>
      <c r="ADX84" s="627"/>
      <c r="ADY84" s="627"/>
      <c r="ADZ84" s="627"/>
      <c r="AEA84" s="627"/>
      <c r="AEB84" s="627"/>
      <c r="AEC84" s="627"/>
      <c r="AED84" s="627"/>
      <c r="AEE84" s="627"/>
      <c r="AEF84" s="627"/>
      <c r="AEG84" s="627"/>
      <c r="AEH84" s="627"/>
      <c r="AEI84" s="627"/>
      <c r="AEJ84" s="627"/>
      <c r="AEK84" s="627"/>
      <c r="AEL84" s="627"/>
      <c r="AEM84" s="627"/>
      <c r="AEN84" s="627"/>
      <c r="AEO84" s="627"/>
      <c r="AEP84" s="627"/>
      <c r="AEQ84" s="627"/>
      <c r="AER84" s="627"/>
      <c r="AES84" s="627"/>
      <c r="AET84" s="627"/>
      <c r="AEU84" s="627"/>
      <c r="AEV84" s="627"/>
      <c r="AEW84" s="627"/>
      <c r="AEX84" s="627"/>
      <c r="AEY84" s="627"/>
      <c r="AEZ84" s="627"/>
      <c r="AFA84" s="627"/>
      <c r="AFB84" s="627"/>
      <c r="AFC84" s="627"/>
      <c r="AFD84" s="627"/>
      <c r="AFE84" s="627"/>
      <c r="AFF84" s="627"/>
      <c r="AFG84" s="627"/>
      <c r="AFH84" s="627"/>
      <c r="AFI84" s="627"/>
      <c r="AFJ84" s="627"/>
      <c r="AFK84" s="627"/>
      <c r="AFL84" s="627"/>
      <c r="AFM84" s="627"/>
      <c r="AFN84" s="627"/>
      <c r="AFO84" s="627"/>
      <c r="AFP84" s="627"/>
      <c r="AFQ84" s="627"/>
      <c r="AFR84" s="627"/>
      <c r="AFS84" s="627"/>
      <c r="AFT84" s="627"/>
      <c r="AFU84" s="627"/>
      <c r="AFV84" s="627"/>
      <c r="AFW84" s="627"/>
      <c r="AFX84" s="627"/>
      <c r="AFY84" s="627"/>
      <c r="AFZ84" s="627"/>
      <c r="AGA84" s="627"/>
      <c r="AGB84" s="627"/>
      <c r="AGC84" s="627"/>
      <c r="AGD84" s="627"/>
      <c r="AGE84" s="627"/>
      <c r="AGF84" s="627"/>
      <c r="AGG84" s="627"/>
      <c r="AGH84" s="627"/>
      <c r="AGI84" s="627"/>
      <c r="AGJ84" s="627"/>
      <c r="AGK84" s="627"/>
      <c r="AGL84" s="627"/>
      <c r="AGM84" s="627"/>
      <c r="AGN84" s="627"/>
      <c r="AGO84" s="627"/>
      <c r="AGP84" s="627"/>
      <c r="AGQ84" s="627"/>
      <c r="AGR84" s="627"/>
      <c r="AGS84" s="627"/>
      <c r="AGT84" s="627"/>
      <c r="AGU84" s="627"/>
      <c r="AGV84" s="627"/>
      <c r="AGW84" s="627"/>
      <c r="AGX84" s="627"/>
      <c r="AGY84" s="627"/>
      <c r="AGZ84" s="627"/>
      <c r="AHA84" s="627"/>
      <c r="AHB84" s="627"/>
      <c r="AHC84" s="627"/>
      <c r="AHD84" s="627"/>
      <c r="AHE84" s="627"/>
      <c r="AHF84" s="627"/>
      <c r="AHG84" s="627"/>
      <c r="AHH84" s="627"/>
      <c r="AHI84" s="627"/>
      <c r="AHJ84" s="627"/>
      <c r="AHK84" s="627"/>
      <c r="AHL84" s="627"/>
      <c r="AHM84" s="627"/>
      <c r="AHN84" s="627"/>
      <c r="AHO84" s="627"/>
      <c r="AHP84" s="627"/>
      <c r="AHQ84" s="627"/>
      <c r="AHR84" s="627"/>
      <c r="AHS84" s="627"/>
      <c r="AHT84" s="627"/>
      <c r="AHU84" s="627"/>
      <c r="AHV84" s="627"/>
      <c r="AHW84" s="627"/>
      <c r="AHX84" s="627"/>
      <c r="AHY84" s="627"/>
      <c r="AHZ84" s="627"/>
      <c r="AIA84" s="627"/>
      <c r="AIB84" s="627"/>
      <c r="AIC84" s="627"/>
      <c r="AID84" s="627"/>
      <c r="AIE84" s="627"/>
      <c r="AIF84" s="627"/>
      <c r="AIG84" s="627"/>
      <c r="AIH84" s="627"/>
      <c r="AII84" s="627"/>
      <c r="AIJ84" s="627"/>
      <c r="AIK84" s="627"/>
      <c r="AIL84" s="627"/>
      <c r="AIM84" s="627"/>
      <c r="AIN84" s="627"/>
      <c r="AIO84" s="627"/>
      <c r="AIP84" s="627"/>
      <c r="AIQ84" s="627"/>
      <c r="AIR84" s="627"/>
      <c r="AIS84" s="627"/>
      <c r="AIT84" s="627"/>
      <c r="AIU84" s="627"/>
      <c r="AIV84" s="627"/>
      <c r="AIW84" s="627"/>
      <c r="AIX84" s="627"/>
      <c r="AIY84" s="627"/>
      <c r="AIZ84" s="627"/>
      <c r="AJA84" s="627"/>
      <c r="AJB84" s="627"/>
      <c r="AJC84" s="627"/>
      <c r="AJD84" s="627"/>
      <c r="AJE84" s="627"/>
      <c r="AJF84" s="627"/>
      <c r="AJG84" s="627"/>
      <c r="AJH84" s="627"/>
      <c r="AJI84" s="627"/>
      <c r="AJJ84" s="627"/>
      <c r="AJK84" s="627"/>
      <c r="AJL84" s="627"/>
      <c r="AJM84" s="627"/>
      <c r="AJN84" s="627"/>
      <c r="AJO84" s="627"/>
      <c r="AJP84" s="627"/>
      <c r="AJQ84" s="627"/>
      <c r="AJR84" s="627"/>
      <c r="AJS84" s="627"/>
      <c r="AJT84" s="627"/>
      <c r="AJU84" s="627"/>
      <c r="AJV84" s="627"/>
      <c r="AJW84" s="627"/>
      <c r="AJX84" s="627"/>
      <c r="AJY84" s="627"/>
      <c r="AJZ84" s="627"/>
      <c r="AKA84" s="627"/>
      <c r="AKB84" s="627"/>
      <c r="AKC84" s="627"/>
      <c r="AKD84" s="627"/>
      <c r="AKE84" s="627"/>
      <c r="AKF84" s="627"/>
      <c r="AKG84" s="627"/>
      <c r="AKH84" s="627"/>
      <c r="AKI84" s="627"/>
      <c r="AKJ84" s="627"/>
      <c r="AKK84" s="627"/>
      <c r="AKL84" s="627"/>
      <c r="AKM84" s="627"/>
      <c r="AKN84" s="627"/>
      <c r="AKO84" s="627"/>
      <c r="AKP84" s="627"/>
      <c r="AKQ84" s="627"/>
      <c r="AKR84" s="627"/>
      <c r="AKS84" s="627"/>
      <c r="AKT84" s="627"/>
      <c r="AKU84" s="627"/>
      <c r="AKV84" s="627"/>
      <c r="AKW84" s="627"/>
      <c r="AKX84" s="627"/>
      <c r="AKY84" s="627"/>
      <c r="AKZ84" s="627"/>
      <c r="ALA84" s="627"/>
      <c r="ALB84" s="627"/>
      <c r="ALC84" s="627"/>
      <c r="ALD84" s="627"/>
      <c r="ALE84" s="627"/>
      <c r="ALF84" s="627"/>
      <c r="ALG84" s="627"/>
      <c r="ALH84" s="627"/>
      <c r="ALI84" s="627"/>
      <c r="ALJ84" s="627"/>
      <c r="ALK84" s="627"/>
      <c r="ALL84" s="627"/>
      <c r="ALM84" s="627"/>
      <c r="ALN84" s="627"/>
      <c r="ALO84" s="627"/>
      <c r="ALP84" s="627"/>
      <c r="ALQ84" s="627"/>
      <c r="ALR84" s="627"/>
      <c r="ALS84" s="627"/>
      <c r="ALT84" s="627"/>
      <c r="ALU84" s="627"/>
      <c r="ALV84" s="627"/>
      <c r="ALW84" s="627"/>
      <c r="ALX84" s="627"/>
      <c r="ALY84" s="627"/>
      <c r="ALZ84" s="627"/>
      <c r="AMA84" s="627"/>
      <c r="AMB84" s="627"/>
      <c r="AMC84" s="627"/>
      <c r="AMD84" s="627"/>
      <c r="AME84" s="627"/>
      <c r="AMF84" s="627"/>
    </row>
    <row r="85" spans="1:1020" s="485" customFormat="1" ht="12.75" customHeight="1" x14ac:dyDescent="0.15">
      <c r="A85" s="627"/>
      <c r="B85" s="627"/>
      <c r="C85" s="627"/>
      <c r="D85" s="627"/>
      <c r="E85" s="627"/>
      <c r="F85" s="627"/>
      <c r="G85" s="627"/>
      <c r="H85" s="627"/>
      <c r="I85" s="627"/>
      <c r="J85" s="627"/>
      <c r="K85" s="627"/>
      <c r="L85" s="627"/>
      <c r="M85" s="627"/>
      <c r="N85" s="627"/>
      <c r="O85" s="627"/>
      <c r="P85" s="627"/>
      <c r="Q85" s="627"/>
      <c r="R85" s="627"/>
      <c r="S85" s="627"/>
      <c r="T85" s="627"/>
      <c r="U85" s="627"/>
      <c r="V85" s="627"/>
      <c r="W85" s="627"/>
      <c r="X85" s="627"/>
      <c r="Y85" s="627"/>
      <c r="Z85" s="627"/>
      <c r="AA85" s="627"/>
      <c r="AB85" s="627"/>
      <c r="AC85" s="627"/>
      <c r="AD85" s="627"/>
      <c r="AE85" s="627"/>
      <c r="AF85" s="627"/>
      <c r="AG85" s="627"/>
      <c r="AH85" s="627"/>
      <c r="AI85" s="627"/>
      <c r="AJ85" s="627"/>
      <c r="AK85" s="627"/>
      <c r="AL85" s="627"/>
      <c r="AM85" s="627"/>
      <c r="AN85" s="627"/>
      <c r="AO85" s="627"/>
      <c r="AP85" s="627" t="s">
        <v>799</v>
      </c>
      <c r="AQ85" s="627"/>
      <c r="AR85" s="627"/>
      <c r="AS85" s="627"/>
      <c r="AT85" s="627"/>
      <c r="AU85" s="627"/>
      <c r="AV85" s="627"/>
      <c r="AW85" s="627"/>
      <c r="AX85" s="627"/>
      <c r="AY85" s="627"/>
      <c r="AZ85" s="627"/>
      <c r="BA85" s="629" t="s">
        <v>1202</v>
      </c>
      <c r="BB85" s="627"/>
      <c r="BC85" s="627"/>
      <c r="BD85" s="627"/>
      <c r="BE85" s="627"/>
      <c r="BG85" s="486"/>
      <c r="BH85" s="436"/>
      <c r="BI85" s="436"/>
      <c r="BJ85" s="436"/>
      <c r="BK85" s="436"/>
      <c r="BL85" s="436"/>
      <c r="BM85" s="436"/>
      <c r="BN85" s="436"/>
      <c r="BO85" s="436"/>
      <c r="BP85" s="436"/>
      <c r="BQ85" s="436"/>
      <c r="BR85" s="436"/>
      <c r="BS85" s="436"/>
      <c r="BT85" s="436"/>
      <c r="BU85" s="436"/>
      <c r="BV85" s="627"/>
      <c r="BW85" s="627"/>
      <c r="BX85" s="627"/>
      <c r="BY85" s="627"/>
      <c r="BZ85" s="627"/>
      <c r="CA85" s="627"/>
      <c r="CB85" s="627"/>
      <c r="CC85" s="627"/>
      <c r="CD85" s="627"/>
      <c r="CE85" s="627"/>
      <c r="CF85" s="627"/>
      <c r="CG85" s="627"/>
      <c r="CH85" s="627"/>
      <c r="CI85" s="627"/>
      <c r="CJ85" s="627"/>
      <c r="CK85" s="627"/>
      <c r="CL85" s="627"/>
      <c r="CM85" s="627"/>
      <c r="CN85" s="627"/>
      <c r="CO85" s="627"/>
      <c r="CP85" s="627"/>
      <c r="CQ85" s="627"/>
      <c r="CR85" s="627"/>
      <c r="CS85" s="627"/>
      <c r="CT85" s="627"/>
      <c r="CU85" s="627"/>
      <c r="CV85" s="627"/>
      <c r="CW85" s="627"/>
      <c r="CX85" s="627"/>
      <c r="CY85" s="627"/>
      <c r="CZ85" s="627"/>
      <c r="DA85" s="627"/>
      <c r="DB85" s="627"/>
      <c r="DC85" s="627"/>
      <c r="DD85" s="627"/>
      <c r="DE85" s="627"/>
      <c r="DF85" s="627"/>
      <c r="DG85" s="627"/>
      <c r="DH85" s="627"/>
      <c r="DI85" s="627"/>
      <c r="DJ85" s="627"/>
      <c r="DK85" s="627"/>
      <c r="DL85" s="627"/>
      <c r="DM85" s="627"/>
      <c r="DN85" s="627"/>
      <c r="DO85" s="627"/>
      <c r="DP85" s="627"/>
      <c r="DQ85" s="627"/>
      <c r="DR85" s="627"/>
      <c r="DS85" s="627"/>
      <c r="DT85" s="627"/>
      <c r="DU85" s="627"/>
      <c r="DV85" s="627"/>
      <c r="DW85" s="627"/>
      <c r="DX85" s="627"/>
      <c r="DY85" s="627"/>
      <c r="DZ85" s="627"/>
      <c r="EA85" s="627"/>
      <c r="EB85" s="627"/>
      <c r="EC85" s="627"/>
      <c r="ED85" s="627"/>
      <c r="EE85" s="627"/>
      <c r="EF85" s="627"/>
      <c r="EG85" s="627"/>
      <c r="EH85" s="627"/>
      <c r="EI85" s="627"/>
      <c r="EJ85" s="627"/>
      <c r="EK85" s="627"/>
      <c r="EL85" s="627"/>
      <c r="EM85" s="627"/>
      <c r="EN85" s="627"/>
      <c r="EO85" s="627"/>
      <c r="EP85" s="627"/>
      <c r="EQ85" s="627"/>
      <c r="ER85" s="627"/>
      <c r="ES85" s="627"/>
      <c r="ET85" s="627"/>
      <c r="EU85" s="627"/>
      <c r="EV85" s="627"/>
      <c r="EW85" s="627"/>
      <c r="EX85" s="627"/>
      <c r="EY85" s="627"/>
      <c r="EZ85" s="627"/>
      <c r="FA85" s="627"/>
      <c r="FB85" s="627"/>
      <c r="FC85" s="627"/>
      <c r="FD85" s="627"/>
      <c r="FE85" s="627"/>
      <c r="FF85" s="627"/>
      <c r="FG85" s="627"/>
      <c r="FH85" s="627"/>
      <c r="FI85" s="627"/>
      <c r="FJ85" s="627"/>
      <c r="FK85" s="627"/>
      <c r="FL85" s="627"/>
      <c r="FM85" s="627"/>
      <c r="FN85" s="627"/>
      <c r="FO85" s="627"/>
      <c r="FP85" s="627"/>
      <c r="FQ85" s="627"/>
      <c r="FR85" s="627"/>
      <c r="FS85" s="627"/>
      <c r="FT85" s="627"/>
      <c r="FU85" s="627"/>
      <c r="FV85" s="627"/>
      <c r="FW85" s="627"/>
      <c r="FX85" s="627"/>
      <c r="FY85" s="627"/>
      <c r="FZ85" s="627"/>
      <c r="GA85" s="627"/>
      <c r="GB85" s="627"/>
      <c r="GC85" s="627"/>
      <c r="GD85" s="627"/>
      <c r="GE85" s="627"/>
      <c r="GF85" s="627"/>
      <c r="GG85" s="627"/>
      <c r="GH85" s="627"/>
      <c r="GI85" s="627"/>
      <c r="GJ85" s="627"/>
      <c r="GK85" s="627"/>
      <c r="GL85" s="627"/>
      <c r="GM85" s="627"/>
      <c r="GN85" s="627"/>
      <c r="GO85" s="627"/>
      <c r="GP85" s="627"/>
      <c r="GQ85" s="627"/>
      <c r="GR85" s="627"/>
      <c r="GS85" s="627"/>
      <c r="GT85" s="627"/>
      <c r="GU85" s="627"/>
      <c r="GV85" s="627"/>
      <c r="GW85" s="627"/>
      <c r="GX85" s="627"/>
      <c r="GY85" s="627"/>
      <c r="GZ85" s="627"/>
      <c r="HA85" s="627"/>
      <c r="HB85" s="627"/>
      <c r="HC85" s="627"/>
      <c r="HD85" s="627"/>
      <c r="HE85" s="627"/>
      <c r="HF85" s="627"/>
      <c r="HG85" s="627"/>
      <c r="HH85" s="627"/>
      <c r="HI85" s="627"/>
      <c r="HJ85" s="627"/>
      <c r="HK85" s="627"/>
      <c r="HL85" s="627"/>
      <c r="HM85" s="627"/>
      <c r="HN85" s="627"/>
      <c r="HO85" s="627"/>
      <c r="HP85" s="627"/>
      <c r="HQ85" s="627"/>
      <c r="HR85" s="627"/>
      <c r="HS85" s="627"/>
      <c r="HT85" s="627"/>
      <c r="HU85" s="627"/>
      <c r="HV85" s="627"/>
      <c r="HW85" s="627"/>
      <c r="HX85" s="627"/>
      <c r="HY85" s="627"/>
      <c r="HZ85" s="627"/>
      <c r="IA85" s="627"/>
      <c r="IB85" s="627"/>
      <c r="IC85" s="627"/>
      <c r="ID85" s="627"/>
      <c r="IE85" s="627"/>
      <c r="IF85" s="627"/>
      <c r="IG85" s="627"/>
      <c r="IH85" s="627"/>
      <c r="II85" s="627"/>
      <c r="IJ85" s="627"/>
      <c r="IK85" s="627"/>
      <c r="IL85" s="627"/>
      <c r="IM85" s="627"/>
      <c r="IN85" s="627"/>
      <c r="IO85" s="627"/>
      <c r="IP85" s="627"/>
      <c r="IQ85" s="627"/>
      <c r="IR85" s="627"/>
      <c r="IS85" s="627"/>
      <c r="IT85" s="627"/>
      <c r="IU85" s="627"/>
      <c r="IV85" s="627"/>
      <c r="IW85" s="627"/>
      <c r="IX85" s="627"/>
      <c r="IY85" s="627"/>
      <c r="IZ85" s="627"/>
      <c r="JA85" s="627"/>
      <c r="JB85" s="627"/>
      <c r="JC85" s="627"/>
      <c r="JD85" s="627"/>
      <c r="JE85" s="627"/>
      <c r="JF85" s="627"/>
      <c r="JG85" s="627"/>
      <c r="JH85" s="627"/>
      <c r="JI85" s="627"/>
      <c r="JJ85" s="627"/>
      <c r="JK85" s="627"/>
      <c r="JL85" s="627"/>
      <c r="JM85" s="627"/>
      <c r="JN85" s="627"/>
      <c r="JO85" s="627"/>
      <c r="JP85" s="627"/>
      <c r="JQ85" s="627"/>
      <c r="JR85" s="627"/>
      <c r="JS85" s="627"/>
      <c r="JT85" s="627"/>
      <c r="JU85" s="627"/>
      <c r="JV85" s="627"/>
      <c r="JW85" s="627"/>
      <c r="JX85" s="627"/>
      <c r="JY85" s="627"/>
      <c r="JZ85" s="627"/>
      <c r="KA85" s="627"/>
      <c r="KB85" s="627"/>
      <c r="KC85" s="627"/>
      <c r="KD85" s="627"/>
      <c r="KE85" s="627"/>
      <c r="KF85" s="627"/>
      <c r="KG85" s="627"/>
      <c r="KH85" s="627"/>
      <c r="KI85" s="627"/>
      <c r="KJ85" s="627"/>
      <c r="KK85" s="627"/>
      <c r="KL85" s="627"/>
      <c r="KM85" s="627"/>
      <c r="KN85" s="627"/>
      <c r="KO85" s="627"/>
      <c r="KP85" s="627"/>
      <c r="KQ85" s="627"/>
      <c r="KR85" s="627"/>
      <c r="KS85" s="627"/>
      <c r="KT85" s="627"/>
      <c r="KU85" s="627"/>
      <c r="KV85" s="627"/>
      <c r="KW85" s="627"/>
      <c r="KX85" s="627"/>
      <c r="KY85" s="627"/>
      <c r="KZ85" s="627"/>
      <c r="LA85" s="627"/>
      <c r="LB85" s="627"/>
      <c r="LC85" s="627"/>
      <c r="LD85" s="627"/>
      <c r="LE85" s="627"/>
      <c r="LF85" s="627"/>
      <c r="LG85" s="627"/>
      <c r="LH85" s="627"/>
      <c r="LI85" s="627"/>
      <c r="LJ85" s="627"/>
      <c r="LK85" s="627"/>
      <c r="LL85" s="627"/>
      <c r="LM85" s="627"/>
      <c r="LN85" s="627"/>
      <c r="LO85" s="627"/>
      <c r="LP85" s="627"/>
      <c r="LQ85" s="627"/>
      <c r="LR85" s="627"/>
      <c r="LS85" s="627"/>
      <c r="LT85" s="627"/>
      <c r="LU85" s="627"/>
      <c r="LV85" s="627"/>
      <c r="LW85" s="627"/>
      <c r="LX85" s="627"/>
      <c r="LY85" s="627"/>
      <c r="LZ85" s="627"/>
      <c r="MA85" s="627"/>
      <c r="MB85" s="627"/>
      <c r="MC85" s="627"/>
      <c r="MD85" s="627"/>
      <c r="ME85" s="627"/>
      <c r="MF85" s="627"/>
      <c r="MG85" s="627"/>
      <c r="MH85" s="627"/>
      <c r="MI85" s="627"/>
      <c r="MJ85" s="627"/>
      <c r="MK85" s="627"/>
      <c r="ML85" s="627"/>
      <c r="MM85" s="627"/>
      <c r="MN85" s="627"/>
      <c r="MO85" s="627"/>
      <c r="MP85" s="627"/>
      <c r="MQ85" s="627"/>
      <c r="MR85" s="627"/>
      <c r="MS85" s="627"/>
      <c r="MT85" s="627"/>
      <c r="MU85" s="627"/>
      <c r="MV85" s="627"/>
      <c r="MW85" s="627"/>
      <c r="MX85" s="627"/>
      <c r="MY85" s="627"/>
      <c r="MZ85" s="627"/>
      <c r="NA85" s="627"/>
      <c r="NB85" s="627"/>
      <c r="NC85" s="627"/>
      <c r="ND85" s="627"/>
      <c r="NE85" s="627"/>
      <c r="NF85" s="627"/>
      <c r="NG85" s="627"/>
      <c r="NH85" s="627"/>
      <c r="NI85" s="627"/>
      <c r="NJ85" s="627"/>
      <c r="NK85" s="627"/>
      <c r="NL85" s="627"/>
      <c r="NM85" s="627"/>
      <c r="NN85" s="627"/>
      <c r="NO85" s="627"/>
      <c r="NP85" s="627"/>
      <c r="NQ85" s="627"/>
      <c r="NR85" s="627"/>
      <c r="NS85" s="627"/>
      <c r="NT85" s="627"/>
      <c r="NU85" s="627"/>
      <c r="NV85" s="627"/>
      <c r="NW85" s="627"/>
      <c r="NX85" s="627"/>
      <c r="NY85" s="627"/>
      <c r="NZ85" s="627"/>
      <c r="OA85" s="627"/>
      <c r="OB85" s="627"/>
      <c r="OC85" s="627"/>
      <c r="OD85" s="627"/>
      <c r="OE85" s="627"/>
      <c r="OF85" s="627"/>
      <c r="OG85" s="627"/>
      <c r="OH85" s="627"/>
      <c r="OI85" s="627"/>
      <c r="OJ85" s="627"/>
      <c r="OK85" s="627"/>
      <c r="OL85" s="627"/>
      <c r="OM85" s="627"/>
      <c r="ON85" s="627"/>
      <c r="OO85" s="627"/>
      <c r="OP85" s="627"/>
      <c r="OQ85" s="627"/>
      <c r="OR85" s="627"/>
      <c r="OS85" s="627"/>
      <c r="OT85" s="627"/>
      <c r="OU85" s="627"/>
      <c r="OV85" s="627"/>
      <c r="OW85" s="627"/>
      <c r="OX85" s="627"/>
      <c r="OY85" s="627"/>
      <c r="OZ85" s="627"/>
      <c r="PA85" s="627"/>
      <c r="PB85" s="627"/>
      <c r="PC85" s="627"/>
      <c r="PD85" s="627"/>
      <c r="PE85" s="627"/>
      <c r="PF85" s="627"/>
      <c r="PG85" s="627"/>
      <c r="PH85" s="627"/>
      <c r="PI85" s="627"/>
      <c r="PJ85" s="627"/>
      <c r="PK85" s="627"/>
      <c r="PL85" s="627"/>
      <c r="PM85" s="627"/>
      <c r="PN85" s="627"/>
      <c r="PO85" s="627"/>
      <c r="PP85" s="627"/>
      <c r="PQ85" s="627"/>
      <c r="PR85" s="627"/>
      <c r="PS85" s="627"/>
      <c r="PT85" s="627"/>
      <c r="PU85" s="627"/>
      <c r="PV85" s="627"/>
      <c r="PW85" s="627"/>
      <c r="PX85" s="627"/>
      <c r="PY85" s="627"/>
      <c r="PZ85" s="627"/>
      <c r="QA85" s="627"/>
      <c r="QB85" s="627"/>
      <c r="QC85" s="627"/>
      <c r="QD85" s="627"/>
      <c r="QE85" s="627"/>
      <c r="QF85" s="627"/>
      <c r="QG85" s="627"/>
      <c r="QH85" s="627"/>
      <c r="QI85" s="627"/>
      <c r="QJ85" s="627"/>
      <c r="QK85" s="627"/>
      <c r="QL85" s="627"/>
      <c r="QM85" s="627"/>
      <c r="QN85" s="627"/>
      <c r="QO85" s="627"/>
      <c r="QP85" s="627"/>
      <c r="QQ85" s="627"/>
      <c r="QR85" s="627"/>
      <c r="QS85" s="627"/>
      <c r="QT85" s="627"/>
      <c r="QU85" s="627"/>
      <c r="QV85" s="627"/>
      <c r="QW85" s="627"/>
      <c r="QX85" s="627"/>
      <c r="QY85" s="627"/>
      <c r="QZ85" s="627"/>
      <c r="RA85" s="627"/>
      <c r="RB85" s="627"/>
      <c r="RC85" s="627"/>
      <c r="RD85" s="627"/>
      <c r="RE85" s="627"/>
      <c r="RF85" s="627"/>
      <c r="RG85" s="627"/>
      <c r="RH85" s="627"/>
      <c r="RI85" s="627"/>
      <c r="RJ85" s="627"/>
      <c r="RK85" s="627"/>
      <c r="RL85" s="627"/>
      <c r="RM85" s="627"/>
      <c r="RN85" s="627"/>
      <c r="RO85" s="627"/>
      <c r="RP85" s="627"/>
      <c r="RQ85" s="627"/>
      <c r="RR85" s="627"/>
      <c r="RS85" s="627"/>
      <c r="RT85" s="627"/>
      <c r="RU85" s="627"/>
      <c r="RV85" s="627"/>
      <c r="RW85" s="627"/>
      <c r="RX85" s="627"/>
      <c r="RY85" s="627"/>
      <c r="RZ85" s="627"/>
      <c r="SA85" s="627"/>
      <c r="SB85" s="627"/>
      <c r="SC85" s="627"/>
      <c r="SD85" s="627"/>
      <c r="SE85" s="627"/>
      <c r="SF85" s="627"/>
      <c r="SG85" s="627"/>
      <c r="SH85" s="627"/>
      <c r="SI85" s="627"/>
      <c r="SJ85" s="627"/>
      <c r="SK85" s="627"/>
      <c r="SL85" s="627"/>
      <c r="SM85" s="627"/>
      <c r="SN85" s="627"/>
      <c r="SO85" s="627"/>
      <c r="SP85" s="627"/>
      <c r="SQ85" s="627"/>
      <c r="SR85" s="627"/>
      <c r="SS85" s="627"/>
      <c r="ST85" s="627"/>
      <c r="SU85" s="627"/>
      <c r="SV85" s="627"/>
      <c r="SW85" s="627"/>
      <c r="SX85" s="627"/>
      <c r="SY85" s="627"/>
      <c r="SZ85" s="627"/>
      <c r="TA85" s="627"/>
      <c r="TB85" s="627"/>
      <c r="TC85" s="627"/>
      <c r="TD85" s="627"/>
      <c r="TE85" s="627"/>
      <c r="TF85" s="627"/>
      <c r="TG85" s="627"/>
      <c r="TH85" s="627"/>
      <c r="TI85" s="627"/>
      <c r="TJ85" s="627"/>
      <c r="TK85" s="627"/>
      <c r="TL85" s="627"/>
      <c r="TM85" s="627"/>
      <c r="TN85" s="627"/>
      <c r="TO85" s="627"/>
      <c r="TP85" s="627"/>
      <c r="TQ85" s="627"/>
      <c r="TR85" s="627"/>
      <c r="TS85" s="627"/>
      <c r="TT85" s="627"/>
      <c r="TU85" s="627"/>
      <c r="TV85" s="627"/>
      <c r="TW85" s="627"/>
      <c r="TX85" s="627"/>
      <c r="TY85" s="627"/>
      <c r="TZ85" s="627"/>
      <c r="UA85" s="627"/>
      <c r="UB85" s="627"/>
      <c r="UC85" s="627"/>
      <c r="UD85" s="627"/>
      <c r="UE85" s="627"/>
      <c r="UF85" s="627"/>
      <c r="UG85" s="627"/>
      <c r="UH85" s="627"/>
      <c r="UI85" s="627"/>
      <c r="UJ85" s="627"/>
      <c r="UK85" s="627"/>
      <c r="UL85" s="627"/>
      <c r="UM85" s="627"/>
      <c r="UN85" s="627"/>
      <c r="UO85" s="627"/>
      <c r="UP85" s="627"/>
      <c r="UQ85" s="627"/>
      <c r="UR85" s="627"/>
      <c r="US85" s="627"/>
      <c r="UT85" s="627"/>
      <c r="UU85" s="627"/>
      <c r="UV85" s="627"/>
      <c r="UW85" s="627"/>
      <c r="UX85" s="627"/>
      <c r="UY85" s="627"/>
      <c r="UZ85" s="627"/>
      <c r="VA85" s="627"/>
      <c r="VB85" s="627"/>
      <c r="VC85" s="627"/>
      <c r="VD85" s="627"/>
      <c r="VE85" s="627"/>
      <c r="VF85" s="627"/>
      <c r="VG85" s="627"/>
      <c r="VH85" s="627"/>
      <c r="VI85" s="627"/>
      <c r="VJ85" s="627"/>
      <c r="VK85" s="627"/>
      <c r="VL85" s="627"/>
      <c r="VM85" s="627"/>
      <c r="VN85" s="627"/>
      <c r="VO85" s="627"/>
      <c r="VP85" s="627"/>
      <c r="VQ85" s="627"/>
      <c r="VR85" s="627"/>
      <c r="VS85" s="627"/>
      <c r="VT85" s="627"/>
      <c r="VU85" s="627"/>
      <c r="VV85" s="627"/>
      <c r="VW85" s="627"/>
      <c r="VX85" s="627"/>
      <c r="VY85" s="627"/>
      <c r="VZ85" s="627"/>
      <c r="WA85" s="627"/>
      <c r="WB85" s="627"/>
      <c r="WC85" s="627"/>
      <c r="WD85" s="627"/>
      <c r="WE85" s="627"/>
      <c r="WF85" s="627"/>
      <c r="WG85" s="627"/>
      <c r="WH85" s="627"/>
      <c r="WI85" s="627"/>
      <c r="WJ85" s="627"/>
      <c r="WK85" s="627"/>
      <c r="WL85" s="627"/>
      <c r="WM85" s="627"/>
      <c r="WN85" s="627"/>
      <c r="WO85" s="627"/>
      <c r="WP85" s="627"/>
      <c r="WQ85" s="627"/>
      <c r="WR85" s="627"/>
      <c r="WS85" s="627"/>
      <c r="WT85" s="627"/>
      <c r="WU85" s="627"/>
      <c r="WV85" s="627"/>
      <c r="WW85" s="627"/>
      <c r="WX85" s="627"/>
      <c r="WY85" s="627"/>
      <c r="WZ85" s="627"/>
      <c r="XA85" s="627"/>
      <c r="XB85" s="627"/>
      <c r="XC85" s="627"/>
      <c r="XD85" s="627"/>
      <c r="XE85" s="627"/>
      <c r="XF85" s="627"/>
      <c r="XG85" s="627"/>
      <c r="XH85" s="627"/>
      <c r="XI85" s="627"/>
      <c r="XJ85" s="627"/>
      <c r="XK85" s="627"/>
      <c r="XL85" s="627"/>
      <c r="XM85" s="627"/>
      <c r="XN85" s="627"/>
      <c r="XO85" s="627"/>
      <c r="XP85" s="627"/>
      <c r="XQ85" s="627"/>
      <c r="XR85" s="627"/>
      <c r="XS85" s="627"/>
      <c r="XT85" s="627"/>
      <c r="XU85" s="627"/>
      <c r="XV85" s="627"/>
      <c r="XW85" s="627"/>
      <c r="XX85" s="627"/>
      <c r="XY85" s="627"/>
      <c r="XZ85" s="627"/>
      <c r="YA85" s="627"/>
      <c r="YB85" s="627"/>
      <c r="YC85" s="627"/>
      <c r="YD85" s="627"/>
      <c r="YE85" s="627"/>
      <c r="YF85" s="627"/>
      <c r="YG85" s="627"/>
      <c r="YH85" s="627"/>
      <c r="YI85" s="627"/>
      <c r="YJ85" s="627"/>
      <c r="YK85" s="627"/>
      <c r="YL85" s="627"/>
      <c r="YM85" s="627"/>
      <c r="YN85" s="627"/>
      <c r="YO85" s="627"/>
      <c r="YP85" s="627"/>
      <c r="YQ85" s="627"/>
      <c r="YR85" s="627"/>
      <c r="YS85" s="627"/>
      <c r="YT85" s="627"/>
      <c r="YU85" s="627"/>
      <c r="YV85" s="627"/>
      <c r="YW85" s="627"/>
      <c r="YX85" s="627"/>
      <c r="YY85" s="627"/>
      <c r="YZ85" s="627"/>
      <c r="ZA85" s="627"/>
      <c r="ZB85" s="627"/>
      <c r="ZC85" s="627"/>
      <c r="ZD85" s="627"/>
      <c r="ZE85" s="627"/>
      <c r="ZF85" s="627"/>
      <c r="ZG85" s="627"/>
      <c r="ZH85" s="627"/>
      <c r="ZI85" s="627"/>
      <c r="ZJ85" s="627"/>
      <c r="ZK85" s="627"/>
      <c r="ZL85" s="627"/>
      <c r="ZM85" s="627"/>
      <c r="ZN85" s="627"/>
      <c r="ZO85" s="627"/>
      <c r="ZP85" s="627"/>
      <c r="ZQ85" s="627"/>
      <c r="ZR85" s="627"/>
      <c r="ZS85" s="627"/>
      <c r="ZT85" s="627"/>
      <c r="ZU85" s="627"/>
      <c r="ZV85" s="627"/>
      <c r="ZW85" s="627"/>
      <c r="ZX85" s="627"/>
      <c r="ZY85" s="627"/>
      <c r="ZZ85" s="627"/>
      <c r="AAA85" s="627"/>
      <c r="AAB85" s="627"/>
      <c r="AAC85" s="627"/>
      <c r="AAD85" s="627"/>
      <c r="AAE85" s="627"/>
      <c r="AAF85" s="627"/>
      <c r="AAG85" s="627"/>
      <c r="AAH85" s="627"/>
      <c r="AAI85" s="627"/>
      <c r="AAJ85" s="627"/>
      <c r="AAK85" s="627"/>
      <c r="AAL85" s="627"/>
      <c r="AAM85" s="627"/>
      <c r="AAN85" s="627"/>
      <c r="AAO85" s="627"/>
      <c r="AAP85" s="627"/>
      <c r="AAQ85" s="627"/>
      <c r="AAR85" s="627"/>
      <c r="AAS85" s="627"/>
      <c r="AAT85" s="627"/>
      <c r="AAU85" s="627"/>
      <c r="AAV85" s="627"/>
      <c r="AAW85" s="627"/>
      <c r="AAX85" s="627"/>
      <c r="AAY85" s="627"/>
      <c r="AAZ85" s="627"/>
      <c r="ABA85" s="627"/>
      <c r="ABB85" s="627"/>
      <c r="ABC85" s="627"/>
      <c r="ABD85" s="627"/>
      <c r="ABE85" s="627"/>
      <c r="ABF85" s="627"/>
      <c r="ABG85" s="627"/>
      <c r="ABH85" s="627"/>
      <c r="ABI85" s="627"/>
      <c r="ABJ85" s="627"/>
      <c r="ABK85" s="627"/>
      <c r="ABL85" s="627"/>
      <c r="ABM85" s="627"/>
      <c r="ABN85" s="627"/>
      <c r="ABO85" s="627"/>
      <c r="ABP85" s="627"/>
      <c r="ABQ85" s="627"/>
      <c r="ABR85" s="627"/>
      <c r="ABS85" s="627"/>
      <c r="ABT85" s="627"/>
      <c r="ABU85" s="627"/>
      <c r="ABV85" s="627"/>
      <c r="ABW85" s="627"/>
      <c r="ABX85" s="627"/>
      <c r="ABY85" s="627"/>
      <c r="ABZ85" s="627"/>
      <c r="ACA85" s="627"/>
      <c r="ACB85" s="627"/>
      <c r="ACC85" s="627"/>
      <c r="ACD85" s="627"/>
      <c r="ACE85" s="627"/>
      <c r="ACF85" s="627"/>
      <c r="ACG85" s="627"/>
      <c r="ACH85" s="627"/>
      <c r="ACI85" s="627"/>
      <c r="ACJ85" s="627"/>
      <c r="ACK85" s="627"/>
      <c r="ACL85" s="627"/>
      <c r="ACM85" s="627"/>
      <c r="ACN85" s="627"/>
      <c r="ACO85" s="627"/>
      <c r="ACP85" s="627"/>
      <c r="ACQ85" s="627"/>
      <c r="ACR85" s="627"/>
      <c r="ACS85" s="627"/>
      <c r="ACT85" s="627"/>
      <c r="ACU85" s="627"/>
      <c r="ACV85" s="627"/>
      <c r="ACW85" s="627"/>
      <c r="ACX85" s="627"/>
      <c r="ACY85" s="627"/>
      <c r="ACZ85" s="627"/>
      <c r="ADA85" s="627"/>
      <c r="ADB85" s="627"/>
      <c r="ADC85" s="627"/>
      <c r="ADD85" s="627"/>
      <c r="ADE85" s="627"/>
      <c r="ADF85" s="627"/>
      <c r="ADG85" s="627"/>
      <c r="ADH85" s="627"/>
      <c r="ADI85" s="627"/>
      <c r="ADJ85" s="627"/>
      <c r="ADK85" s="627"/>
      <c r="ADL85" s="627"/>
      <c r="ADM85" s="627"/>
      <c r="ADN85" s="627"/>
      <c r="ADO85" s="627"/>
      <c r="ADP85" s="627"/>
      <c r="ADQ85" s="627"/>
      <c r="ADR85" s="627"/>
      <c r="ADS85" s="627"/>
      <c r="ADT85" s="627"/>
      <c r="ADU85" s="627"/>
      <c r="ADV85" s="627"/>
      <c r="ADW85" s="627"/>
      <c r="ADX85" s="627"/>
      <c r="ADY85" s="627"/>
      <c r="ADZ85" s="627"/>
      <c r="AEA85" s="627"/>
      <c r="AEB85" s="627"/>
      <c r="AEC85" s="627"/>
      <c r="AED85" s="627"/>
      <c r="AEE85" s="627"/>
      <c r="AEF85" s="627"/>
      <c r="AEG85" s="627"/>
      <c r="AEH85" s="627"/>
      <c r="AEI85" s="627"/>
      <c r="AEJ85" s="627"/>
      <c r="AEK85" s="627"/>
      <c r="AEL85" s="627"/>
      <c r="AEM85" s="627"/>
      <c r="AEN85" s="627"/>
      <c r="AEO85" s="627"/>
      <c r="AEP85" s="627"/>
      <c r="AEQ85" s="627"/>
      <c r="AER85" s="627"/>
      <c r="AES85" s="627"/>
      <c r="AET85" s="627"/>
      <c r="AEU85" s="627"/>
      <c r="AEV85" s="627"/>
      <c r="AEW85" s="627"/>
      <c r="AEX85" s="627"/>
      <c r="AEY85" s="627"/>
      <c r="AEZ85" s="627"/>
      <c r="AFA85" s="627"/>
      <c r="AFB85" s="627"/>
      <c r="AFC85" s="627"/>
      <c r="AFD85" s="627"/>
      <c r="AFE85" s="627"/>
      <c r="AFF85" s="627"/>
      <c r="AFG85" s="627"/>
      <c r="AFH85" s="627"/>
      <c r="AFI85" s="627"/>
      <c r="AFJ85" s="627"/>
      <c r="AFK85" s="627"/>
      <c r="AFL85" s="627"/>
      <c r="AFM85" s="627"/>
      <c r="AFN85" s="627"/>
      <c r="AFO85" s="627"/>
      <c r="AFP85" s="627"/>
      <c r="AFQ85" s="627"/>
      <c r="AFR85" s="627"/>
      <c r="AFS85" s="627"/>
      <c r="AFT85" s="627"/>
      <c r="AFU85" s="627"/>
      <c r="AFV85" s="627"/>
      <c r="AFW85" s="627"/>
      <c r="AFX85" s="627"/>
      <c r="AFY85" s="627"/>
      <c r="AFZ85" s="627"/>
      <c r="AGA85" s="627"/>
      <c r="AGB85" s="627"/>
      <c r="AGC85" s="627"/>
      <c r="AGD85" s="627"/>
      <c r="AGE85" s="627"/>
      <c r="AGF85" s="627"/>
      <c r="AGG85" s="627"/>
      <c r="AGH85" s="627"/>
      <c r="AGI85" s="627"/>
      <c r="AGJ85" s="627"/>
      <c r="AGK85" s="627"/>
      <c r="AGL85" s="627"/>
      <c r="AGM85" s="627"/>
      <c r="AGN85" s="627"/>
      <c r="AGO85" s="627"/>
      <c r="AGP85" s="627"/>
      <c r="AGQ85" s="627"/>
      <c r="AGR85" s="627"/>
      <c r="AGS85" s="627"/>
      <c r="AGT85" s="627"/>
      <c r="AGU85" s="627"/>
      <c r="AGV85" s="627"/>
      <c r="AGW85" s="627"/>
      <c r="AGX85" s="627"/>
      <c r="AGY85" s="627"/>
      <c r="AGZ85" s="627"/>
      <c r="AHA85" s="627"/>
      <c r="AHB85" s="627"/>
      <c r="AHC85" s="627"/>
      <c r="AHD85" s="627"/>
      <c r="AHE85" s="627"/>
      <c r="AHF85" s="627"/>
      <c r="AHG85" s="627"/>
      <c r="AHH85" s="627"/>
      <c r="AHI85" s="627"/>
      <c r="AHJ85" s="627"/>
      <c r="AHK85" s="627"/>
      <c r="AHL85" s="627"/>
      <c r="AHM85" s="627"/>
      <c r="AHN85" s="627"/>
      <c r="AHO85" s="627"/>
      <c r="AHP85" s="627"/>
      <c r="AHQ85" s="627"/>
      <c r="AHR85" s="627"/>
      <c r="AHS85" s="627"/>
      <c r="AHT85" s="627"/>
      <c r="AHU85" s="627"/>
      <c r="AHV85" s="627"/>
      <c r="AHW85" s="627"/>
      <c r="AHX85" s="627"/>
      <c r="AHY85" s="627"/>
      <c r="AHZ85" s="627"/>
      <c r="AIA85" s="627"/>
      <c r="AIB85" s="627"/>
      <c r="AIC85" s="627"/>
      <c r="AID85" s="627"/>
      <c r="AIE85" s="627"/>
      <c r="AIF85" s="627"/>
      <c r="AIG85" s="627"/>
      <c r="AIH85" s="627"/>
      <c r="AII85" s="627"/>
      <c r="AIJ85" s="627"/>
      <c r="AIK85" s="627"/>
      <c r="AIL85" s="627"/>
      <c r="AIM85" s="627"/>
      <c r="AIN85" s="627"/>
      <c r="AIO85" s="627"/>
      <c r="AIP85" s="627"/>
      <c r="AIQ85" s="627"/>
      <c r="AIR85" s="627"/>
      <c r="AIS85" s="627"/>
      <c r="AIT85" s="627"/>
      <c r="AIU85" s="627"/>
      <c r="AIV85" s="627"/>
      <c r="AIW85" s="627"/>
      <c r="AIX85" s="627"/>
      <c r="AIY85" s="627"/>
      <c r="AIZ85" s="627"/>
      <c r="AJA85" s="627"/>
      <c r="AJB85" s="627"/>
      <c r="AJC85" s="627"/>
      <c r="AJD85" s="627"/>
      <c r="AJE85" s="627"/>
      <c r="AJF85" s="627"/>
      <c r="AJG85" s="627"/>
      <c r="AJH85" s="627"/>
      <c r="AJI85" s="627"/>
      <c r="AJJ85" s="627"/>
      <c r="AJK85" s="627"/>
      <c r="AJL85" s="627"/>
      <c r="AJM85" s="627"/>
      <c r="AJN85" s="627"/>
      <c r="AJO85" s="627"/>
      <c r="AJP85" s="627"/>
      <c r="AJQ85" s="627"/>
      <c r="AJR85" s="627"/>
      <c r="AJS85" s="627"/>
      <c r="AJT85" s="627"/>
      <c r="AJU85" s="627"/>
      <c r="AJV85" s="627"/>
      <c r="AJW85" s="627"/>
      <c r="AJX85" s="627"/>
      <c r="AJY85" s="627"/>
      <c r="AJZ85" s="627"/>
      <c r="AKA85" s="627"/>
      <c r="AKB85" s="627"/>
      <c r="AKC85" s="627"/>
      <c r="AKD85" s="627"/>
      <c r="AKE85" s="627"/>
      <c r="AKF85" s="627"/>
      <c r="AKG85" s="627"/>
      <c r="AKH85" s="627"/>
      <c r="AKI85" s="627"/>
      <c r="AKJ85" s="627"/>
      <c r="AKK85" s="627"/>
      <c r="AKL85" s="627"/>
      <c r="AKM85" s="627"/>
      <c r="AKN85" s="627"/>
      <c r="AKO85" s="627"/>
      <c r="AKP85" s="627"/>
      <c r="AKQ85" s="627"/>
      <c r="AKR85" s="627"/>
      <c r="AKS85" s="627"/>
      <c r="AKT85" s="627"/>
      <c r="AKU85" s="627"/>
      <c r="AKV85" s="627"/>
      <c r="AKW85" s="627"/>
      <c r="AKX85" s="627"/>
      <c r="AKY85" s="627"/>
      <c r="AKZ85" s="627"/>
      <c r="ALA85" s="627"/>
      <c r="ALB85" s="627"/>
      <c r="ALC85" s="627"/>
      <c r="ALD85" s="627"/>
      <c r="ALE85" s="627"/>
      <c r="ALF85" s="627"/>
      <c r="ALG85" s="627"/>
      <c r="ALH85" s="627"/>
      <c r="ALI85" s="627"/>
      <c r="ALJ85" s="627"/>
      <c r="ALK85" s="627"/>
      <c r="ALL85" s="627"/>
      <c r="ALM85" s="627"/>
      <c r="ALN85" s="627"/>
      <c r="ALO85" s="627"/>
      <c r="ALP85" s="627"/>
      <c r="ALQ85" s="627"/>
      <c r="ALR85" s="627"/>
      <c r="ALS85" s="627"/>
      <c r="ALT85" s="627"/>
      <c r="ALU85" s="627"/>
      <c r="ALV85" s="627"/>
      <c r="ALW85" s="627"/>
      <c r="ALX85" s="627"/>
      <c r="ALY85" s="627"/>
      <c r="ALZ85" s="627"/>
      <c r="AMA85" s="627"/>
      <c r="AMB85" s="627"/>
      <c r="AMC85" s="627"/>
      <c r="AMD85" s="627"/>
      <c r="AME85" s="627"/>
      <c r="AMF85" s="627"/>
    </row>
    <row r="86" spans="1:1020" s="485" customFormat="1" ht="12.75" customHeight="1" x14ac:dyDescent="0.15">
      <c r="A86" s="627"/>
      <c r="B86" s="627"/>
      <c r="C86" s="627"/>
      <c r="D86" s="627"/>
      <c r="E86" s="627"/>
      <c r="F86" s="627"/>
      <c r="G86" s="627"/>
      <c r="H86" s="627"/>
      <c r="I86" s="627"/>
      <c r="J86" s="627"/>
      <c r="K86" s="627"/>
      <c r="L86" s="627"/>
      <c r="M86" s="627"/>
      <c r="N86" s="627"/>
      <c r="O86" s="627"/>
      <c r="P86" s="627"/>
      <c r="Q86" s="627"/>
      <c r="R86" s="627"/>
      <c r="S86" s="627"/>
      <c r="T86" s="627"/>
      <c r="U86" s="627"/>
      <c r="V86" s="627"/>
      <c r="W86" s="627"/>
      <c r="X86" s="627"/>
      <c r="Y86" s="627"/>
      <c r="Z86" s="627"/>
      <c r="AA86" s="627"/>
      <c r="AB86" s="627"/>
      <c r="AC86" s="627"/>
      <c r="AD86" s="627"/>
      <c r="AE86" s="627"/>
      <c r="AF86" s="627"/>
      <c r="AG86" s="627"/>
      <c r="AH86" s="627"/>
      <c r="AI86" s="627"/>
      <c r="AJ86" s="627"/>
      <c r="AK86" s="627"/>
      <c r="AL86" s="627"/>
      <c r="AM86" s="627"/>
      <c r="AN86" s="627"/>
      <c r="AO86" s="627"/>
      <c r="AP86" s="627" t="s">
        <v>798</v>
      </c>
      <c r="AQ86" s="627"/>
      <c r="AR86" s="627"/>
      <c r="AS86" s="627"/>
      <c r="AT86" s="627"/>
      <c r="AU86" s="627"/>
      <c r="AV86" s="627"/>
      <c r="AW86" s="627"/>
      <c r="AX86" s="627"/>
      <c r="AY86" s="627"/>
      <c r="AZ86" s="627"/>
      <c r="BA86" s="629" t="s">
        <v>1201</v>
      </c>
      <c r="BB86" s="627"/>
      <c r="BC86" s="627"/>
      <c r="BD86" s="627"/>
      <c r="BE86" s="627"/>
      <c r="BG86" s="486"/>
      <c r="BH86" s="436"/>
      <c r="BI86" s="436"/>
      <c r="BJ86" s="436"/>
      <c r="BK86" s="436"/>
      <c r="BL86" s="436"/>
      <c r="BM86" s="436"/>
      <c r="BN86" s="436"/>
      <c r="BO86" s="436"/>
      <c r="BP86" s="436"/>
      <c r="BQ86" s="436"/>
      <c r="BR86" s="436"/>
      <c r="BS86" s="436"/>
      <c r="BT86" s="436"/>
      <c r="BU86" s="436"/>
      <c r="BV86" s="627"/>
      <c r="BW86" s="627"/>
      <c r="BX86" s="627"/>
      <c r="BY86" s="627"/>
      <c r="BZ86" s="627"/>
      <c r="CA86" s="627"/>
      <c r="CB86" s="627"/>
      <c r="CC86" s="627"/>
      <c r="CD86" s="627"/>
      <c r="CE86" s="627"/>
      <c r="CF86" s="627"/>
      <c r="CG86" s="627"/>
      <c r="CH86" s="627"/>
      <c r="CI86" s="627"/>
      <c r="CJ86" s="627"/>
      <c r="CK86" s="627"/>
      <c r="CL86" s="627"/>
      <c r="CM86" s="627"/>
      <c r="CN86" s="627"/>
      <c r="CO86" s="627"/>
      <c r="CP86" s="627"/>
      <c r="CQ86" s="627"/>
      <c r="CR86" s="627"/>
      <c r="CS86" s="627"/>
      <c r="CT86" s="627"/>
      <c r="CU86" s="627"/>
      <c r="CV86" s="627"/>
      <c r="CW86" s="627"/>
      <c r="CX86" s="627"/>
      <c r="CY86" s="627"/>
      <c r="CZ86" s="627"/>
      <c r="DA86" s="627"/>
      <c r="DB86" s="627"/>
      <c r="DC86" s="627"/>
      <c r="DD86" s="627"/>
      <c r="DE86" s="627"/>
      <c r="DF86" s="627"/>
      <c r="DG86" s="627"/>
      <c r="DH86" s="627"/>
      <c r="DI86" s="627"/>
      <c r="DJ86" s="627"/>
      <c r="DK86" s="627"/>
      <c r="DL86" s="627"/>
      <c r="DM86" s="627"/>
      <c r="DN86" s="627"/>
      <c r="DO86" s="627"/>
      <c r="DP86" s="627"/>
      <c r="DQ86" s="627"/>
      <c r="DR86" s="627"/>
      <c r="DS86" s="627"/>
      <c r="DT86" s="627"/>
      <c r="DU86" s="627"/>
      <c r="DV86" s="627"/>
      <c r="DW86" s="627"/>
      <c r="DX86" s="627"/>
      <c r="DY86" s="627"/>
      <c r="DZ86" s="627"/>
      <c r="EA86" s="627"/>
      <c r="EB86" s="627"/>
      <c r="EC86" s="627"/>
      <c r="ED86" s="627"/>
      <c r="EE86" s="627"/>
      <c r="EF86" s="627"/>
      <c r="EG86" s="627"/>
      <c r="EH86" s="627"/>
      <c r="EI86" s="627"/>
      <c r="EJ86" s="627"/>
      <c r="EK86" s="627"/>
      <c r="EL86" s="627"/>
      <c r="EM86" s="627"/>
      <c r="EN86" s="627"/>
      <c r="EO86" s="627"/>
      <c r="EP86" s="627"/>
      <c r="EQ86" s="627"/>
      <c r="ER86" s="627"/>
      <c r="ES86" s="627"/>
      <c r="ET86" s="627"/>
      <c r="EU86" s="627"/>
      <c r="EV86" s="627"/>
      <c r="EW86" s="627"/>
      <c r="EX86" s="627"/>
      <c r="EY86" s="627"/>
      <c r="EZ86" s="627"/>
      <c r="FA86" s="627"/>
      <c r="FB86" s="627"/>
      <c r="FC86" s="627"/>
      <c r="FD86" s="627"/>
      <c r="FE86" s="627"/>
      <c r="FF86" s="627"/>
      <c r="FG86" s="627"/>
      <c r="FH86" s="627"/>
      <c r="FI86" s="627"/>
      <c r="FJ86" s="627"/>
      <c r="FK86" s="627"/>
      <c r="FL86" s="627"/>
      <c r="FM86" s="627"/>
      <c r="FN86" s="627"/>
      <c r="FO86" s="627"/>
      <c r="FP86" s="627"/>
      <c r="FQ86" s="627"/>
      <c r="FR86" s="627"/>
      <c r="FS86" s="627"/>
      <c r="FT86" s="627"/>
      <c r="FU86" s="627"/>
      <c r="FV86" s="627"/>
      <c r="FW86" s="627"/>
      <c r="FX86" s="627"/>
      <c r="FY86" s="627"/>
      <c r="FZ86" s="627"/>
      <c r="GA86" s="627"/>
      <c r="GB86" s="627"/>
      <c r="GC86" s="627"/>
      <c r="GD86" s="627"/>
      <c r="GE86" s="627"/>
      <c r="GF86" s="627"/>
      <c r="GG86" s="627"/>
      <c r="GH86" s="627"/>
      <c r="GI86" s="627"/>
      <c r="GJ86" s="627"/>
      <c r="GK86" s="627"/>
      <c r="GL86" s="627"/>
      <c r="GM86" s="627"/>
      <c r="GN86" s="627"/>
      <c r="GO86" s="627"/>
      <c r="GP86" s="627"/>
      <c r="GQ86" s="627"/>
      <c r="GR86" s="627"/>
      <c r="GS86" s="627"/>
      <c r="GT86" s="627"/>
      <c r="GU86" s="627"/>
      <c r="GV86" s="627"/>
      <c r="GW86" s="627"/>
      <c r="GX86" s="627"/>
      <c r="GY86" s="627"/>
      <c r="GZ86" s="627"/>
      <c r="HA86" s="627"/>
      <c r="HB86" s="627"/>
      <c r="HC86" s="627"/>
      <c r="HD86" s="627"/>
      <c r="HE86" s="627"/>
      <c r="HF86" s="627"/>
      <c r="HG86" s="627"/>
      <c r="HH86" s="627"/>
      <c r="HI86" s="627"/>
      <c r="HJ86" s="627"/>
      <c r="HK86" s="627"/>
      <c r="HL86" s="627"/>
      <c r="HM86" s="627"/>
      <c r="HN86" s="627"/>
      <c r="HO86" s="627"/>
      <c r="HP86" s="627"/>
      <c r="HQ86" s="627"/>
      <c r="HR86" s="627"/>
      <c r="HS86" s="627"/>
      <c r="HT86" s="627"/>
      <c r="HU86" s="627"/>
      <c r="HV86" s="627"/>
      <c r="HW86" s="627"/>
      <c r="HX86" s="627"/>
      <c r="HY86" s="627"/>
      <c r="HZ86" s="627"/>
      <c r="IA86" s="627"/>
      <c r="IB86" s="627"/>
      <c r="IC86" s="627"/>
      <c r="ID86" s="627"/>
      <c r="IE86" s="627"/>
      <c r="IF86" s="627"/>
      <c r="IG86" s="627"/>
      <c r="IH86" s="627"/>
      <c r="II86" s="627"/>
      <c r="IJ86" s="627"/>
      <c r="IK86" s="627"/>
      <c r="IL86" s="627"/>
      <c r="IM86" s="627"/>
      <c r="IN86" s="627"/>
      <c r="IO86" s="627"/>
      <c r="IP86" s="627"/>
      <c r="IQ86" s="627"/>
      <c r="IR86" s="627"/>
      <c r="IS86" s="627"/>
      <c r="IT86" s="627"/>
      <c r="IU86" s="627"/>
      <c r="IV86" s="627"/>
      <c r="IW86" s="627"/>
      <c r="IX86" s="627"/>
      <c r="IY86" s="627"/>
      <c r="IZ86" s="627"/>
      <c r="JA86" s="627"/>
      <c r="JB86" s="627"/>
      <c r="JC86" s="627"/>
      <c r="JD86" s="627"/>
      <c r="JE86" s="627"/>
      <c r="JF86" s="627"/>
      <c r="JG86" s="627"/>
      <c r="JH86" s="627"/>
      <c r="JI86" s="627"/>
      <c r="JJ86" s="627"/>
      <c r="JK86" s="627"/>
      <c r="JL86" s="627"/>
      <c r="JM86" s="627"/>
      <c r="JN86" s="627"/>
      <c r="JO86" s="627"/>
      <c r="JP86" s="627"/>
      <c r="JQ86" s="627"/>
      <c r="JR86" s="627"/>
      <c r="JS86" s="627"/>
      <c r="JT86" s="627"/>
      <c r="JU86" s="627"/>
      <c r="JV86" s="627"/>
      <c r="JW86" s="627"/>
      <c r="JX86" s="627"/>
      <c r="JY86" s="627"/>
      <c r="JZ86" s="627"/>
      <c r="KA86" s="627"/>
      <c r="KB86" s="627"/>
      <c r="KC86" s="627"/>
      <c r="KD86" s="627"/>
      <c r="KE86" s="627"/>
      <c r="KF86" s="627"/>
      <c r="KG86" s="627"/>
      <c r="KH86" s="627"/>
      <c r="KI86" s="627"/>
      <c r="KJ86" s="627"/>
      <c r="KK86" s="627"/>
      <c r="KL86" s="627"/>
      <c r="KM86" s="627"/>
      <c r="KN86" s="627"/>
      <c r="KO86" s="627"/>
      <c r="KP86" s="627"/>
      <c r="KQ86" s="627"/>
      <c r="KR86" s="627"/>
      <c r="KS86" s="627"/>
      <c r="KT86" s="627"/>
      <c r="KU86" s="627"/>
      <c r="KV86" s="627"/>
      <c r="KW86" s="627"/>
      <c r="KX86" s="627"/>
      <c r="KY86" s="627"/>
      <c r="KZ86" s="627"/>
      <c r="LA86" s="627"/>
      <c r="LB86" s="627"/>
      <c r="LC86" s="627"/>
      <c r="LD86" s="627"/>
      <c r="LE86" s="627"/>
      <c r="LF86" s="627"/>
      <c r="LG86" s="627"/>
      <c r="LH86" s="627"/>
      <c r="LI86" s="627"/>
      <c r="LJ86" s="627"/>
      <c r="LK86" s="627"/>
      <c r="LL86" s="627"/>
      <c r="LM86" s="627"/>
      <c r="LN86" s="627"/>
      <c r="LO86" s="627"/>
      <c r="LP86" s="627"/>
      <c r="LQ86" s="627"/>
      <c r="LR86" s="627"/>
      <c r="LS86" s="627"/>
      <c r="LT86" s="627"/>
      <c r="LU86" s="627"/>
      <c r="LV86" s="627"/>
      <c r="LW86" s="627"/>
      <c r="LX86" s="627"/>
      <c r="LY86" s="627"/>
      <c r="LZ86" s="627"/>
      <c r="MA86" s="627"/>
      <c r="MB86" s="627"/>
      <c r="MC86" s="627"/>
      <c r="MD86" s="627"/>
      <c r="ME86" s="627"/>
      <c r="MF86" s="627"/>
      <c r="MG86" s="627"/>
      <c r="MH86" s="627"/>
      <c r="MI86" s="627"/>
      <c r="MJ86" s="627"/>
      <c r="MK86" s="627"/>
      <c r="ML86" s="627"/>
      <c r="MM86" s="627"/>
      <c r="MN86" s="627"/>
      <c r="MO86" s="627"/>
      <c r="MP86" s="627"/>
      <c r="MQ86" s="627"/>
      <c r="MR86" s="627"/>
      <c r="MS86" s="627"/>
      <c r="MT86" s="627"/>
      <c r="MU86" s="627"/>
      <c r="MV86" s="627"/>
      <c r="MW86" s="627"/>
      <c r="MX86" s="627"/>
      <c r="MY86" s="627"/>
      <c r="MZ86" s="627"/>
      <c r="NA86" s="627"/>
      <c r="NB86" s="627"/>
      <c r="NC86" s="627"/>
      <c r="ND86" s="627"/>
      <c r="NE86" s="627"/>
      <c r="NF86" s="627"/>
      <c r="NG86" s="627"/>
      <c r="NH86" s="627"/>
      <c r="NI86" s="627"/>
      <c r="NJ86" s="627"/>
      <c r="NK86" s="627"/>
      <c r="NL86" s="627"/>
      <c r="NM86" s="627"/>
      <c r="NN86" s="627"/>
      <c r="NO86" s="627"/>
      <c r="NP86" s="627"/>
      <c r="NQ86" s="627"/>
      <c r="NR86" s="627"/>
      <c r="NS86" s="627"/>
      <c r="NT86" s="627"/>
      <c r="NU86" s="627"/>
      <c r="NV86" s="627"/>
      <c r="NW86" s="627"/>
      <c r="NX86" s="627"/>
      <c r="NY86" s="627"/>
      <c r="NZ86" s="627"/>
      <c r="OA86" s="627"/>
      <c r="OB86" s="627"/>
      <c r="OC86" s="627"/>
      <c r="OD86" s="627"/>
      <c r="OE86" s="627"/>
      <c r="OF86" s="627"/>
      <c r="OG86" s="627"/>
      <c r="OH86" s="627"/>
      <c r="OI86" s="627"/>
      <c r="OJ86" s="627"/>
      <c r="OK86" s="627"/>
      <c r="OL86" s="627"/>
      <c r="OM86" s="627"/>
      <c r="ON86" s="627"/>
      <c r="OO86" s="627"/>
      <c r="OP86" s="627"/>
      <c r="OQ86" s="627"/>
      <c r="OR86" s="627"/>
      <c r="OS86" s="627"/>
      <c r="OT86" s="627"/>
      <c r="OU86" s="627"/>
      <c r="OV86" s="627"/>
      <c r="OW86" s="627"/>
      <c r="OX86" s="627"/>
      <c r="OY86" s="627"/>
      <c r="OZ86" s="627"/>
      <c r="PA86" s="627"/>
      <c r="PB86" s="627"/>
      <c r="PC86" s="627"/>
      <c r="PD86" s="627"/>
      <c r="PE86" s="627"/>
      <c r="PF86" s="627"/>
      <c r="PG86" s="627"/>
      <c r="PH86" s="627"/>
      <c r="PI86" s="627"/>
      <c r="PJ86" s="627"/>
      <c r="PK86" s="627"/>
      <c r="PL86" s="627"/>
      <c r="PM86" s="627"/>
      <c r="PN86" s="627"/>
      <c r="PO86" s="627"/>
      <c r="PP86" s="627"/>
      <c r="PQ86" s="627"/>
      <c r="PR86" s="627"/>
      <c r="PS86" s="627"/>
      <c r="PT86" s="627"/>
      <c r="PU86" s="627"/>
      <c r="PV86" s="627"/>
      <c r="PW86" s="627"/>
      <c r="PX86" s="627"/>
      <c r="PY86" s="627"/>
      <c r="PZ86" s="627"/>
      <c r="QA86" s="627"/>
      <c r="QB86" s="627"/>
      <c r="QC86" s="627"/>
      <c r="QD86" s="627"/>
      <c r="QE86" s="627"/>
      <c r="QF86" s="627"/>
      <c r="QG86" s="627"/>
      <c r="QH86" s="627"/>
      <c r="QI86" s="627"/>
      <c r="QJ86" s="627"/>
      <c r="QK86" s="627"/>
      <c r="QL86" s="627"/>
      <c r="QM86" s="627"/>
      <c r="QN86" s="627"/>
      <c r="QO86" s="627"/>
      <c r="QP86" s="627"/>
      <c r="QQ86" s="627"/>
      <c r="QR86" s="627"/>
      <c r="QS86" s="627"/>
      <c r="QT86" s="627"/>
      <c r="QU86" s="627"/>
      <c r="QV86" s="627"/>
      <c r="QW86" s="627"/>
      <c r="QX86" s="627"/>
      <c r="QY86" s="627"/>
      <c r="QZ86" s="627"/>
      <c r="RA86" s="627"/>
      <c r="RB86" s="627"/>
      <c r="RC86" s="627"/>
      <c r="RD86" s="627"/>
      <c r="RE86" s="627"/>
      <c r="RF86" s="627"/>
      <c r="RG86" s="627"/>
      <c r="RH86" s="627"/>
      <c r="RI86" s="627"/>
      <c r="RJ86" s="627"/>
      <c r="RK86" s="627"/>
      <c r="RL86" s="627"/>
      <c r="RM86" s="627"/>
      <c r="RN86" s="627"/>
      <c r="RO86" s="627"/>
      <c r="RP86" s="627"/>
      <c r="RQ86" s="627"/>
      <c r="RR86" s="627"/>
      <c r="RS86" s="627"/>
      <c r="RT86" s="627"/>
      <c r="RU86" s="627"/>
      <c r="RV86" s="627"/>
      <c r="RW86" s="627"/>
      <c r="RX86" s="627"/>
      <c r="RY86" s="627"/>
      <c r="RZ86" s="627"/>
      <c r="SA86" s="627"/>
      <c r="SB86" s="627"/>
      <c r="SC86" s="627"/>
      <c r="SD86" s="627"/>
      <c r="SE86" s="627"/>
      <c r="SF86" s="627"/>
      <c r="SG86" s="627"/>
      <c r="SH86" s="627"/>
      <c r="SI86" s="627"/>
      <c r="SJ86" s="627"/>
      <c r="SK86" s="627"/>
      <c r="SL86" s="627"/>
      <c r="SM86" s="627"/>
      <c r="SN86" s="627"/>
      <c r="SO86" s="627"/>
      <c r="SP86" s="627"/>
      <c r="SQ86" s="627"/>
      <c r="SR86" s="627"/>
      <c r="SS86" s="627"/>
      <c r="ST86" s="627"/>
      <c r="SU86" s="627"/>
      <c r="SV86" s="627"/>
      <c r="SW86" s="627"/>
      <c r="SX86" s="627"/>
      <c r="SY86" s="627"/>
      <c r="SZ86" s="627"/>
      <c r="TA86" s="627"/>
      <c r="TB86" s="627"/>
      <c r="TC86" s="627"/>
      <c r="TD86" s="627"/>
      <c r="TE86" s="627"/>
      <c r="TF86" s="627"/>
      <c r="TG86" s="627"/>
      <c r="TH86" s="627"/>
      <c r="TI86" s="627"/>
      <c r="TJ86" s="627"/>
      <c r="TK86" s="627"/>
      <c r="TL86" s="627"/>
      <c r="TM86" s="627"/>
      <c r="TN86" s="627"/>
      <c r="TO86" s="627"/>
      <c r="TP86" s="627"/>
      <c r="TQ86" s="627"/>
      <c r="TR86" s="627"/>
      <c r="TS86" s="627"/>
      <c r="TT86" s="627"/>
      <c r="TU86" s="627"/>
      <c r="TV86" s="627"/>
      <c r="TW86" s="627"/>
      <c r="TX86" s="627"/>
      <c r="TY86" s="627"/>
      <c r="TZ86" s="627"/>
      <c r="UA86" s="627"/>
      <c r="UB86" s="627"/>
      <c r="UC86" s="627"/>
      <c r="UD86" s="627"/>
      <c r="UE86" s="627"/>
      <c r="UF86" s="627"/>
      <c r="UG86" s="627"/>
      <c r="UH86" s="627"/>
      <c r="UI86" s="627"/>
      <c r="UJ86" s="627"/>
      <c r="UK86" s="627"/>
      <c r="UL86" s="627"/>
      <c r="UM86" s="627"/>
      <c r="UN86" s="627"/>
      <c r="UO86" s="627"/>
      <c r="UP86" s="627"/>
      <c r="UQ86" s="627"/>
      <c r="UR86" s="627"/>
      <c r="US86" s="627"/>
      <c r="UT86" s="627"/>
      <c r="UU86" s="627"/>
      <c r="UV86" s="627"/>
      <c r="UW86" s="627"/>
      <c r="UX86" s="627"/>
      <c r="UY86" s="627"/>
      <c r="UZ86" s="627"/>
      <c r="VA86" s="627"/>
      <c r="VB86" s="627"/>
      <c r="VC86" s="627"/>
      <c r="VD86" s="627"/>
      <c r="VE86" s="627"/>
      <c r="VF86" s="627"/>
      <c r="VG86" s="627"/>
      <c r="VH86" s="627"/>
      <c r="VI86" s="627"/>
      <c r="VJ86" s="627"/>
      <c r="VK86" s="627"/>
      <c r="VL86" s="627"/>
      <c r="VM86" s="627"/>
      <c r="VN86" s="627"/>
      <c r="VO86" s="627"/>
      <c r="VP86" s="627"/>
      <c r="VQ86" s="627"/>
      <c r="VR86" s="627"/>
      <c r="VS86" s="627"/>
      <c r="VT86" s="627"/>
      <c r="VU86" s="627"/>
      <c r="VV86" s="627"/>
      <c r="VW86" s="627"/>
      <c r="VX86" s="627"/>
      <c r="VY86" s="627"/>
      <c r="VZ86" s="627"/>
      <c r="WA86" s="627"/>
      <c r="WB86" s="627"/>
      <c r="WC86" s="627"/>
      <c r="WD86" s="627"/>
      <c r="WE86" s="627"/>
      <c r="WF86" s="627"/>
      <c r="WG86" s="627"/>
      <c r="WH86" s="627"/>
      <c r="WI86" s="627"/>
      <c r="WJ86" s="627"/>
      <c r="WK86" s="627"/>
      <c r="WL86" s="627"/>
      <c r="WM86" s="627"/>
      <c r="WN86" s="627"/>
      <c r="WO86" s="627"/>
      <c r="WP86" s="627"/>
      <c r="WQ86" s="627"/>
      <c r="WR86" s="627"/>
      <c r="WS86" s="627"/>
      <c r="WT86" s="627"/>
      <c r="WU86" s="627"/>
      <c r="WV86" s="627"/>
      <c r="WW86" s="627"/>
      <c r="WX86" s="627"/>
      <c r="WY86" s="627"/>
      <c r="WZ86" s="627"/>
      <c r="XA86" s="627"/>
      <c r="XB86" s="627"/>
      <c r="XC86" s="627"/>
      <c r="XD86" s="627"/>
      <c r="XE86" s="627"/>
      <c r="XF86" s="627"/>
      <c r="XG86" s="627"/>
      <c r="XH86" s="627"/>
      <c r="XI86" s="627"/>
      <c r="XJ86" s="627"/>
      <c r="XK86" s="627"/>
      <c r="XL86" s="627"/>
      <c r="XM86" s="627"/>
      <c r="XN86" s="627"/>
      <c r="XO86" s="627"/>
      <c r="XP86" s="627"/>
      <c r="XQ86" s="627"/>
      <c r="XR86" s="627"/>
      <c r="XS86" s="627"/>
      <c r="XT86" s="627"/>
      <c r="XU86" s="627"/>
      <c r="XV86" s="627"/>
      <c r="XW86" s="627"/>
      <c r="XX86" s="627"/>
      <c r="XY86" s="627"/>
      <c r="XZ86" s="627"/>
      <c r="YA86" s="627"/>
      <c r="YB86" s="627"/>
      <c r="YC86" s="627"/>
      <c r="YD86" s="627"/>
      <c r="YE86" s="627"/>
      <c r="YF86" s="627"/>
      <c r="YG86" s="627"/>
      <c r="YH86" s="627"/>
      <c r="YI86" s="627"/>
      <c r="YJ86" s="627"/>
      <c r="YK86" s="627"/>
      <c r="YL86" s="627"/>
      <c r="YM86" s="627"/>
      <c r="YN86" s="627"/>
      <c r="YO86" s="627"/>
      <c r="YP86" s="627"/>
      <c r="YQ86" s="627"/>
      <c r="YR86" s="627"/>
      <c r="YS86" s="627"/>
      <c r="YT86" s="627"/>
      <c r="YU86" s="627"/>
      <c r="YV86" s="627"/>
      <c r="YW86" s="627"/>
      <c r="YX86" s="627"/>
      <c r="YY86" s="627"/>
      <c r="YZ86" s="627"/>
      <c r="ZA86" s="627"/>
      <c r="ZB86" s="627"/>
      <c r="ZC86" s="627"/>
      <c r="ZD86" s="627"/>
      <c r="ZE86" s="627"/>
      <c r="ZF86" s="627"/>
      <c r="ZG86" s="627"/>
      <c r="ZH86" s="627"/>
      <c r="ZI86" s="627"/>
      <c r="ZJ86" s="627"/>
      <c r="ZK86" s="627"/>
      <c r="ZL86" s="627"/>
      <c r="ZM86" s="627"/>
      <c r="ZN86" s="627"/>
      <c r="ZO86" s="627"/>
      <c r="ZP86" s="627"/>
      <c r="ZQ86" s="627"/>
      <c r="ZR86" s="627"/>
      <c r="ZS86" s="627"/>
      <c r="ZT86" s="627"/>
      <c r="ZU86" s="627"/>
      <c r="ZV86" s="627"/>
      <c r="ZW86" s="627"/>
      <c r="ZX86" s="627"/>
      <c r="ZY86" s="627"/>
      <c r="ZZ86" s="627"/>
      <c r="AAA86" s="627"/>
      <c r="AAB86" s="627"/>
      <c r="AAC86" s="627"/>
      <c r="AAD86" s="627"/>
      <c r="AAE86" s="627"/>
      <c r="AAF86" s="627"/>
      <c r="AAG86" s="627"/>
      <c r="AAH86" s="627"/>
      <c r="AAI86" s="627"/>
      <c r="AAJ86" s="627"/>
      <c r="AAK86" s="627"/>
      <c r="AAL86" s="627"/>
      <c r="AAM86" s="627"/>
      <c r="AAN86" s="627"/>
      <c r="AAO86" s="627"/>
      <c r="AAP86" s="627"/>
      <c r="AAQ86" s="627"/>
      <c r="AAR86" s="627"/>
      <c r="AAS86" s="627"/>
      <c r="AAT86" s="627"/>
      <c r="AAU86" s="627"/>
      <c r="AAV86" s="627"/>
      <c r="AAW86" s="627"/>
      <c r="AAX86" s="627"/>
      <c r="AAY86" s="627"/>
      <c r="AAZ86" s="627"/>
      <c r="ABA86" s="627"/>
      <c r="ABB86" s="627"/>
      <c r="ABC86" s="627"/>
      <c r="ABD86" s="627"/>
      <c r="ABE86" s="627"/>
      <c r="ABF86" s="627"/>
      <c r="ABG86" s="627"/>
      <c r="ABH86" s="627"/>
      <c r="ABI86" s="627"/>
      <c r="ABJ86" s="627"/>
      <c r="ABK86" s="627"/>
      <c r="ABL86" s="627"/>
      <c r="ABM86" s="627"/>
      <c r="ABN86" s="627"/>
      <c r="ABO86" s="627"/>
      <c r="ABP86" s="627"/>
      <c r="ABQ86" s="627"/>
      <c r="ABR86" s="627"/>
      <c r="ABS86" s="627"/>
      <c r="ABT86" s="627"/>
      <c r="ABU86" s="627"/>
      <c r="ABV86" s="627"/>
      <c r="ABW86" s="627"/>
      <c r="ABX86" s="627"/>
      <c r="ABY86" s="627"/>
      <c r="ABZ86" s="627"/>
      <c r="ACA86" s="627"/>
      <c r="ACB86" s="627"/>
      <c r="ACC86" s="627"/>
      <c r="ACD86" s="627"/>
      <c r="ACE86" s="627"/>
      <c r="ACF86" s="627"/>
      <c r="ACG86" s="627"/>
      <c r="ACH86" s="627"/>
      <c r="ACI86" s="627"/>
      <c r="ACJ86" s="627"/>
      <c r="ACK86" s="627"/>
      <c r="ACL86" s="627"/>
      <c r="ACM86" s="627"/>
      <c r="ACN86" s="627"/>
      <c r="ACO86" s="627"/>
      <c r="ACP86" s="627"/>
      <c r="ACQ86" s="627"/>
      <c r="ACR86" s="627"/>
      <c r="ACS86" s="627"/>
      <c r="ACT86" s="627"/>
      <c r="ACU86" s="627"/>
      <c r="ACV86" s="627"/>
      <c r="ACW86" s="627"/>
      <c r="ACX86" s="627"/>
      <c r="ACY86" s="627"/>
      <c r="ACZ86" s="627"/>
      <c r="ADA86" s="627"/>
      <c r="ADB86" s="627"/>
      <c r="ADC86" s="627"/>
      <c r="ADD86" s="627"/>
      <c r="ADE86" s="627"/>
      <c r="ADF86" s="627"/>
      <c r="ADG86" s="627"/>
      <c r="ADH86" s="627"/>
      <c r="ADI86" s="627"/>
      <c r="ADJ86" s="627"/>
      <c r="ADK86" s="627"/>
      <c r="ADL86" s="627"/>
      <c r="ADM86" s="627"/>
      <c r="ADN86" s="627"/>
      <c r="ADO86" s="627"/>
      <c r="ADP86" s="627"/>
      <c r="ADQ86" s="627"/>
      <c r="ADR86" s="627"/>
      <c r="ADS86" s="627"/>
      <c r="ADT86" s="627"/>
      <c r="ADU86" s="627"/>
      <c r="ADV86" s="627"/>
      <c r="ADW86" s="627"/>
      <c r="ADX86" s="627"/>
      <c r="ADY86" s="627"/>
      <c r="ADZ86" s="627"/>
      <c r="AEA86" s="627"/>
      <c r="AEB86" s="627"/>
      <c r="AEC86" s="627"/>
      <c r="AED86" s="627"/>
      <c r="AEE86" s="627"/>
      <c r="AEF86" s="627"/>
      <c r="AEG86" s="627"/>
      <c r="AEH86" s="627"/>
      <c r="AEI86" s="627"/>
      <c r="AEJ86" s="627"/>
      <c r="AEK86" s="627"/>
      <c r="AEL86" s="627"/>
      <c r="AEM86" s="627"/>
      <c r="AEN86" s="627"/>
      <c r="AEO86" s="627"/>
      <c r="AEP86" s="627"/>
      <c r="AEQ86" s="627"/>
      <c r="AER86" s="627"/>
      <c r="AES86" s="627"/>
      <c r="AET86" s="627"/>
      <c r="AEU86" s="627"/>
      <c r="AEV86" s="627"/>
      <c r="AEW86" s="627"/>
      <c r="AEX86" s="627"/>
      <c r="AEY86" s="627"/>
      <c r="AEZ86" s="627"/>
      <c r="AFA86" s="627"/>
      <c r="AFB86" s="627"/>
      <c r="AFC86" s="627"/>
      <c r="AFD86" s="627"/>
      <c r="AFE86" s="627"/>
      <c r="AFF86" s="627"/>
      <c r="AFG86" s="627"/>
      <c r="AFH86" s="627"/>
      <c r="AFI86" s="627"/>
      <c r="AFJ86" s="627"/>
      <c r="AFK86" s="627"/>
      <c r="AFL86" s="627"/>
      <c r="AFM86" s="627"/>
      <c r="AFN86" s="627"/>
      <c r="AFO86" s="627"/>
      <c r="AFP86" s="627"/>
      <c r="AFQ86" s="627"/>
      <c r="AFR86" s="627"/>
      <c r="AFS86" s="627"/>
      <c r="AFT86" s="627"/>
      <c r="AFU86" s="627"/>
      <c r="AFV86" s="627"/>
      <c r="AFW86" s="627"/>
      <c r="AFX86" s="627"/>
      <c r="AFY86" s="627"/>
      <c r="AFZ86" s="627"/>
      <c r="AGA86" s="627"/>
      <c r="AGB86" s="627"/>
      <c r="AGC86" s="627"/>
      <c r="AGD86" s="627"/>
      <c r="AGE86" s="627"/>
      <c r="AGF86" s="627"/>
      <c r="AGG86" s="627"/>
      <c r="AGH86" s="627"/>
      <c r="AGI86" s="627"/>
      <c r="AGJ86" s="627"/>
      <c r="AGK86" s="627"/>
      <c r="AGL86" s="627"/>
      <c r="AGM86" s="627"/>
      <c r="AGN86" s="627"/>
      <c r="AGO86" s="627"/>
      <c r="AGP86" s="627"/>
      <c r="AGQ86" s="627"/>
      <c r="AGR86" s="627"/>
      <c r="AGS86" s="627"/>
      <c r="AGT86" s="627"/>
      <c r="AGU86" s="627"/>
      <c r="AGV86" s="627"/>
      <c r="AGW86" s="627"/>
      <c r="AGX86" s="627"/>
      <c r="AGY86" s="627"/>
      <c r="AGZ86" s="627"/>
      <c r="AHA86" s="627"/>
      <c r="AHB86" s="627"/>
      <c r="AHC86" s="627"/>
      <c r="AHD86" s="627"/>
      <c r="AHE86" s="627"/>
      <c r="AHF86" s="627"/>
      <c r="AHG86" s="627"/>
      <c r="AHH86" s="627"/>
      <c r="AHI86" s="627"/>
      <c r="AHJ86" s="627"/>
      <c r="AHK86" s="627"/>
      <c r="AHL86" s="627"/>
      <c r="AHM86" s="627"/>
      <c r="AHN86" s="627"/>
      <c r="AHO86" s="627"/>
      <c r="AHP86" s="627"/>
      <c r="AHQ86" s="627"/>
      <c r="AHR86" s="627"/>
      <c r="AHS86" s="627"/>
      <c r="AHT86" s="627"/>
      <c r="AHU86" s="627"/>
      <c r="AHV86" s="627"/>
      <c r="AHW86" s="627"/>
      <c r="AHX86" s="627"/>
      <c r="AHY86" s="627"/>
      <c r="AHZ86" s="627"/>
      <c r="AIA86" s="627"/>
      <c r="AIB86" s="627"/>
      <c r="AIC86" s="627"/>
      <c r="AID86" s="627"/>
      <c r="AIE86" s="627"/>
      <c r="AIF86" s="627"/>
      <c r="AIG86" s="627"/>
      <c r="AIH86" s="627"/>
      <c r="AII86" s="627"/>
      <c r="AIJ86" s="627"/>
      <c r="AIK86" s="627"/>
      <c r="AIL86" s="627"/>
      <c r="AIM86" s="627"/>
      <c r="AIN86" s="627"/>
      <c r="AIO86" s="627"/>
      <c r="AIP86" s="627"/>
      <c r="AIQ86" s="627"/>
      <c r="AIR86" s="627"/>
      <c r="AIS86" s="627"/>
      <c r="AIT86" s="627"/>
      <c r="AIU86" s="627"/>
      <c r="AIV86" s="627"/>
      <c r="AIW86" s="627"/>
      <c r="AIX86" s="627"/>
      <c r="AIY86" s="627"/>
      <c r="AIZ86" s="627"/>
      <c r="AJA86" s="627"/>
      <c r="AJB86" s="627"/>
      <c r="AJC86" s="627"/>
      <c r="AJD86" s="627"/>
      <c r="AJE86" s="627"/>
      <c r="AJF86" s="627"/>
      <c r="AJG86" s="627"/>
      <c r="AJH86" s="627"/>
      <c r="AJI86" s="627"/>
      <c r="AJJ86" s="627"/>
      <c r="AJK86" s="627"/>
      <c r="AJL86" s="627"/>
      <c r="AJM86" s="627"/>
      <c r="AJN86" s="627"/>
      <c r="AJO86" s="627"/>
      <c r="AJP86" s="627"/>
      <c r="AJQ86" s="627"/>
      <c r="AJR86" s="627"/>
      <c r="AJS86" s="627"/>
      <c r="AJT86" s="627"/>
      <c r="AJU86" s="627"/>
      <c r="AJV86" s="627"/>
      <c r="AJW86" s="627"/>
      <c r="AJX86" s="627"/>
      <c r="AJY86" s="627"/>
      <c r="AJZ86" s="627"/>
      <c r="AKA86" s="627"/>
      <c r="AKB86" s="627"/>
      <c r="AKC86" s="627"/>
      <c r="AKD86" s="627"/>
      <c r="AKE86" s="627"/>
      <c r="AKF86" s="627"/>
      <c r="AKG86" s="627"/>
      <c r="AKH86" s="627"/>
      <c r="AKI86" s="627"/>
      <c r="AKJ86" s="627"/>
      <c r="AKK86" s="627"/>
      <c r="AKL86" s="627"/>
      <c r="AKM86" s="627"/>
      <c r="AKN86" s="627"/>
      <c r="AKO86" s="627"/>
      <c r="AKP86" s="627"/>
      <c r="AKQ86" s="627"/>
      <c r="AKR86" s="627"/>
      <c r="AKS86" s="627"/>
      <c r="AKT86" s="627"/>
      <c r="AKU86" s="627"/>
      <c r="AKV86" s="627"/>
      <c r="AKW86" s="627"/>
      <c r="AKX86" s="627"/>
      <c r="AKY86" s="627"/>
      <c r="AKZ86" s="627"/>
      <c r="ALA86" s="627"/>
      <c r="ALB86" s="627"/>
      <c r="ALC86" s="627"/>
      <c r="ALD86" s="627"/>
      <c r="ALE86" s="627"/>
      <c r="ALF86" s="627"/>
      <c r="ALG86" s="627"/>
      <c r="ALH86" s="627"/>
      <c r="ALI86" s="627"/>
      <c r="ALJ86" s="627"/>
      <c r="ALK86" s="627"/>
      <c r="ALL86" s="627"/>
      <c r="ALM86" s="627"/>
      <c r="ALN86" s="627"/>
      <c r="ALO86" s="627"/>
      <c r="ALP86" s="627"/>
      <c r="ALQ86" s="627"/>
      <c r="ALR86" s="627"/>
      <c r="ALS86" s="627"/>
      <c r="ALT86" s="627"/>
      <c r="ALU86" s="627"/>
      <c r="ALV86" s="627"/>
      <c r="ALW86" s="627"/>
      <c r="ALX86" s="627"/>
      <c r="ALY86" s="627"/>
      <c r="ALZ86" s="627"/>
      <c r="AMA86" s="627"/>
      <c r="AMB86" s="627"/>
      <c r="AMC86" s="627"/>
      <c r="AMD86" s="627"/>
      <c r="AME86" s="627"/>
      <c r="AMF86" s="627"/>
    </row>
    <row r="87" spans="1:1020" s="485" customFormat="1" ht="12.75" customHeight="1" x14ac:dyDescent="0.15">
      <c r="A87" s="627"/>
      <c r="B87" s="627"/>
      <c r="C87" s="627"/>
      <c r="D87" s="627"/>
      <c r="E87" s="627"/>
      <c r="F87" s="627"/>
      <c r="G87" s="627"/>
      <c r="H87" s="627"/>
      <c r="I87" s="627"/>
      <c r="J87" s="627"/>
      <c r="K87" s="627"/>
      <c r="L87" s="627"/>
      <c r="M87" s="627"/>
      <c r="N87" s="627"/>
      <c r="O87" s="627"/>
      <c r="P87" s="627"/>
      <c r="Q87" s="627"/>
      <c r="R87" s="627"/>
      <c r="S87" s="627"/>
      <c r="T87" s="627"/>
      <c r="U87" s="627"/>
      <c r="V87" s="627"/>
      <c r="W87" s="627"/>
      <c r="X87" s="627"/>
      <c r="Y87" s="627"/>
      <c r="Z87" s="627"/>
      <c r="AA87" s="627"/>
      <c r="AB87" s="627"/>
      <c r="AC87" s="627"/>
      <c r="AD87" s="627"/>
      <c r="AE87" s="627"/>
      <c r="AF87" s="627"/>
      <c r="AG87" s="627"/>
      <c r="AH87" s="627"/>
      <c r="AI87" s="627"/>
      <c r="AJ87" s="627"/>
      <c r="AK87" s="627"/>
      <c r="AL87" s="627"/>
      <c r="AM87" s="627"/>
      <c r="AN87" s="627"/>
      <c r="AO87" s="627"/>
      <c r="AP87" s="627" t="s">
        <v>797</v>
      </c>
      <c r="AQ87" s="627"/>
      <c r="AR87" s="627"/>
      <c r="AS87" s="627"/>
      <c r="AT87" s="627"/>
      <c r="AU87" s="627"/>
      <c r="AV87" s="627"/>
      <c r="AW87" s="627"/>
      <c r="AX87" s="627"/>
      <c r="AY87" s="627"/>
      <c r="AZ87" s="627"/>
      <c r="BA87" s="629" t="s">
        <v>1200</v>
      </c>
      <c r="BB87" s="627"/>
      <c r="BC87" s="627"/>
      <c r="BD87" s="627"/>
      <c r="BE87" s="627"/>
      <c r="BG87" s="486"/>
      <c r="BH87" s="436"/>
      <c r="BI87" s="436"/>
      <c r="BJ87" s="436"/>
      <c r="BK87" s="436"/>
      <c r="BL87" s="436"/>
      <c r="BM87" s="436"/>
      <c r="BN87" s="436"/>
      <c r="BO87" s="436"/>
      <c r="BP87" s="436"/>
      <c r="BQ87" s="436"/>
      <c r="BR87" s="436"/>
      <c r="BS87" s="436"/>
      <c r="BT87" s="436"/>
      <c r="BU87" s="436"/>
      <c r="BV87" s="627"/>
      <c r="BW87" s="627"/>
      <c r="BX87" s="627"/>
      <c r="BY87" s="627"/>
      <c r="BZ87" s="627"/>
      <c r="CA87" s="627"/>
      <c r="CB87" s="627"/>
      <c r="CC87" s="627"/>
      <c r="CD87" s="627"/>
      <c r="CE87" s="627"/>
      <c r="CF87" s="627"/>
      <c r="CG87" s="627"/>
      <c r="CH87" s="627"/>
      <c r="CI87" s="627"/>
      <c r="CJ87" s="627"/>
      <c r="CK87" s="627"/>
      <c r="CL87" s="627"/>
      <c r="CM87" s="627"/>
      <c r="CN87" s="627"/>
      <c r="CO87" s="627"/>
      <c r="CP87" s="627"/>
      <c r="CQ87" s="627"/>
      <c r="CR87" s="627"/>
      <c r="CS87" s="627"/>
      <c r="CT87" s="627"/>
      <c r="CU87" s="627"/>
      <c r="CV87" s="627"/>
      <c r="CW87" s="627"/>
      <c r="CX87" s="627"/>
      <c r="CY87" s="627"/>
      <c r="CZ87" s="627"/>
      <c r="DA87" s="627"/>
      <c r="DB87" s="627"/>
      <c r="DC87" s="627"/>
      <c r="DD87" s="627"/>
      <c r="DE87" s="627"/>
      <c r="DF87" s="627"/>
      <c r="DG87" s="627"/>
      <c r="DH87" s="627"/>
      <c r="DI87" s="627"/>
      <c r="DJ87" s="627"/>
      <c r="DK87" s="627"/>
      <c r="DL87" s="627"/>
      <c r="DM87" s="627"/>
      <c r="DN87" s="627"/>
      <c r="DO87" s="627"/>
      <c r="DP87" s="627"/>
      <c r="DQ87" s="627"/>
      <c r="DR87" s="627"/>
      <c r="DS87" s="627"/>
      <c r="DT87" s="627"/>
      <c r="DU87" s="627"/>
      <c r="DV87" s="627"/>
      <c r="DW87" s="627"/>
      <c r="DX87" s="627"/>
      <c r="DY87" s="627"/>
      <c r="DZ87" s="627"/>
      <c r="EA87" s="627"/>
      <c r="EB87" s="627"/>
      <c r="EC87" s="627"/>
      <c r="ED87" s="627"/>
      <c r="EE87" s="627"/>
      <c r="EF87" s="627"/>
      <c r="EG87" s="627"/>
      <c r="EH87" s="627"/>
      <c r="EI87" s="627"/>
      <c r="EJ87" s="627"/>
      <c r="EK87" s="627"/>
      <c r="EL87" s="627"/>
      <c r="EM87" s="627"/>
      <c r="EN87" s="627"/>
      <c r="EO87" s="627"/>
      <c r="EP87" s="627"/>
      <c r="EQ87" s="627"/>
      <c r="ER87" s="627"/>
      <c r="ES87" s="627"/>
      <c r="ET87" s="627"/>
      <c r="EU87" s="627"/>
      <c r="EV87" s="627"/>
      <c r="EW87" s="627"/>
      <c r="EX87" s="627"/>
      <c r="EY87" s="627"/>
      <c r="EZ87" s="627"/>
      <c r="FA87" s="627"/>
      <c r="FB87" s="627"/>
      <c r="FC87" s="627"/>
      <c r="FD87" s="627"/>
      <c r="FE87" s="627"/>
      <c r="FF87" s="627"/>
      <c r="FG87" s="627"/>
      <c r="FH87" s="627"/>
      <c r="FI87" s="627"/>
      <c r="FJ87" s="627"/>
      <c r="FK87" s="627"/>
      <c r="FL87" s="627"/>
      <c r="FM87" s="627"/>
      <c r="FN87" s="627"/>
      <c r="FO87" s="627"/>
      <c r="FP87" s="627"/>
      <c r="FQ87" s="627"/>
      <c r="FR87" s="627"/>
      <c r="FS87" s="627"/>
      <c r="FT87" s="627"/>
      <c r="FU87" s="627"/>
      <c r="FV87" s="627"/>
      <c r="FW87" s="627"/>
      <c r="FX87" s="627"/>
      <c r="FY87" s="627"/>
      <c r="FZ87" s="627"/>
      <c r="GA87" s="627"/>
      <c r="GB87" s="627"/>
      <c r="GC87" s="627"/>
      <c r="GD87" s="627"/>
      <c r="GE87" s="627"/>
      <c r="GF87" s="627"/>
      <c r="GG87" s="627"/>
      <c r="GH87" s="627"/>
      <c r="GI87" s="627"/>
      <c r="GJ87" s="627"/>
      <c r="GK87" s="627"/>
      <c r="GL87" s="627"/>
      <c r="GM87" s="627"/>
      <c r="GN87" s="627"/>
      <c r="GO87" s="627"/>
      <c r="GP87" s="627"/>
      <c r="GQ87" s="627"/>
      <c r="GR87" s="627"/>
      <c r="GS87" s="627"/>
      <c r="GT87" s="627"/>
      <c r="GU87" s="627"/>
      <c r="GV87" s="627"/>
      <c r="GW87" s="627"/>
      <c r="GX87" s="627"/>
      <c r="GY87" s="627"/>
      <c r="GZ87" s="627"/>
      <c r="HA87" s="627"/>
      <c r="HB87" s="627"/>
      <c r="HC87" s="627"/>
      <c r="HD87" s="627"/>
      <c r="HE87" s="627"/>
      <c r="HF87" s="627"/>
      <c r="HG87" s="627"/>
      <c r="HH87" s="627"/>
      <c r="HI87" s="627"/>
      <c r="HJ87" s="627"/>
      <c r="HK87" s="627"/>
      <c r="HL87" s="627"/>
      <c r="HM87" s="627"/>
      <c r="HN87" s="627"/>
      <c r="HO87" s="627"/>
      <c r="HP87" s="627"/>
      <c r="HQ87" s="627"/>
      <c r="HR87" s="627"/>
      <c r="HS87" s="627"/>
      <c r="HT87" s="627"/>
      <c r="HU87" s="627"/>
      <c r="HV87" s="627"/>
      <c r="HW87" s="627"/>
      <c r="HX87" s="627"/>
      <c r="HY87" s="627"/>
      <c r="HZ87" s="627"/>
      <c r="IA87" s="627"/>
      <c r="IB87" s="627"/>
      <c r="IC87" s="627"/>
      <c r="ID87" s="627"/>
      <c r="IE87" s="627"/>
      <c r="IF87" s="627"/>
      <c r="IG87" s="627"/>
      <c r="IH87" s="627"/>
      <c r="II87" s="627"/>
      <c r="IJ87" s="627"/>
      <c r="IK87" s="627"/>
      <c r="IL87" s="627"/>
      <c r="IM87" s="627"/>
      <c r="IN87" s="627"/>
      <c r="IO87" s="627"/>
      <c r="IP87" s="627"/>
      <c r="IQ87" s="627"/>
      <c r="IR87" s="627"/>
      <c r="IS87" s="627"/>
      <c r="IT87" s="627"/>
      <c r="IU87" s="627"/>
      <c r="IV87" s="627"/>
      <c r="IW87" s="627"/>
      <c r="IX87" s="627"/>
      <c r="IY87" s="627"/>
      <c r="IZ87" s="627"/>
      <c r="JA87" s="627"/>
      <c r="JB87" s="627"/>
      <c r="JC87" s="627"/>
      <c r="JD87" s="627"/>
      <c r="JE87" s="627"/>
      <c r="JF87" s="627"/>
      <c r="JG87" s="627"/>
      <c r="JH87" s="627"/>
      <c r="JI87" s="627"/>
      <c r="JJ87" s="627"/>
      <c r="JK87" s="627"/>
      <c r="JL87" s="627"/>
      <c r="JM87" s="627"/>
      <c r="JN87" s="627"/>
      <c r="JO87" s="627"/>
      <c r="JP87" s="627"/>
      <c r="JQ87" s="627"/>
      <c r="JR87" s="627"/>
      <c r="JS87" s="627"/>
      <c r="JT87" s="627"/>
      <c r="JU87" s="627"/>
      <c r="JV87" s="627"/>
      <c r="JW87" s="627"/>
      <c r="JX87" s="627"/>
      <c r="JY87" s="627"/>
      <c r="JZ87" s="627"/>
      <c r="KA87" s="627"/>
      <c r="KB87" s="627"/>
      <c r="KC87" s="627"/>
      <c r="KD87" s="627"/>
      <c r="KE87" s="627"/>
      <c r="KF87" s="627"/>
      <c r="KG87" s="627"/>
      <c r="KH87" s="627"/>
      <c r="KI87" s="627"/>
      <c r="KJ87" s="627"/>
      <c r="KK87" s="627"/>
      <c r="KL87" s="627"/>
      <c r="KM87" s="627"/>
      <c r="KN87" s="627"/>
      <c r="KO87" s="627"/>
      <c r="KP87" s="627"/>
      <c r="KQ87" s="627"/>
      <c r="KR87" s="627"/>
      <c r="KS87" s="627"/>
      <c r="KT87" s="627"/>
      <c r="KU87" s="627"/>
      <c r="KV87" s="627"/>
      <c r="KW87" s="627"/>
      <c r="KX87" s="627"/>
      <c r="KY87" s="627"/>
      <c r="KZ87" s="627"/>
      <c r="LA87" s="627"/>
      <c r="LB87" s="627"/>
      <c r="LC87" s="627"/>
      <c r="LD87" s="627"/>
      <c r="LE87" s="627"/>
      <c r="LF87" s="627"/>
      <c r="LG87" s="627"/>
      <c r="LH87" s="627"/>
      <c r="LI87" s="627"/>
      <c r="LJ87" s="627"/>
      <c r="LK87" s="627"/>
      <c r="LL87" s="627"/>
      <c r="LM87" s="627"/>
      <c r="LN87" s="627"/>
      <c r="LO87" s="627"/>
      <c r="LP87" s="627"/>
      <c r="LQ87" s="627"/>
      <c r="LR87" s="627"/>
      <c r="LS87" s="627"/>
      <c r="LT87" s="627"/>
      <c r="LU87" s="627"/>
      <c r="LV87" s="627"/>
      <c r="LW87" s="627"/>
      <c r="LX87" s="627"/>
      <c r="LY87" s="627"/>
      <c r="LZ87" s="627"/>
      <c r="MA87" s="627"/>
      <c r="MB87" s="627"/>
      <c r="MC87" s="627"/>
      <c r="MD87" s="627"/>
      <c r="ME87" s="627"/>
      <c r="MF87" s="627"/>
      <c r="MG87" s="627"/>
      <c r="MH87" s="627"/>
      <c r="MI87" s="627"/>
      <c r="MJ87" s="627"/>
      <c r="MK87" s="627"/>
      <c r="ML87" s="627"/>
      <c r="MM87" s="627"/>
      <c r="MN87" s="627"/>
      <c r="MO87" s="627"/>
      <c r="MP87" s="627"/>
      <c r="MQ87" s="627"/>
      <c r="MR87" s="627"/>
      <c r="MS87" s="627"/>
      <c r="MT87" s="627"/>
      <c r="MU87" s="627"/>
      <c r="MV87" s="627"/>
      <c r="MW87" s="627"/>
      <c r="MX87" s="627"/>
      <c r="MY87" s="627"/>
      <c r="MZ87" s="627"/>
      <c r="NA87" s="627"/>
      <c r="NB87" s="627"/>
      <c r="NC87" s="627"/>
      <c r="ND87" s="627"/>
      <c r="NE87" s="627"/>
      <c r="NF87" s="627"/>
      <c r="NG87" s="627"/>
      <c r="NH87" s="627"/>
      <c r="NI87" s="627"/>
      <c r="NJ87" s="627"/>
      <c r="NK87" s="627"/>
      <c r="NL87" s="627"/>
      <c r="NM87" s="627"/>
      <c r="NN87" s="627"/>
      <c r="NO87" s="627"/>
      <c r="NP87" s="627"/>
      <c r="NQ87" s="627"/>
      <c r="NR87" s="627"/>
      <c r="NS87" s="627"/>
      <c r="NT87" s="627"/>
      <c r="NU87" s="627"/>
      <c r="NV87" s="627"/>
      <c r="NW87" s="627"/>
      <c r="NX87" s="627"/>
      <c r="NY87" s="627"/>
      <c r="NZ87" s="627"/>
      <c r="OA87" s="627"/>
      <c r="OB87" s="627"/>
      <c r="OC87" s="627"/>
      <c r="OD87" s="627"/>
      <c r="OE87" s="627"/>
      <c r="OF87" s="627"/>
      <c r="OG87" s="627"/>
      <c r="OH87" s="627"/>
      <c r="OI87" s="627"/>
      <c r="OJ87" s="627"/>
      <c r="OK87" s="627"/>
      <c r="OL87" s="627"/>
      <c r="OM87" s="627"/>
      <c r="ON87" s="627"/>
      <c r="OO87" s="627"/>
      <c r="OP87" s="627"/>
      <c r="OQ87" s="627"/>
      <c r="OR87" s="627"/>
      <c r="OS87" s="627"/>
      <c r="OT87" s="627"/>
      <c r="OU87" s="627"/>
      <c r="OV87" s="627"/>
      <c r="OW87" s="627"/>
      <c r="OX87" s="627"/>
      <c r="OY87" s="627"/>
      <c r="OZ87" s="627"/>
      <c r="PA87" s="627"/>
      <c r="PB87" s="627"/>
      <c r="PC87" s="627"/>
      <c r="PD87" s="627"/>
      <c r="PE87" s="627"/>
      <c r="PF87" s="627"/>
      <c r="PG87" s="627"/>
      <c r="PH87" s="627"/>
      <c r="PI87" s="627"/>
      <c r="PJ87" s="627"/>
      <c r="PK87" s="627"/>
      <c r="PL87" s="627"/>
      <c r="PM87" s="627"/>
      <c r="PN87" s="627"/>
      <c r="PO87" s="627"/>
      <c r="PP87" s="627"/>
      <c r="PQ87" s="627"/>
      <c r="PR87" s="627"/>
      <c r="PS87" s="627"/>
      <c r="PT87" s="627"/>
      <c r="PU87" s="627"/>
      <c r="PV87" s="627"/>
      <c r="PW87" s="627"/>
      <c r="PX87" s="627"/>
      <c r="PY87" s="627"/>
      <c r="PZ87" s="627"/>
      <c r="QA87" s="627"/>
      <c r="QB87" s="627"/>
      <c r="QC87" s="627"/>
      <c r="QD87" s="627"/>
      <c r="QE87" s="627"/>
      <c r="QF87" s="627"/>
      <c r="QG87" s="627"/>
      <c r="QH87" s="627"/>
      <c r="QI87" s="627"/>
      <c r="QJ87" s="627"/>
      <c r="QK87" s="627"/>
      <c r="QL87" s="627"/>
      <c r="QM87" s="627"/>
      <c r="QN87" s="627"/>
      <c r="QO87" s="627"/>
      <c r="QP87" s="627"/>
      <c r="QQ87" s="627"/>
      <c r="QR87" s="627"/>
      <c r="QS87" s="627"/>
      <c r="QT87" s="627"/>
      <c r="QU87" s="627"/>
      <c r="QV87" s="627"/>
      <c r="QW87" s="627"/>
      <c r="QX87" s="627"/>
      <c r="QY87" s="627"/>
      <c r="QZ87" s="627"/>
      <c r="RA87" s="627"/>
      <c r="RB87" s="627"/>
      <c r="RC87" s="627"/>
      <c r="RD87" s="627"/>
      <c r="RE87" s="627"/>
      <c r="RF87" s="627"/>
      <c r="RG87" s="627"/>
      <c r="RH87" s="627"/>
      <c r="RI87" s="627"/>
      <c r="RJ87" s="627"/>
      <c r="RK87" s="627"/>
      <c r="RL87" s="627"/>
      <c r="RM87" s="627"/>
      <c r="RN87" s="627"/>
      <c r="RO87" s="627"/>
      <c r="RP87" s="627"/>
      <c r="RQ87" s="627"/>
      <c r="RR87" s="627"/>
      <c r="RS87" s="627"/>
      <c r="RT87" s="627"/>
      <c r="RU87" s="627"/>
      <c r="RV87" s="627"/>
      <c r="RW87" s="627"/>
      <c r="RX87" s="627"/>
      <c r="RY87" s="627"/>
      <c r="RZ87" s="627"/>
      <c r="SA87" s="627"/>
      <c r="SB87" s="627"/>
      <c r="SC87" s="627"/>
      <c r="SD87" s="627"/>
      <c r="SE87" s="627"/>
      <c r="SF87" s="627"/>
      <c r="SG87" s="627"/>
      <c r="SH87" s="627"/>
      <c r="SI87" s="627"/>
      <c r="SJ87" s="627"/>
      <c r="SK87" s="627"/>
      <c r="SL87" s="627"/>
      <c r="SM87" s="627"/>
      <c r="SN87" s="627"/>
      <c r="SO87" s="627"/>
      <c r="SP87" s="627"/>
      <c r="SQ87" s="627"/>
      <c r="SR87" s="627"/>
      <c r="SS87" s="627"/>
      <c r="ST87" s="627"/>
      <c r="SU87" s="627"/>
      <c r="SV87" s="627"/>
      <c r="SW87" s="627"/>
      <c r="SX87" s="627"/>
      <c r="SY87" s="627"/>
      <c r="SZ87" s="627"/>
      <c r="TA87" s="627"/>
      <c r="TB87" s="627"/>
      <c r="TC87" s="627"/>
      <c r="TD87" s="627"/>
      <c r="TE87" s="627"/>
      <c r="TF87" s="627"/>
      <c r="TG87" s="627"/>
      <c r="TH87" s="627"/>
      <c r="TI87" s="627"/>
      <c r="TJ87" s="627"/>
      <c r="TK87" s="627"/>
      <c r="TL87" s="627"/>
      <c r="TM87" s="627"/>
      <c r="TN87" s="627"/>
      <c r="TO87" s="627"/>
      <c r="TP87" s="627"/>
      <c r="TQ87" s="627"/>
      <c r="TR87" s="627"/>
      <c r="TS87" s="627"/>
      <c r="TT87" s="627"/>
      <c r="TU87" s="627"/>
      <c r="TV87" s="627"/>
      <c r="TW87" s="627"/>
      <c r="TX87" s="627"/>
      <c r="TY87" s="627"/>
      <c r="TZ87" s="627"/>
      <c r="UA87" s="627"/>
      <c r="UB87" s="627"/>
      <c r="UC87" s="627"/>
      <c r="UD87" s="627"/>
      <c r="UE87" s="627"/>
      <c r="UF87" s="627"/>
      <c r="UG87" s="627"/>
      <c r="UH87" s="627"/>
      <c r="UI87" s="627"/>
      <c r="UJ87" s="627"/>
      <c r="UK87" s="627"/>
      <c r="UL87" s="627"/>
      <c r="UM87" s="627"/>
      <c r="UN87" s="627"/>
      <c r="UO87" s="627"/>
      <c r="UP87" s="627"/>
      <c r="UQ87" s="627"/>
      <c r="UR87" s="627"/>
      <c r="US87" s="627"/>
      <c r="UT87" s="627"/>
      <c r="UU87" s="627"/>
      <c r="UV87" s="627"/>
      <c r="UW87" s="627"/>
      <c r="UX87" s="627"/>
      <c r="UY87" s="627"/>
      <c r="UZ87" s="627"/>
      <c r="VA87" s="627"/>
      <c r="VB87" s="627"/>
      <c r="VC87" s="627"/>
      <c r="VD87" s="627"/>
      <c r="VE87" s="627"/>
      <c r="VF87" s="627"/>
      <c r="VG87" s="627"/>
      <c r="VH87" s="627"/>
      <c r="VI87" s="627"/>
      <c r="VJ87" s="627"/>
      <c r="VK87" s="627"/>
      <c r="VL87" s="627"/>
      <c r="VM87" s="627"/>
      <c r="VN87" s="627"/>
      <c r="VO87" s="627"/>
      <c r="VP87" s="627"/>
      <c r="VQ87" s="627"/>
      <c r="VR87" s="627"/>
      <c r="VS87" s="627"/>
      <c r="VT87" s="627"/>
      <c r="VU87" s="627"/>
      <c r="VV87" s="627"/>
      <c r="VW87" s="627"/>
      <c r="VX87" s="627"/>
      <c r="VY87" s="627"/>
      <c r="VZ87" s="627"/>
      <c r="WA87" s="627"/>
      <c r="WB87" s="627"/>
      <c r="WC87" s="627"/>
      <c r="WD87" s="627"/>
      <c r="WE87" s="627"/>
      <c r="WF87" s="627"/>
      <c r="WG87" s="627"/>
      <c r="WH87" s="627"/>
      <c r="WI87" s="627"/>
      <c r="WJ87" s="627"/>
      <c r="WK87" s="627"/>
      <c r="WL87" s="627"/>
      <c r="WM87" s="627"/>
      <c r="WN87" s="627"/>
      <c r="WO87" s="627"/>
      <c r="WP87" s="627"/>
      <c r="WQ87" s="627"/>
      <c r="WR87" s="627"/>
      <c r="WS87" s="627"/>
      <c r="WT87" s="627"/>
      <c r="WU87" s="627"/>
      <c r="WV87" s="627"/>
      <c r="WW87" s="627"/>
      <c r="WX87" s="627"/>
      <c r="WY87" s="627"/>
      <c r="WZ87" s="627"/>
      <c r="XA87" s="627"/>
      <c r="XB87" s="627"/>
      <c r="XC87" s="627"/>
      <c r="XD87" s="627"/>
      <c r="XE87" s="627"/>
      <c r="XF87" s="627"/>
      <c r="XG87" s="627"/>
      <c r="XH87" s="627"/>
      <c r="XI87" s="627"/>
      <c r="XJ87" s="627"/>
      <c r="XK87" s="627"/>
      <c r="XL87" s="627"/>
      <c r="XM87" s="627"/>
      <c r="XN87" s="627"/>
      <c r="XO87" s="627"/>
      <c r="XP87" s="627"/>
      <c r="XQ87" s="627"/>
      <c r="XR87" s="627"/>
      <c r="XS87" s="627"/>
      <c r="XT87" s="627"/>
      <c r="XU87" s="627"/>
      <c r="XV87" s="627"/>
      <c r="XW87" s="627"/>
      <c r="XX87" s="627"/>
      <c r="XY87" s="627"/>
      <c r="XZ87" s="627"/>
      <c r="YA87" s="627"/>
      <c r="YB87" s="627"/>
      <c r="YC87" s="627"/>
      <c r="YD87" s="627"/>
      <c r="YE87" s="627"/>
      <c r="YF87" s="627"/>
      <c r="YG87" s="627"/>
      <c r="YH87" s="627"/>
      <c r="YI87" s="627"/>
      <c r="YJ87" s="627"/>
      <c r="YK87" s="627"/>
      <c r="YL87" s="627"/>
      <c r="YM87" s="627"/>
      <c r="YN87" s="627"/>
      <c r="YO87" s="627"/>
      <c r="YP87" s="627"/>
      <c r="YQ87" s="627"/>
      <c r="YR87" s="627"/>
      <c r="YS87" s="627"/>
      <c r="YT87" s="627"/>
      <c r="YU87" s="627"/>
      <c r="YV87" s="627"/>
      <c r="YW87" s="627"/>
      <c r="YX87" s="627"/>
      <c r="YY87" s="627"/>
      <c r="YZ87" s="627"/>
      <c r="ZA87" s="627"/>
      <c r="ZB87" s="627"/>
      <c r="ZC87" s="627"/>
      <c r="ZD87" s="627"/>
      <c r="ZE87" s="627"/>
      <c r="ZF87" s="627"/>
      <c r="ZG87" s="627"/>
      <c r="ZH87" s="627"/>
      <c r="ZI87" s="627"/>
      <c r="ZJ87" s="627"/>
      <c r="ZK87" s="627"/>
      <c r="ZL87" s="627"/>
      <c r="ZM87" s="627"/>
      <c r="ZN87" s="627"/>
      <c r="ZO87" s="627"/>
      <c r="ZP87" s="627"/>
      <c r="ZQ87" s="627"/>
      <c r="ZR87" s="627"/>
      <c r="ZS87" s="627"/>
      <c r="ZT87" s="627"/>
      <c r="ZU87" s="627"/>
      <c r="ZV87" s="627"/>
      <c r="ZW87" s="627"/>
      <c r="ZX87" s="627"/>
      <c r="ZY87" s="627"/>
      <c r="ZZ87" s="627"/>
      <c r="AAA87" s="627"/>
      <c r="AAB87" s="627"/>
      <c r="AAC87" s="627"/>
      <c r="AAD87" s="627"/>
      <c r="AAE87" s="627"/>
      <c r="AAF87" s="627"/>
      <c r="AAG87" s="627"/>
      <c r="AAH87" s="627"/>
      <c r="AAI87" s="627"/>
      <c r="AAJ87" s="627"/>
      <c r="AAK87" s="627"/>
      <c r="AAL87" s="627"/>
      <c r="AAM87" s="627"/>
      <c r="AAN87" s="627"/>
      <c r="AAO87" s="627"/>
      <c r="AAP87" s="627"/>
      <c r="AAQ87" s="627"/>
      <c r="AAR87" s="627"/>
      <c r="AAS87" s="627"/>
      <c r="AAT87" s="627"/>
      <c r="AAU87" s="627"/>
      <c r="AAV87" s="627"/>
      <c r="AAW87" s="627"/>
      <c r="AAX87" s="627"/>
      <c r="AAY87" s="627"/>
      <c r="AAZ87" s="627"/>
      <c r="ABA87" s="627"/>
      <c r="ABB87" s="627"/>
      <c r="ABC87" s="627"/>
      <c r="ABD87" s="627"/>
      <c r="ABE87" s="627"/>
      <c r="ABF87" s="627"/>
      <c r="ABG87" s="627"/>
      <c r="ABH87" s="627"/>
      <c r="ABI87" s="627"/>
      <c r="ABJ87" s="627"/>
      <c r="ABK87" s="627"/>
      <c r="ABL87" s="627"/>
      <c r="ABM87" s="627"/>
      <c r="ABN87" s="627"/>
      <c r="ABO87" s="627"/>
      <c r="ABP87" s="627"/>
      <c r="ABQ87" s="627"/>
      <c r="ABR87" s="627"/>
      <c r="ABS87" s="627"/>
      <c r="ABT87" s="627"/>
      <c r="ABU87" s="627"/>
      <c r="ABV87" s="627"/>
      <c r="ABW87" s="627"/>
      <c r="ABX87" s="627"/>
      <c r="ABY87" s="627"/>
      <c r="ABZ87" s="627"/>
      <c r="ACA87" s="627"/>
      <c r="ACB87" s="627"/>
      <c r="ACC87" s="627"/>
      <c r="ACD87" s="627"/>
      <c r="ACE87" s="627"/>
      <c r="ACF87" s="627"/>
      <c r="ACG87" s="627"/>
      <c r="ACH87" s="627"/>
      <c r="ACI87" s="627"/>
      <c r="ACJ87" s="627"/>
      <c r="ACK87" s="627"/>
      <c r="ACL87" s="627"/>
      <c r="ACM87" s="627"/>
      <c r="ACN87" s="627"/>
      <c r="ACO87" s="627"/>
      <c r="ACP87" s="627"/>
      <c r="ACQ87" s="627"/>
      <c r="ACR87" s="627"/>
      <c r="ACS87" s="627"/>
      <c r="ACT87" s="627"/>
      <c r="ACU87" s="627"/>
      <c r="ACV87" s="627"/>
      <c r="ACW87" s="627"/>
      <c r="ACX87" s="627"/>
      <c r="ACY87" s="627"/>
      <c r="ACZ87" s="627"/>
      <c r="ADA87" s="627"/>
      <c r="ADB87" s="627"/>
      <c r="ADC87" s="627"/>
      <c r="ADD87" s="627"/>
      <c r="ADE87" s="627"/>
      <c r="ADF87" s="627"/>
      <c r="ADG87" s="627"/>
      <c r="ADH87" s="627"/>
      <c r="ADI87" s="627"/>
      <c r="ADJ87" s="627"/>
      <c r="ADK87" s="627"/>
      <c r="ADL87" s="627"/>
      <c r="ADM87" s="627"/>
      <c r="ADN87" s="627"/>
      <c r="ADO87" s="627"/>
      <c r="ADP87" s="627"/>
      <c r="ADQ87" s="627"/>
      <c r="ADR87" s="627"/>
      <c r="ADS87" s="627"/>
      <c r="ADT87" s="627"/>
      <c r="ADU87" s="627"/>
      <c r="ADV87" s="627"/>
      <c r="ADW87" s="627"/>
      <c r="ADX87" s="627"/>
      <c r="ADY87" s="627"/>
      <c r="ADZ87" s="627"/>
      <c r="AEA87" s="627"/>
      <c r="AEB87" s="627"/>
      <c r="AEC87" s="627"/>
      <c r="AED87" s="627"/>
      <c r="AEE87" s="627"/>
      <c r="AEF87" s="627"/>
      <c r="AEG87" s="627"/>
      <c r="AEH87" s="627"/>
      <c r="AEI87" s="627"/>
      <c r="AEJ87" s="627"/>
      <c r="AEK87" s="627"/>
      <c r="AEL87" s="627"/>
      <c r="AEM87" s="627"/>
      <c r="AEN87" s="627"/>
      <c r="AEO87" s="627"/>
      <c r="AEP87" s="627"/>
      <c r="AEQ87" s="627"/>
      <c r="AER87" s="627"/>
      <c r="AES87" s="627"/>
      <c r="AET87" s="627"/>
      <c r="AEU87" s="627"/>
      <c r="AEV87" s="627"/>
      <c r="AEW87" s="627"/>
      <c r="AEX87" s="627"/>
      <c r="AEY87" s="627"/>
      <c r="AEZ87" s="627"/>
      <c r="AFA87" s="627"/>
      <c r="AFB87" s="627"/>
      <c r="AFC87" s="627"/>
      <c r="AFD87" s="627"/>
      <c r="AFE87" s="627"/>
      <c r="AFF87" s="627"/>
      <c r="AFG87" s="627"/>
      <c r="AFH87" s="627"/>
      <c r="AFI87" s="627"/>
      <c r="AFJ87" s="627"/>
      <c r="AFK87" s="627"/>
      <c r="AFL87" s="627"/>
      <c r="AFM87" s="627"/>
      <c r="AFN87" s="627"/>
      <c r="AFO87" s="627"/>
      <c r="AFP87" s="627"/>
      <c r="AFQ87" s="627"/>
      <c r="AFR87" s="627"/>
      <c r="AFS87" s="627"/>
      <c r="AFT87" s="627"/>
      <c r="AFU87" s="627"/>
      <c r="AFV87" s="627"/>
      <c r="AFW87" s="627"/>
      <c r="AFX87" s="627"/>
      <c r="AFY87" s="627"/>
      <c r="AFZ87" s="627"/>
      <c r="AGA87" s="627"/>
      <c r="AGB87" s="627"/>
      <c r="AGC87" s="627"/>
      <c r="AGD87" s="627"/>
      <c r="AGE87" s="627"/>
      <c r="AGF87" s="627"/>
      <c r="AGG87" s="627"/>
      <c r="AGH87" s="627"/>
      <c r="AGI87" s="627"/>
      <c r="AGJ87" s="627"/>
      <c r="AGK87" s="627"/>
      <c r="AGL87" s="627"/>
      <c r="AGM87" s="627"/>
      <c r="AGN87" s="627"/>
      <c r="AGO87" s="627"/>
      <c r="AGP87" s="627"/>
      <c r="AGQ87" s="627"/>
      <c r="AGR87" s="627"/>
      <c r="AGS87" s="627"/>
      <c r="AGT87" s="627"/>
      <c r="AGU87" s="627"/>
      <c r="AGV87" s="627"/>
      <c r="AGW87" s="627"/>
      <c r="AGX87" s="627"/>
      <c r="AGY87" s="627"/>
      <c r="AGZ87" s="627"/>
      <c r="AHA87" s="627"/>
      <c r="AHB87" s="627"/>
      <c r="AHC87" s="627"/>
      <c r="AHD87" s="627"/>
      <c r="AHE87" s="627"/>
      <c r="AHF87" s="627"/>
      <c r="AHG87" s="627"/>
      <c r="AHH87" s="627"/>
      <c r="AHI87" s="627"/>
      <c r="AHJ87" s="627"/>
      <c r="AHK87" s="627"/>
      <c r="AHL87" s="627"/>
      <c r="AHM87" s="627"/>
      <c r="AHN87" s="627"/>
      <c r="AHO87" s="627"/>
      <c r="AHP87" s="627"/>
      <c r="AHQ87" s="627"/>
      <c r="AHR87" s="627"/>
      <c r="AHS87" s="627"/>
      <c r="AHT87" s="627"/>
      <c r="AHU87" s="627"/>
      <c r="AHV87" s="627"/>
      <c r="AHW87" s="627"/>
      <c r="AHX87" s="627"/>
      <c r="AHY87" s="627"/>
      <c r="AHZ87" s="627"/>
      <c r="AIA87" s="627"/>
      <c r="AIB87" s="627"/>
      <c r="AIC87" s="627"/>
      <c r="AID87" s="627"/>
      <c r="AIE87" s="627"/>
      <c r="AIF87" s="627"/>
      <c r="AIG87" s="627"/>
      <c r="AIH87" s="627"/>
      <c r="AII87" s="627"/>
      <c r="AIJ87" s="627"/>
      <c r="AIK87" s="627"/>
      <c r="AIL87" s="627"/>
      <c r="AIM87" s="627"/>
      <c r="AIN87" s="627"/>
      <c r="AIO87" s="627"/>
      <c r="AIP87" s="627"/>
      <c r="AIQ87" s="627"/>
      <c r="AIR87" s="627"/>
      <c r="AIS87" s="627"/>
      <c r="AIT87" s="627"/>
      <c r="AIU87" s="627"/>
      <c r="AIV87" s="627"/>
      <c r="AIW87" s="627"/>
      <c r="AIX87" s="627"/>
      <c r="AIY87" s="627"/>
      <c r="AIZ87" s="627"/>
      <c r="AJA87" s="627"/>
      <c r="AJB87" s="627"/>
      <c r="AJC87" s="627"/>
      <c r="AJD87" s="627"/>
      <c r="AJE87" s="627"/>
      <c r="AJF87" s="627"/>
      <c r="AJG87" s="627"/>
      <c r="AJH87" s="627"/>
      <c r="AJI87" s="627"/>
      <c r="AJJ87" s="627"/>
      <c r="AJK87" s="627"/>
      <c r="AJL87" s="627"/>
      <c r="AJM87" s="627"/>
      <c r="AJN87" s="627"/>
      <c r="AJO87" s="627"/>
      <c r="AJP87" s="627"/>
      <c r="AJQ87" s="627"/>
      <c r="AJR87" s="627"/>
      <c r="AJS87" s="627"/>
      <c r="AJT87" s="627"/>
      <c r="AJU87" s="627"/>
      <c r="AJV87" s="627"/>
      <c r="AJW87" s="627"/>
      <c r="AJX87" s="627"/>
      <c r="AJY87" s="627"/>
      <c r="AJZ87" s="627"/>
      <c r="AKA87" s="627"/>
      <c r="AKB87" s="627"/>
      <c r="AKC87" s="627"/>
      <c r="AKD87" s="627"/>
      <c r="AKE87" s="627"/>
      <c r="AKF87" s="627"/>
      <c r="AKG87" s="627"/>
      <c r="AKH87" s="627"/>
      <c r="AKI87" s="627"/>
      <c r="AKJ87" s="627"/>
      <c r="AKK87" s="627"/>
      <c r="AKL87" s="627"/>
      <c r="AKM87" s="627"/>
      <c r="AKN87" s="627"/>
      <c r="AKO87" s="627"/>
      <c r="AKP87" s="627"/>
      <c r="AKQ87" s="627"/>
      <c r="AKR87" s="627"/>
      <c r="AKS87" s="627"/>
      <c r="AKT87" s="627"/>
      <c r="AKU87" s="627"/>
      <c r="AKV87" s="627"/>
      <c r="AKW87" s="627"/>
      <c r="AKX87" s="627"/>
      <c r="AKY87" s="627"/>
      <c r="AKZ87" s="627"/>
      <c r="ALA87" s="627"/>
      <c r="ALB87" s="627"/>
      <c r="ALC87" s="627"/>
      <c r="ALD87" s="627"/>
      <c r="ALE87" s="627"/>
      <c r="ALF87" s="627"/>
      <c r="ALG87" s="627"/>
      <c r="ALH87" s="627"/>
      <c r="ALI87" s="627"/>
      <c r="ALJ87" s="627"/>
      <c r="ALK87" s="627"/>
      <c r="ALL87" s="627"/>
      <c r="ALM87" s="627"/>
      <c r="ALN87" s="627"/>
      <c r="ALO87" s="627"/>
      <c r="ALP87" s="627"/>
      <c r="ALQ87" s="627"/>
      <c r="ALR87" s="627"/>
      <c r="ALS87" s="627"/>
      <c r="ALT87" s="627"/>
      <c r="ALU87" s="627"/>
      <c r="ALV87" s="627"/>
      <c r="ALW87" s="627"/>
      <c r="ALX87" s="627"/>
      <c r="ALY87" s="627"/>
      <c r="ALZ87" s="627"/>
      <c r="AMA87" s="627"/>
      <c r="AMB87" s="627"/>
      <c r="AMC87" s="627"/>
      <c r="AMD87" s="627"/>
      <c r="AME87" s="627"/>
      <c r="AMF87" s="627"/>
    </row>
    <row r="88" spans="1:1020" s="485" customFormat="1" ht="12.75" customHeight="1" x14ac:dyDescent="0.15">
      <c r="A88" s="627"/>
      <c r="B88" s="627"/>
      <c r="C88" s="627"/>
      <c r="D88" s="627"/>
      <c r="E88" s="627"/>
      <c r="F88" s="627"/>
      <c r="G88" s="627"/>
      <c r="H88" s="627"/>
      <c r="I88" s="627"/>
      <c r="J88" s="627"/>
      <c r="K88" s="627"/>
      <c r="L88" s="627"/>
      <c r="M88" s="627"/>
      <c r="N88" s="627"/>
      <c r="O88" s="627"/>
      <c r="P88" s="627"/>
      <c r="Q88" s="627"/>
      <c r="R88" s="627"/>
      <c r="S88" s="627"/>
      <c r="T88" s="627"/>
      <c r="U88" s="627"/>
      <c r="V88" s="627"/>
      <c r="W88" s="627"/>
      <c r="X88" s="627"/>
      <c r="Y88" s="627"/>
      <c r="Z88" s="627"/>
      <c r="AA88" s="627"/>
      <c r="AB88" s="627"/>
      <c r="AC88" s="627"/>
      <c r="AD88" s="627"/>
      <c r="AE88" s="627"/>
      <c r="AF88" s="627"/>
      <c r="AG88" s="627"/>
      <c r="AH88" s="627"/>
      <c r="AI88" s="627"/>
      <c r="AJ88" s="627"/>
      <c r="AK88" s="627"/>
      <c r="AL88" s="627"/>
      <c r="AM88" s="627"/>
      <c r="AN88" s="627"/>
      <c r="AO88" s="627"/>
      <c r="AP88" s="627" t="s">
        <v>796</v>
      </c>
      <c r="AQ88" s="627"/>
      <c r="AR88" s="627"/>
      <c r="AS88" s="627"/>
      <c r="AT88" s="627"/>
      <c r="AU88" s="627"/>
      <c r="AV88" s="627"/>
      <c r="AW88" s="627"/>
      <c r="AX88" s="627"/>
      <c r="AY88" s="627"/>
      <c r="AZ88" s="627"/>
      <c r="BA88" s="629" t="s">
        <v>1199</v>
      </c>
      <c r="BB88" s="627"/>
      <c r="BC88" s="627"/>
      <c r="BD88" s="627"/>
      <c r="BE88" s="627"/>
      <c r="BG88" s="486"/>
      <c r="BH88" s="436"/>
      <c r="BI88" s="436"/>
      <c r="BJ88" s="436"/>
      <c r="BK88" s="436"/>
      <c r="BL88" s="436"/>
      <c r="BM88" s="436"/>
      <c r="BN88" s="436"/>
      <c r="BO88" s="436"/>
      <c r="BP88" s="436"/>
      <c r="BQ88" s="436"/>
      <c r="BR88" s="436"/>
      <c r="BS88" s="436"/>
      <c r="BT88" s="436"/>
      <c r="BU88" s="436"/>
      <c r="BV88" s="627"/>
      <c r="BW88" s="627"/>
      <c r="BX88" s="627"/>
      <c r="BY88" s="627"/>
      <c r="BZ88" s="627"/>
      <c r="CA88" s="627"/>
      <c r="CB88" s="627"/>
      <c r="CC88" s="627"/>
      <c r="CD88" s="627"/>
      <c r="CE88" s="627"/>
      <c r="CF88" s="627"/>
      <c r="CG88" s="627"/>
      <c r="CH88" s="627"/>
      <c r="CI88" s="627"/>
      <c r="CJ88" s="627"/>
      <c r="CK88" s="627"/>
      <c r="CL88" s="627"/>
      <c r="CM88" s="627"/>
      <c r="CN88" s="627"/>
      <c r="CO88" s="627"/>
      <c r="CP88" s="627"/>
      <c r="CQ88" s="627"/>
      <c r="CR88" s="627"/>
      <c r="CS88" s="627"/>
      <c r="CT88" s="627"/>
      <c r="CU88" s="627"/>
      <c r="CV88" s="627"/>
      <c r="CW88" s="627"/>
      <c r="CX88" s="627"/>
      <c r="CY88" s="627"/>
      <c r="CZ88" s="627"/>
      <c r="DA88" s="627"/>
      <c r="DB88" s="627"/>
      <c r="DC88" s="627"/>
      <c r="DD88" s="627"/>
      <c r="DE88" s="627"/>
      <c r="DF88" s="627"/>
      <c r="DG88" s="627"/>
      <c r="DH88" s="627"/>
      <c r="DI88" s="627"/>
      <c r="DJ88" s="627"/>
      <c r="DK88" s="627"/>
      <c r="DL88" s="627"/>
      <c r="DM88" s="627"/>
      <c r="DN88" s="627"/>
      <c r="DO88" s="627"/>
      <c r="DP88" s="627"/>
      <c r="DQ88" s="627"/>
      <c r="DR88" s="627"/>
      <c r="DS88" s="627"/>
      <c r="DT88" s="627"/>
      <c r="DU88" s="627"/>
      <c r="DV88" s="627"/>
      <c r="DW88" s="627"/>
      <c r="DX88" s="627"/>
      <c r="DY88" s="627"/>
      <c r="DZ88" s="627"/>
      <c r="EA88" s="627"/>
      <c r="EB88" s="627"/>
      <c r="EC88" s="627"/>
      <c r="ED88" s="627"/>
      <c r="EE88" s="627"/>
      <c r="EF88" s="627"/>
      <c r="EG88" s="627"/>
      <c r="EH88" s="627"/>
      <c r="EI88" s="627"/>
      <c r="EJ88" s="627"/>
      <c r="EK88" s="627"/>
      <c r="EL88" s="627"/>
      <c r="EM88" s="627"/>
      <c r="EN88" s="627"/>
      <c r="EO88" s="627"/>
      <c r="EP88" s="627"/>
      <c r="EQ88" s="627"/>
      <c r="ER88" s="627"/>
      <c r="ES88" s="627"/>
      <c r="ET88" s="627"/>
      <c r="EU88" s="627"/>
      <c r="EV88" s="627"/>
      <c r="EW88" s="627"/>
      <c r="EX88" s="627"/>
      <c r="EY88" s="627"/>
      <c r="EZ88" s="627"/>
      <c r="FA88" s="627"/>
      <c r="FB88" s="627"/>
      <c r="FC88" s="627"/>
      <c r="FD88" s="627"/>
      <c r="FE88" s="627"/>
      <c r="FF88" s="627"/>
      <c r="FG88" s="627"/>
      <c r="FH88" s="627"/>
      <c r="FI88" s="627"/>
      <c r="FJ88" s="627"/>
      <c r="FK88" s="627"/>
      <c r="FL88" s="627"/>
      <c r="FM88" s="627"/>
      <c r="FN88" s="627"/>
      <c r="FO88" s="627"/>
      <c r="FP88" s="627"/>
      <c r="FQ88" s="627"/>
      <c r="FR88" s="627"/>
      <c r="FS88" s="627"/>
      <c r="FT88" s="627"/>
      <c r="FU88" s="627"/>
      <c r="FV88" s="627"/>
      <c r="FW88" s="627"/>
      <c r="FX88" s="627"/>
      <c r="FY88" s="627"/>
      <c r="FZ88" s="627"/>
      <c r="GA88" s="627"/>
      <c r="GB88" s="627"/>
      <c r="GC88" s="627"/>
      <c r="GD88" s="627"/>
      <c r="GE88" s="627"/>
      <c r="GF88" s="627"/>
      <c r="GG88" s="627"/>
      <c r="GH88" s="627"/>
      <c r="GI88" s="627"/>
      <c r="GJ88" s="627"/>
      <c r="GK88" s="627"/>
      <c r="GL88" s="627"/>
      <c r="GM88" s="627"/>
      <c r="GN88" s="627"/>
      <c r="GO88" s="627"/>
      <c r="GP88" s="627"/>
      <c r="GQ88" s="627"/>
      <c r="GR88" s="627"/>
      <c r="GS88" s="627"/>
      <c r="GT88" s="627"/>
      <c r="GU88" s="627"/>
      <c r="GV88" s="627"/>
      <c r="GW88" s="627"/>
      <c r="GX88" s="627"/>
      <c r="GY88" s="627"/>
      <c r="GZ88" s="627"/>
      <c r="HA88" s="627"/>
      <c r="HB88" s="627"/>
      <c r="HC88" s="627"/>
      <c r="HD88" s="627"/>
      <c r="HE88" s="627"/>
      <c r="HF88" s="627"/>
      <c r="HG88" s="627"/>
      <c r="HH88" s="627"/>
      <c r="HI88" s="627"/>
      <c r="HJ88" s="627"/>
      <c r="HK88" s="627"/>
      <c r="HL88" s="627"/>
      <c r="HM88" s="627"/>
      <c r="HN88" s="627"/>
      <c r="HO88" s="627"/>
      <c r="HP88" s="627"/>
      <c r="HQ88" s="627"/>
      <c r="HR88" s="627"/>
      <c r="HS88" s="627"/>
      <c r="HT88" s="627"/>
      <c r="HU88" s="627"/>
      <c r="HV88" s="627"/>
      <c r="HW88" s="627"/>
      <c r="HX88" s="627"/>
      <c r="HY88" s="627"/>
      <c r="HZ88" s="627"/>
      <c r="IA88" s="627"/>
      <c r="IB88" s="627"/>
      <c r="IC88" s="627"/>
      <c r="ID88" s="627"/>
      <c r="IE88" s="627"/>
      <c r="IF88" s="627"/>
      <c r="IG88" s="627"/>
      <c r="IH88" s="627"/>
      <c r="II88" s="627"/>
      <c r="IJ88" s="627"/>
      <c r="IK88" s="627"/>
      <c r="IL88" s="627"/>
      <c r="IM88" s="627"/>
      <c r="IN88" s="627"/>
      <c r="IO88" s="627"/>
      <c r="IP88" s="627"/>
      <c r="IQ88" s="627"/>
      <c r="IR88" s="627"/>
      <c r="IS88" s="627"/>
      <c r="IT88" s="627"/>
      <c r="IU88" s="627"/>
      <c r="IV88" s="627"/>
      <c r="IW88" s="627"/>
      <c r="IX88" s="627"/>
      <c r="IY88" s="627"/>
      <c r="IZ88" s="627"/>
      <c r="JA88" s="627"/>
      <c r="JB88" s="627"/>
      <c r="JC88" s="627"/>
      <c r="JD88" s="627"/>
      <c r="JE88" s="627"/>
      <c r="JF88" s="627"/>
      <c r="JG88" s="627"/>
      <c r="JH88" s="627"/>
      <c r="JI88" s="627"/>
      <c r="JJ88" s="627"/>
      <c r="JK88" s="627"/>
      <c r="JL88" s="627"/>
      <c r="JM88" s="627"/>
      <c r="JN88" s="627"/>
      <c r="JO88" s="627"/>
      <c r="JP88" s="627"/>
      <c r="JQ88" s="627"/>
      <c r="JR88" s="627"/>
      <c r="JS88" s="627"/>
      <c r="JT88" s="627"/>
      <c r="JU88" s="627"/>
      <c r="JV88" s="627"/>
      <c r="JW88" s="627"/>
      <c r="JX88" s="627"/>
      <c r="JY88" s="627"/>
      <c r="JZ88" s="627"/>
      <c r="KA88" s="627"/>
      <c r="KB88" s="627"/>
      <c r="KC88" s="627"/>
      <c r="KD88" s="627"/>
      <c r="KE88" s="627"/>
      <c r="KF88" s="627"/>
      <c r="KG88" s="627"/>
      <c r="KH88" s="627"/>
      <c r="KI88" s="627"/>
      <c r="KJ88" s="627"/>
      <c r="KK88" s="627"/>
      <c r="KL88" s="627"/>
      <c r="KM88" s="627"/>
      <c r="KN88" s="627"/>
      <c r="KO88" s="627"/>
      <c r="KP88" s="627"/>
      <c r="KQ88" s="627"/>
      <c r="KR88" s="627"/>
      <c r="KS88" s="627"/>
      <c r="KT88" s="627"/>
      <c r="KU88" s="627"/>
      <c r="KV88" s="627"/>
      <c r="KW88" s="627"/>
      <c r="KX88" s="627"/>
      <c r="KY88" s="627"/>
      <c r="KZ88" s="627"/>
      <c r="LA88" s="627"/>
      <c r="LB88" s="627"/>
      <c r="LC88" s="627"/>
      <c r="LD88" s="627"/>
      <c r="LE88" s="627"/>
      <c r="LF88" s="627"/>
      <c r="LG88" s="627"/>
      <c r="LH88" s="627"/>
      <c r="LI88" s="627"/>
      <c r="LJ88" s="627"/>
      <c r="LK88" s="627"/>
      <c r="LL88" s="627"/>
      <c r="LM88" s="627"/>
      <c r="LN88" s="627"/>
      <c r="LO88" s="627"/>
      <c r="LP88" s="627"/>
      <c r="LQ88" s="627"/>
      <c r="LR88" s="627"/>
      <c r="LS88" s="627"/>
      <c r="LT88" s="627"/>
      <c r="LU88" s="627"/>
      <c r="LV88" s="627"/>
      <c r="LW88" s="627"/>
      <c r="LX88" s="627"/>
      <c r="LY88" s="627"/>
      <c r="LZ88" s="627"/>
      <c r="MA88" s="627"/>
      <c r="MB88" s="627"/>
      <c r="MC88" s="627"/>
      <c r="MD88" s="627"/>
      <c r="ME88" s="627"/>
      <c r="MF88" s="627"/>
      <c r="MG88" s="627"/>
      <c r="MH88" s="627"/>
      <c r="MI88" s="627"/>
      <c r="MJ88" s="627"/>
      <c r="MK88" s="627"/>
      <c r="ML88" s="627"/>
      <c r="MM88" s="627"/>
      <c r="MN88" s="627"/>
      <c r="MO88" s="627"/>
      <c r="MP88" s="627"/>
      <c r="MQ88" s="627"/>
      <c r="MR88" s="627"/>
      <c r="MS88" s="627"/>
      <c r="MT88" s="627"/>
      <c r="MU88" s="627"/>
      <c r="MV88" s="627"/>
      <c r="MW88" s="627"/>
      <c r="MX88" s="627"/>
      <c r="MY88" s="627"/>
      <c r="MZ88" s="627"/>
      <c r="NA88" s="627"/>
      <c r="NB88" s="627"/>
      <c r="NC88" s="627"/>
      <c r="ND88" s="627"/>
      <c r="NE88" s="627"/>
      <c r="NF88" s="627"/>
      <c r="NG88" s="627"/>
      <c r="NH88" s="627"/>
      <c r="NI88" s="627"/>
      <c r="NJ88" s="627"/>
      <c r="NK88" s="627"/>
      <c r="NL88" s="627"/>
      <c r="NM88" s="627"/>
      <c r="NN88" s="627"/>
      <c r="NO88" s="627"/>
      <c r="NP88" s="627"/>
      <c r="NQ88" s="627"/>
      <c r="NR88" s="627"/>
      <c r="NS88" s="627"/>
      <c r="NT88" s="627"/>
      <c r="NU88" s="627"/>
      <c r="NV88" s="627"/>
      <c r="NW88" s="627"/>
      <c r="NX88" s="627"/>
      <c r="NY88" s="627"/>
      <c r="NZ88" s="627"/>
      <c r="OA88" s="627"/>
      <c r="OB88" s="627"/>
      <c r="OC88" s="627"/>
      <c r="OD88" s="627"/>
      <c r="OE88" s="627"/>
      <c r="OF88" s="627"/>
      <c r="OG88" s="627"/>
      <c r="OH88" s="627"/>
      <c r="OI88" s="627"/>
      <c r="OJ88" s="627"/>
      <c r="OK88" s="627"/>
      <c r="OL88" s="627"/>
      <c r="OM88" s="627"/>
      <c r="ON88" s="627"/>
      <c r="OO88" s="627"/>
      <c r="OP88" s="627"/>
      <c r="OQ88" s="627"/>
      <c r="OR88" s="627"/>
      <c r="OS88" s="627"/>
      <c r="OT88" s="627"/>
      <c r="OU88" s="627"/>
      <c r="OV88" s="627"/>
      <c r="OW88" s="627"/>
      <c r="OX88" s="627"/>
      <c r="OY88" s="627"/>
      <c r="OZ88" s="627"/>
      <c r="PA88" s="627"/>
      <c r="PB88" s="627"/>
      <c r="PC88" s="627"/>
      <c r="PD88" s="627"/>
      <c r="PE88" s="627"/>
      <c r="PF88" s="627"/>
      <c r="PG88" s="627"/>
      <c r="PH88" s="627"/>
      <c r="PI88" s="627"/>
      <c r="PJ88" s="627"/>
      <c r="PK88" s="627"/>
      <c r="PL88" s="627"/>
      <c r="PM88" s="627"/>
      <c r="PN88" s="627"/>
      <c r="PO88" s="627"/>
      <c r="PP88" s="627"/>
      <c r="PQ88" s="627"/>
      <c r="PR88" s="627"/>
      <c r="PS88" s="627"/>
      <c r="PT88" s="627"/>
      <c r="PU88" s="627"/>
      <c r="PV88" s="627"/>
      <c r="PW88" s="627"/>
      <c r="PX88" s="627"/>
      <c r="PY88" s="627"/>
      <c r="PZ88" s="627"/>
      <c r="QA88" s="627"/>
      <c r="QB88" s="627"/>
      <c r="QC88" s="627"/>
      <c r="QD88" s="627"/>
      <c r="QE88" s="627"/>
      <c r="QF88" s="627"/>
      <c r="QG88" s="627"/>
      <c r="QH88" s="627"/>
      <c r="QI88" s="627"/>
      <c r="QJ88" s="627"/>
      <c r="QK88" s="627"/>
      <c r="QL88" s="627"/>
      <c r="QM88" s="627"/>
      <c r="QN88" s="627"/>
      <c r="QO88" s="627"/>
      <c r="QP88" s="627"/>
      <c r="QQ88" s="627"/>
      <c r="QR88" s="627"/>
      <c r="QS88" s="627"/>
      <c r="QT88" s="627"/>
      <c r="QU88" s="627"/>
      <c r="QV88" s="627"/>
      <c r="QW88" s="627"/>
      <c r="QX88" s="627"/>
      <c r="QY88" s="627"/>
      <c r="QZ88" s="627"/>
      <c r="RA88" s="627"/>
      <c r="RB88" s="627"/>
      <c r="RC88" s="627"/>
      <c r="RD88" s="627"/>
      <c r="RE88" s="627"/>
      <c r="RF88" s="627"/>
      <c r="RG88" s="627"/>
      <c r="RH88" s="627"/>
      <c r="RI88" s="627"/>
      <c r="RJ88" s="627"/>
      <c r="RK88" s="627"/>
      <c r="RL88" s="627"/>
      <c r="RM88" s="627"/>
      <c r="RN88" s="627"/>
      <c r="RO88" s="627"/>
      <c r="RP88" s="627"/>
      <c r="RQ88" s="627"/>
      <c r="RR88" s="627"/>
      <c r="RS88" s="627"/>
      <c r="RT88" s="627"/>
      <c r="RU88" s="627"/>
      <c r="RV88" s="627"/>
      <c r="RW88" s="627"/>
      <c r="RX88" s="627"/>
      <c r="RY88" s="627"/>
      <c r="RZ88" s="627"/>
      <c r="SA88" s="627"/>
      <c r="SB88" s="627"/>
      <c r="SC88" s="627"/>
      <c r="SD88" s="627"/>
      <c r="SE88" s="627"/>
      <c r="SF88" s="627"/>
      <c r="SG88" s="627"/>
      <c r="SH88" s="627"/>
      <c r="SI88" s="627"/>
      <c r="SJ88" s="627"/>
      <c r="SK88" s="627"/>
      <c r="SL88" s="627"/>
      <c r="SM88" s="627"/>
      <c r="SN88" s="627"/>
      <c r="SO88" s="627"/>
      <c r="SP88" s="627"/>
      <c r="SQ88" s="627"/>
      <c r="SR88" s="627"/>
      <c r="SS88" s="627"/>
      <c r="ST88" s="627"/>
      <c r="SU88" s="627"/>
      <c r="SV88" s="627"/>
      <c r="SW88" s="627"/>
      <c r="SX88" s="627"/>
      <c r="SY88" s="627"/>
      <c r="SZ88" s="627"/>
      <c r="TA88" s="627"/>
      <c r="TB88" s="627"/>
      <c r="TC88" s="627"/>
      <c r="TD88" s="627"/>
      <c r="TE88" s="627"/>
      <c r="TF88" s="627"/>
      <c r="TG88" s="627"/>
      <c r="TH88" s="627"/>
      <c r="TI88" s="627"/>
      <c r="TJ88" s="627"/>
      <c r="TK88" s="627"/>
      <c r="TL88" s="627"/>
      <c r="TM88" s="627"/>
      <c r="TN88" s="627"/>
      <c r="TO88" s="627"/>
      <c r="TP88" s="627"/>
      <c r="TQ88" s="627"/>
      <c r="TR88" s="627"/>
      <c r="TS88" s="627"/>
      <c r="TT88" s="627"/>
      <c r="TU88" s="627"/>
      <c r="TV88" s="627"/>
      <c r="TW88" s="627"/>
      <c r="TX88" s="627"/>
      <c r="TY88" s="627"/>
      <c r="TZ88" s="627"/>
      <c r="UA88" s="627"/>
      <c r="UB88" s="627"/>
      <c r="UC88" s="627"/>
      <c r="UD88" s="627"/>
      <c r="UE88" s="627"/>
      <c r="UF88" s="627"/>
      <c r="UG88" s="627"/>
      <c r="UH88" s="627"/>
      <c r="UI88" s="627"/>
      <c r="UJ88" s="627"/>
      <c r="UK88" s="627"/>
      <c r="UL88" s="627"/>
      <c r="UM88" s="627"/>
      <c r="UN88" s="627"/>
      <c r="UO88" s="627"/>
      <c r="UP88" s="627"/>
      <c r="UQ88" s="627"/>
      <c r="UR88" s="627"/>
      <c r="US88" s="627"/>
      <c r="UT88" s="627"/>
      <c r="UU88" s="627"/>
      <c r="UV88" s="627"/>
      <c r="UW88" s="627"/>
      <c r="UX88" s="627"/>
      <c r="UY88" s="627"/>
      <c r="UZ88" s="627"/>
      <c r="VA88" s="627"/>
      <c r="VB88" s="627"/>
      <c r="VC88" s="627"/>
      <c r="VD88" s="627"/>
      <c r="VE88" s="627"/>
      <c r="VF88" s="627"/>
      <c r="VG88" s="627"/>
      <c r="VH88" s="627"/>
      <c r="VI88" s="627"/>
      <c r="VJ88" s="627"/>
      <c r="VK88" s="627"/>
      <c r="VL88" s="627"/>
      <c r="VM88" s="627"/>
      <c r="VN88" s="627"/>
      <c r="VO88" s="627"/>
      <c r="VP88" s="627"/>
      <c r="VQ88" s="627"/>
      <c r="VR88" s="627"/>
      <c r="VS88" s="627"/>
      <c r="VT88" s="627"/>
      <c r="VU88" s="627"/>
      <c r="VV88" s="627"/>
      <c r="VW88" s="627"/>
      <c r="VX88" s="627"/>
      <c r="VY88" s="627"/>
      <c r="VZ88" s="627"/>
      <c r="WA88" s="627"/>
      <c r="WB88" s="627"/>
      <c r="WC88" s="627"/>
      <c r="WD88" s="627"/>
      <c r="WE88" s="627"/>
      <c r="WF88" s="627"/>
      <c r="WG88" s="627"/>
      <c r="WH88" s="627"/>
      <c r="WI88" s="627"/>
      <c r="WJ88" s="627"/>
      <c r="WK88" s="627"/>
      <c r="WL88" s="627"/>
      <c r="WM88" s="627"/>
      <c r="WN88" s="627"/>
      <c r="WO88" s="627"/>
      <c r="WP88" s="627"/>
      <c r="WQ88" s="627"/>
      <c r="WR88" s="627"/>
      <c r="WS88" s="627"/>
      <c r="WT88" s="627"/>
      <c r="WU88" s="627"/>
      <c r="WV88" s="627"/>
      <c r="WW88" s="627"/>
      <c r="WX88" s="627"/>
      <c r="WY88" s="627"/>
      <c r="WZ88" s="627"/>
      <c r="XA88" s="627"/>
      <c r="XB88" s="627"/>
      <c r="XC88" s="627"/>
      <c r="XD88" s="627"/>
      <c r="XE88" s="627"/>
      <c r="XF88" s="627"/>
      <c r="XG88" s="627"/>
      <c r="XH88" s="627"/>
      <c r="XI88" s="627"/>
      <c r="XJ88" s="627"/>
      <c r="XK88" s="627"/>
      <c r="XL88" s="627"/>
      <c r="XM88" s="627"/>
      <c r="XN88" s="627"/>
      <c r="XO88" s="627"/>
      <c r="XP88" s="627"/>
      <c r="XQ88" s="627"/>
      <c r="XR88" s="627"/>
      <c r="XS88" s="627"/>
      <c r="XT88" s="627"/>
      <c r="XU88" s="627"/>
      <c r="XV88" s="627"/>
      <c r="XW88" s="627"/>
      <c r="XX88" s="627"/>
      <c r="XY88" s="627"/>
      <c r="XZ88" s="627"/>
      <c r="YA88" s="627"/>
      <c r="YB88" s="627"/>
      <c r="YC88" s="627"/>
      <c r="YD88" s="627"/>
      <c r="YE88" s="627"/>
      <c r="YF88" s="627"/>
      <c r="YG88" s="627"/>
      <c r="YH88" s="627"/>
      <c r="YI88" s="627"/>
      <c r="YJ88" s="627"/>
      <c r="YK88" s="627"/>
      <c r="YL88" s="627"/>
      <c r="YM88" s="627"/>
      <c r="YN88" s="627"/>
      <c r="YO88" s="627"/>
      <c r="YP88" s="627"/>
      <c r="YQ88" s="627"/>
      <c r="YR88" s="627"/>
      <c r="YS88" s="627"/>
      <c r="YT88" s="627"/>
      <c r="YU88" s="627"/>
      <c r="YV88" s="627"/>
      <c r="YW88" s="627"/>
      <c r="YX88" s="627"/>
      <c r="YY88" s="627"/>
      <c r="YZ88" s="627"/>
      <c r="ZA88" s="627"/>
      <c r="ZB88" s="627"/>
      <c r="ZC88" s="627"/>
      <c r="ZD88" s="627"/>
      <c r="ZE88" s="627"/>
      <c r="ZF88" s="627"/>
      <c r="ZG88" s="627"/>
      <c r="ZH88" s="627"/>
      <c r="ZI88" s="627"/>
      <c r="ZJ88" s="627"/>
      <c r="ZK88" s="627"/>
      <c r="ZL88" s="627"/>
      <c r="ZM88" s="627"/>
      <c r="ZN88" s="627"/>
      <c r="ZO88" s="627"/>
      <c r="ZP88" s="627"/>
      <c r="ZQ88" s="627"/>
      <c r="ZR88" s="627"/>
      <c r="ZS88" s="627"/>
      <c r="ZT88" s="627"/>
      <c r="ZU88" s="627"/>
      <c r="ZV88" s="627"/>
      <c r="ZW88" s="627"/>
      <c r="ZX88" s="627"/>
      <c r="ZY88" s="627"/>
      <c r="ZZ88" s="627"/>
      <c r="AAA88" s="627"/>
      <c r="AAB88" s="627"/>
      <c r="AAC88" s="627"/>
      <c r="AAD88" s="627"/>
      <c r="AAE88" s="627"/>
      <c r="AAF88" s="627"/>
      <c r="AAG88" s="627"/>
      <c r="AAH88" s="627"/>
      <c r="AAI88" s="627"/>
      <c r="AAJ88" s="627"/>
      <c r="AAK88" s="627"/>
      <c r="AAL88" s="627"/>
      <c r="AAM88" s="627"/>
      <c r="AAN88" s="627"/>
      <c r="AAO88" s="627"/>
      <c r="AAP88" s="627"/>
      <c r="AAQ88" s="627"/>
      <c r="AAR88" s="627"/>
      <c r="AAS88" s="627"/>
      <c r="AAT88" s="627"/>
      <c r="AAU88" s="627"/>
      <c r="AAV88" s="627"/>
      <c r="AAW88" s="627"/>
      <c r="AAX88" s="627"/>
      <c r="AAY88" s="627"/>
      <c r="AAZ88" s="627"/>
      <c r="ABA88" s="627"/>
      <c r="ABB88" s="627"/>
      <c r="ABC88" s="627"/>
      <c r="ABD88" s="627"/>
      <c r="ABE88" s="627"/>
      <c r="ABF88" s="627"/>
      <c r="ABG88" s="627"/>
      <c r="ABH88" s="627"/>
      <c r="ABI88" s="627"/>
      <c r="ABJ88" s="627"/>
      <c r="ABK88" s="627"/>
      <c r="ABL88" s="627"/>
      <c r="ABM88" s="627"/>
      <c r="ABN88" s="627"/>
      <c r="ABO88" s="627"/>
      <c r="ABP88" s="627"/>
      <c r="ABQ88" s="627"/>
      <c r="ABR88" s="627"/>
      <c r="ABS88" s="627"/>
      <c r="ABT88" s="627"/>
      <c r="ABU88" s="627"/>
      <c r="ABV88" s="627"/>
      <c r="ABW88" s="627"/>
      <c r="ABX88" s="627"/>
      <c r="ABY88" s="627"/>
      <c r="ABZ88" s="627"/>
      <c r="ACA88" s="627"/>
      <c r="ACB88" s="627"/>
      <c r="ACC88" s="627"/>
      <c r="ACD88" s="627"/>
      <c r="ACE88" s="627"/>
      <c r="ACF88" s="627"/>
      <c r="ACG88" s="627"/>
      <c r="ACH88" s="627"/>
      <c r="ACI88" s="627"/>
      <c r="ACJ88" s="627"/>
      <c r="ACK88" s="627"/>
      <c r="ACL88" s="627"/>
      <c r="ACM88" s="627"/>
      <c r="ACN88" s="627"/>
      <c r="ACO88" s="627"/>
      <c r="ACP88" s="627"/>
      <c r="ACQ88" s="627"/>
      <c r="ACR88" s="627"/>
      <c r="ACS88" s="627"/>
      <c r="ACT88" s="627"/>
      <c r="ACU88" s="627"/>
      <c r="ACV88" s="627"/>
      <c r="ACW88" s="627"/>
      <c r="ACX88" s="627"/>
      <c r="ACY88" s="627"/>
      <c r="ACZ88" s="627"/>
      <c r="ADA88" s="627"/>
      <c r="ADB88" s="627"/>
      <c r="ADC88" s="627"/>
      <c r="ADD88" s="627"/>
      <c r="ADE88" s="627"/>
      <c r="ADF88" s="627"/>
      <c r="ADG88" s="627"/>
      <c r="ADH88" s="627"/>
      <c r="ADI88" s="627"/>
      <c r="ADJ88" s="627"/>
      <c r="ADK88" s="627"/>
      <c r="ADL88" s="627"/>
      <c r="ADM88" s="627"/>
      <c r="ADN88" s="627"/>
      <c r="ADO88" s="627"/>
      <c r="ADP88" s="627"/>
      <c r="ADQ88" s="627"/>
      <c r="ADR88" s="627"/>
      <c r="ADS88" s="627"/>
      <c r="ADT88" s="627"/>
      <c r="ADU88" s="627"/>
      <c r="ADV88" s="627"/>
      <c r="ADW88" s="627"/>
      <c r="ADX88" s="627"/>
      <c r="ADY88" s="627"/>
      <c r="ADZ88" s="627"/>
      <c r="AEA88" s="627"/>
      <c r="AEB88" s="627"/>
      <c r="AEC88" s="627"/>
      <c r="AED88" s="627"/>
      <c r="AEE88" s="627"/>
      <c r="AEF88" s="627"/>
      <c r="AEG88" s="627"/>
      <c r="AEH88" s="627"/>
      <c r="AEI88" s="627"/>
      <c r="AEJ88" s="627"/>
      <c r="AEK88" s="627"/>
      <c r="AEL88" s="627"/>
      <c r="AEM88" s="627"/>
      <c r="AEN88" s="627"/>
      <c r="AEO88" s="627"/>
      <c r="AEP88" s="627"/>
      <c r="AEQ88" s="627"/>
      <c r="AER88" s="627"/>
      <c r="AES88" s="627"/>
      <c r="AET88" s="627"/>
      <c r="AEU88" s="627"/>
      <c r="AEV88" s="627"/>
      <c r="AEW88" s="627"/>
      <c r="AEX88" s="627"/>
      <c r="AEY88" s="627"/>
      <c r="AEZ88" s="627"/>
      <c r="AFA88" s="627"/>
      <c r="AFB88" s="627"/>
      <c r="AFC88" s="627"/>
      <c r="AFD88" s="627"/>
      <c r="AFE88" s="627"/>
      <c r="AFF88" s="627"/>
      <c r="AFG88" s="627"/>
      <c r="AFH88" s="627"/>
      <c r="AFI88" s="627"/>
      <c r="AFJ88" s="627"/>
      <c r="AFK88" s="627"/>
      <c r="AFL88" s="627"/>
      <c r="AFM88" s="627"/>
      <c r="AFN88" s="627"/>
      <c r="AFO88" s="627"/>
      <c r="AFP88" s="627"/>
      <c r="AFQ88" s="627"/>
      <c r="AFR88" s="627"/>
      <c r="AFS88" s="627"/>
      <c r="AFT88" s="627"/>
      <c r="AFU88" s="627"/>
      <c r="AFV88" s="627"/>
      <c r="AFW88" s="627"/>
      <c r="AFX88" s="627"/>
      <c r="AFY88" s="627"/>
      <c r="AFZ88" s="627"/>
      <c r="AGA88" s="627"/>
      <c r="AGB88" s="627"/>
      <c r="AGC88" s="627"/>
      <c r="AGD88" s="627"/>
      <c r="AGE88" s="627"/>
      <c r="AGF88" s="627"/>
      <c r="AGG88" s="627"/>
      <c r="AGH88" s="627"/>
      <c r="AGI88" s="627"/>
      <c r="AGJ88" s="627"/>
      <c r="AGK88" s="627"/>
      <c r="AGL88" s="627"/>
      <c r="AGM88" s="627"/>
      <c r="AGN88" s="627"/>
      <c r="AGO88" s="627"/>
      <c r="AGP88" s="627"/>
      <c r="AGQ88" s="627"/>
      <c r="AGR88" s="627"/>
      <c r="AGS88" s="627"/>
      <c r="AGT88" s="627"/>
      <c r="AGU88" s="627"/>
      <c r="AGV88" s="627"/>
      <c r="AGW88" s="627"/>
      <c r="AGX88" s="627"/>
      <c r="AGY88" s="627"/>
      <c r="AGZ88" s="627"/>
      <c r="AHA88" s="627"/>
      <c r="AHB88" s="627"/>
      <c r="AHC88" s="627"/>
      <c r="AHD88" s="627"/>
      <c r="AHE88" s="627"/>
      <c r="AHF88" s="627"/>
      <c r="AHG88" s="627"/>
      <c r="AHH88" s="627"/>
      <c r="AHI88" s="627"/>
      <c r="AHJ88" s="627"/>
      <c r="AHK88" s="627"/>
      <c r="AHL88" s="627"/>
      <c r="AHM88" s="627"/>
      <c r="AHN88" s="627"/>
      <c r="AHO88" s="627"/>
      <c r="AHP88" s="627"/>
      <c r="AHQ88" s="627"/>
      <c r="AHR88" s="627"/>
      <c r="AHS88" s="627"/>
      <c r="AHT88" s="627"/>
      <c r="AHU88" s="627"/>
      <c r="AHV88" s="627"/>
      <c r="AHW88" s="627"/>
      <c r="AHX88" s="627"/>
      <c r="AHY88" s="627"/>
      <c r="AHZ88" s="627"/>
      <c r="AIA88" s="627"/>
      <c r="AIB88" s="627"/>
      <c r="AIC88" s="627"/>
      <c r="AID88" s="627"/>
      <c r="AIE88" s="627"/>
      <c r="AIF88" s="627"/>
      <c r="AIG88" s="627"/>
      <c r="AIH88" s="627"/>
      <c r="AII88" s="627"/>
      <c r="AIJ88" s="627"/>
      <c r="AIK88" s="627"/>
      <c r="AIL88" s="627"/>
      <c r="AIM88" s="627"/>
      <c r="AIN88" s="627"/>
      <c r="AIO88" s="627"/>
      <c r="AIP88" s="627"/>
      <c r="AIQ88" s="627"/>
      <c r="AIR88" s="627"/>
      <c r="AIS88" s="627"/>
      <c r="AIT88" s="627"/>
      <c r="AIU88" s="627"/>
      <c r="AIV88" s="627"/>
      <c r="AIW88" s="627"/>
      <c r="AIX88" s="627"/>
      <c r="AIY88" s="627"/>
      <c r="AIZ88" s="627"/>
      <c r="AJA88" s="627"/>
      <c r="AJB88" s="627"/>
      <c r="AJC88" s="627"/>
      <c r="AJD88" s="627"/>
      <c r="AJE88" s="627"/>
      <c r="AJF88" s="627"/>
      <c r="AJG88" s="627"/>
      <c r="AJH88" s="627"/>
      <c r="AJI88" s="627"/>
      <c r="AJJ88" s="627"/>
      <c r="AJK88" s="627"/>
      <c r="AJL88" s="627"/>
      <c r="AJM88" s="627"/>
      <c r="AJN88" s="627"/>
      <c r="AJO88" s="627"/>
      <c r="AJP88" s="627"/>
      <c r="AJQ88" s="627"/>
      <c r="AJR88" s="627"/>
      <c r="AJS88" s="627"/>
      <c r="AJT88" s="627"/>
      <c r="AJU88" s="627"/>
      <c r="AJV88" s="627"/>
      <c r="AJW88" s="627"/>
      <c r="AJX88" s="627"/>
      <c r="AJY88" s="627"/>
      <c r="AJZ88" s="627"/>
      <c r="AKA88" s="627"/>
      <c r="AKB88" s="627"/>
      <c r="AKC88" s="627"/>
      <c r="AKD88" s="627"/>
      <c r="AKE88" s="627"/>
      <c r="AKF88" s="627"/>
      <c r="AKG88" s="627"/>
      <c r="AKH88" s="627"/>
      <c r="AKI88" s="627"/>
      <c r="AKJ88" s="627"/>
      <c r="AKK88" s="627"/>
      <c r="AKL88" s="627"/>
      <c r="AKM88" s="627"/>
      <c r="AKN88" s="627"/>
      <c r="AKO88" s="627"/>
      <c r="AKP88" s="627"/>
      <c r="AKQ88" s="627"/>
      <c r="AKR88" s="627"/>
      <c r="AKS88" s="627"/>
      <c r="AKT88" s="627"/>
      <c r="AKU88" s="627"/>
      <c r="AKV88" s="627"/>
      <c r="AKW88" s="627"/>
      <c r="AKX88" s="627"/>
      <c r="AKY88" s="627"/>
      <c r="AKZ88" s="627"/>
      <c r="ALA88" s="627"/>
      <c r="ALB88" s="627"/>
      <c r="ALC88" s="627"/>
      <c r="ALD88" s="627"/>
      <c r="ALE88" s="627"/>
      <c r="ALF88" s="627"/>
      <c r="ALG88" s="627"/>
      <c r="ALH88" s="627"/>
      <c r="ALI88" s="627"/>
      <c r="ALJ88" s="627"/>
      <c r="ALK88" s="627"/>
      <c r="ALL88" s="627"/>
      <c r="ALM88" s="627"/>
      <c r="ALN88" s="627"/>
      <c r="ALO88" s="627"/>
      <c r="ALP88" s="627"/>
      <c r="ALQ88" s="627"/>
      <c r="ALR88" s="627"/>
      <c r="ALS88" s="627"/>
      <c r="ALT88" s="627"/>
      <c r="ALU88" s="627"/>
      <c r="ALV88" s="627"/>
      <c r="ALW88" s="627"/>
      <c r="ALX88" s="627"/>
      <c r="ALY88" s="627"/>
      <c r="ALZ88" s="627"/>
      <c r="AMA88" s="627"/>
      <c r="AMB88" s="627"/>
      <c r="AMC88" s="627"/>
      <c r="AMD88" s="627"/>
      <c r="AME88" s="627"/>
      <c r="AMF88" s="627"/>
    </row>
    <row r="89" spans="1:1020" s="485" customFormat="1" ht="12.75" customHeight="1" x14ac:dyDescent="0.15">
      <c r="A89" s="627"/>
      <c r="B89" s="627"/>
      <c r="C89" s="627"/>
      <c r="D89" s="627"/>
      <c r="E89" s="627"/>
      <c r="F89" s="627"/>
      <c r="G89" s="627"/>
      <c r="H89" s="627"/>
      <c r="I89" s="627"/>
      <c r="J89" s="627"/>
      <c r="K89" s="627"/>
      <c r="L89" s="627"/>
      <c r="M89" s="627"/>
      <c r="N89" s="627"/>
      <c r="O89" s="627"/>
      <c r="P89" s="627"/>
      <c r="Q89" s="627"/>
      <c r="R89" s="627"/>
      <c r="S89" s="627"/>
      <c r="T89" s="627"/>
      <c r="U89" s="627"/>
      <c r="V89" s="627"/>
      <c r="W89" s="627"/>
      <c r="X89" s="627"/>
      <c r="Y89" s="627"/>
      <c r="Z89" s="627"/>
      <c r="AA89" s="627"/>
      <c r="AB89" s="627"/>
      <c r="AC89" s="627"/>
      <c r="AD89" s="627"/>
      <c r="AE89" s="627"/>
      <c r="AF89" s="627"/>
      <c r="AG89" s="627"/>
      <c r="AH89" s="627"/>
      <c r="AI89" s="627"/>
      <c r="AJ89" s="627"/>
      <c r="AK89" s="627"/>
      <c r="AL89" s="627"/>
      <c r="AM89" s="627"/>
      <c r="AN89" s="627"/>
      <c r="AO89" s="627"/>
      <c r="AP89" s="627" t="s">
        <v>795</v>
      </c>
      <c r="AQ89" s="627"/>
      <c r="AR89" s="627"/>
      <c r="AS89" s="627"/>
      <c r="AT89" s="627"/>
      <c r="AU89" s="627"/>
      <c r="AV89" s="627"/>
      <c r="AW89" s="627"/>
      <c r="AX89" s="627"/>
      <c r="AY89" s="627"/>
      <c r="AZ89" s="627"/>
      <c r="BA89" s="629" t="s">
        <v>1198</v>
      </c>
      <c r="BB89" s="627"/>
      <c r="BC89" s="627"/>
      <c r="BD89" s="627"/>
      <c r="BE89" s="627"/>
      <c r="BG89" s="486"/>
      <c r="BH89" s="436"/>
      <c r="BI89" s="436"/>
      <c r="BJ89" s="436"/>
      <c r="BK89" s="436"/>
      <c r="BL89" s="436"/>
      <c r="BM89" s="436"/>
      <c r="BN89" s="436"/>
      <c r="BO89" s="436"/>
      <c r="BP89" s="436"/>
      <c r="BQ89" s="436"/>
      <c r="BR89" s="436"/>
      <c r="BS89" s="436"/>
      <c r="BT89" s="436"/>
      <c r="BU89" s="436"/>
      <c r="BV89" s="627"/>
      <c r="BW89" s="627"/>
      <c r="BX89" s="627"/>
      <c r="BY89" s="627"/>
      <c r="BZ89" s="627"/>
      <c r="CA89" s="627"/>
      <c r="CB89" s="627"/>
      <c r="CC89" s="627"/>
      <c r="CD89" s="627"/>
      <c r="CE89" s="627"/>
      <c r="CF89" s="627"/>
      <c r="CG89" s="627"/>
      <c r="CH89" s="627"/>
      <c r="CI89" s="627"/>
      <c r="CJ89" s="627"/>
      <c r="CK89" s="627"/>
      <c r="CL89" s="627"/>
      <c r="CM89" s="627"/>
      <c r="CN89" s="627"/>
      <c r="CO89" s="627"/>
      <c r="CP89" s="627"/>
      <c r="CQ89" s="627"/>
      <c r="CR89" s="627"/>
      <c r="CS89" s="627"/>
      <c r="CT89" s="627"/>
      <c r="CU89" s="627"/>
      <c r="CV89" s="627"/>
      <c r="CW89" s="627"/>
      <c r="CX89" s="627"/>
      <c r="CY89" s="627"/>
      <c r="CZ89" s="627"/>
      <c r="DA89" s="627"/>
      <c r="DB89" s="627"/>
      <c r="DC89" s="627"/>
      <c r="DD89" s="627"/>
      <c r="DE89" s="627"/>
      <c r="DF89" s="627"/>
      <c r="DG89" s="627"/>
      <c r="DH89" s="627"/>
      <c r="DI89" s="627"/>
      <c r="DJ89" s="627"/>
      <c r="DK89" s="627"/>
      <c r="DL89" s="627"/>
      <c r="DM89" s="627"/>
      <c r="DN89" s="627"/>
      <c r="DO89" s="627"/>
      <c r="DP89" s="627"/>
      <c r="DQ89" s="627"/>
      <c r="DR89" s="627"/>
      <c r="DS89" s="627"/>
      <c r="DT89" s="627"/>
      <c r="DU89" s="627"/>
      <c r="DV89" s="627"/>
      <c r="DW89" s="627"/>
      <c r="DX89" s="627"/>
      <c r="DY89" s="627"/>
      <c r="DZ89" s="627"/>
      <c r="EA89" s="627"/>
      <c r="EB89" s="627"/>
      <c r="EC89" s="627"/>
      <c r="ED89" s="627"/>
      <c r="EE89" s="627"/>
      <c r="EF89" s="627"/>
      <c r="EG89" s="627"/>
      <c r="EH89" s="627"/>
      <c r="EI89" s="627"/>
      <c r="EJ89" s="627"/>
      <c r="EK89" s="627"/>
      <c r="EL89" s="627"/>
      <c r="EM89" s="627"/>
      <c r="EN89" s="627"/>
      <c r="EO89" s="627"/>
      <c r="EP89" s="627"/>
      <c r="EQ89" s="627"/>
      <c r="ER89" s="627"/>
      <c r="ES89" s="627"/>
      <c r="ET89" s="627"/>
      <c r="EU89" s="627"/>
      <c r="EV89" s="627"/>
      <c r="EW89" s="627"/>
      <c r="EX89" s="627"/>
      <c r="EY89" s="627"/>
      <c r="EZ89" s="627"/>
      <c r="FA89" s="627"/>
      <c r="FB89" s="627"/>
      <c r="FC89" s="627"/>
      <c r="FD89" s="627"/>
      <c r="FE89" s="627"/>
      <c r="FF89" s="627"/>
      <c r="FG89" s="627"/>
      <c r="FH89" s="627"/>
      <c r="FI89" s="627"/>
      <c r="FJ89" s="627"/>
      <c r="FK89" s="627"/>
      <c r="FL89" s="627"/>
      <c r="FM89" s="627"/>
      <c r="FN89" s="627"/>
      <c r="FO89" s="627"/>
      <c r="FP89" s="627"/>
      <c r="FQ89" s="627"/>
      <c r="FR89" s="627"/>
      <c r="FS89" s="627"/>
      <c r="FT89" s="627"/>
      <c r="FU89" s="627"/>
      <c r="FV89" s="627"/>
      <c r="FW89" s="627"/>
      <c r="FX89" s="627"/>
      <c r="FY89" s="627"/>
      <c r="FZ89" s="627"/>
      <c r="GA89" s="627"/>
      <c r="GB89" s="627"/>
      <c r="GC89" s="627"/>
      <c r="GD89" s="627"/>
      <c r="GE89" s="627"/>
      <c r="GF89" s="627"/>
      <c r="GG89" s="627"/>
      <c r="GH89" s="627"/>
      <c r="GI89" s="627"/>
      <c r="GJ89" s="627"/>
      <c r="GK89" s="627"/>
      <c r="GL89" s="627"/>
      <c r="GM89" s="627"/>
      <c r="GN89" s="627"/>
      <c r="GO89" s="627"/>
      <c r="GP89" s="627"/>
      <c r="GQ89" s="627"/>
      <c r="GR89" s="627"/>
      <c r="GS89" s="627"/>
      <c r="GT89" s="627"/>
      <c r="GU89" s="627"/>
      <c r="GV89" s="627"/>
      <c r="GW89" s="627"/>
      <c r="GX89" s="627"/>
      <c r="GY89" s="627"/>
      <c r="GZ89" s="627"/>
      <c r="HA89" s="627"/>
      <c r="HB89" s="627"/>
      <c r="HC89" s="627"/>
      <c r="HD89" s="627"/>
      <c r="HE89" s="627"/>
      <c r="HF89" s="627"/>
      <c r="HG89" s="627"/>
      <c r="HH89" s="627"/>
      <c r="HI89" s="627"/>
      <c r="HJ89" s="627"/>
      <c r="HK89" s="627"/>
      <c r="HL89" s="627"/>
      <c r="HM89" s="627"/>
      <c r="HN89" s="627"/>
      <c r="HO89" s="627"/>
      <c r="HP89" s="627"/>
      <c r="HQ89" s="627"/>
      <c r="HR89" s="627"/>
      <c r="HS89" s="627"/>
      <c r="HT89" s="627"/>
      <c r="HU89" s="627"/>
      <c r="HV89" s="627"/>
      <c r="HW89" s="627"/>
      <c r="HX89" s="627"/>
      <c r="HY89" s="627"/>
      <c r="HZ89" s="627"/>
      <c r="IA89" s="627"/>
      <c r="IB89" s="627"/>
      <c r="IC89" s="627"/>
      <c r="ID89" s="627"/>
      <c r="IE89" s="627"/>
      <c r="IF89" s="627"/>
      <c r="IG89" s="627"/>
      <c r="IH89" s="627"/>
      <c r="II89" s="627"/>
      <c r="IJ89" s="627"/>
      <c r="IK89" s="627"/>
      <c r="IL89" s="627"/>
      <c r="IM89" s="627"/>
      <c r="IN89" s="627"/>
      <c r="IO89" s="627"/>
      <c r="IP89" s="627"/>
      <c r="IQ89" s="627"/>
      <c r="IR89" s="627"/>
      <c r="IS89" s="627"/>
      <c r="IT89" s="627"/>
      <c r="IU89" s="627"/>
      <c r="IV89" s="627"/>
      <c r="IW89" s="627"/>
      <c r="IX89" s="627"/>
      <c r="IY89" s="627"/>
      <c r="IZ89" s="627"/>
      <c r="JA89" s="627"/>
      <c r="JB89" s="627"/>
      <c r="JC89" s="627"/>
      <c r="JD89" s="627"/>
      <c r="JE89" s="627"/>
      <c r="JF89" s="627"/>
      <c r="JG89" s="627"/>
      <c r="JH89" s="627"/>
      <c r="JI89" s="627"/>
      <c r="JJ89" s="627"/>
      <c r="JK89" s="627"/>
      <c r="JL89" s="627"/>
      <c r="JM89" s="627"/>
      <c r="JN89" s="627"/>
      <c r="JO89" s="627"/>
      <c r="JP89" s="627"/>
      <c r="JQ89" s="627"/>
      <c r="JR89" s="627"/>
      <c r="JS89" s="627"/>
      <c r="JT89" s="627"/>
      <c r="JU89" s="627"/>
      <c r="JV89" s="627"/>
      <c r="JW89" s="627"/>
      <c r="JX89" s="627"/>
      <c r="JY89" s="627"/>
      <c r="JZ89" s="627"/>
      <c r="KA89" s="627"/>
      <c r="KB89" s="627"/>
      <c r="KC89" s="627"/>
      <c r="KD89" s="627"/>
      <c r="KE89" s="627"/>
      <c r="KF89" s="627"/>
      <c r="KG89" s="627"/>
      <c r="KH89" s="627"/>
      <c r="KI89" s="627"/>
      <c r="KJ89" s="627"/>
      <c r="KK89" s="627"/>
      <c r="KL89" s="627"/>
      <c r="KM89" s="627"/>
      <c r="KN89" s="627"/>
      <c r="KO89" s="627"/>
      <c r="KP89" s="627"/>
      <c r="KQ89" s="627"/>
      <c r="KR89" s="627"/>
      <c r="KS89" s="627"/>
      <c r="KT89" s="627"/>
      <c r="KU89" s="627"/>
      <c r="KV89" s="627"/>
      <c r="KW89" s="627"/>
      <c r="KX89" s="627"/>
      <c r="KY89" s="627"/>
      <c r="KZ89" s="627"/>
      <c r="LA89" s="627"/>
      <c r="LB89" s="627"/>
      <c r="LC89" s="627"/>
      <c r="LD89" s="627"/>
      <c r="LE89" s="627"/>
      <c r="LF89" s="627"/>
      <c r="LG89" s="627"/>
      <c r="LH89" s="627"/>
      <c r="LI89" s="627"/>
      <c r="LJ89" s="627"/>
      <c r="LK89" s="627"/>
      <c r="LL89" s="627"/>
      <c r="LM89" s="627"/>
      <c r="LN89" s="627"/>
      <c r="LO89" s="627"/>
      <c r="LP89" s="627"/>
      <c r="LQ89" s="627"/>
      <c r="LR89" s="627"/>
      <c r="LS89" s="627"/>
      <c r="LT89" s="627"/>
      <c r="LU89" s="627"/>
      <c r="LV89" s="627"/>
      <c r="LW89" s="627"/>
      <c r="LX89" s="627"/>
      <c r="LY89" s="627"/>
      <c r="LZ89" s="627"/>
      <c r="MA89" s="627"/>
      <c r="MB89" s="627"/>
      <c r="MC89" s="627"/>
      <c r="MD89" s="627"/>
      <c r="ME89" s="627"/>
      <c r="MF89" s="627"/>
      <c r="MG89" s="627"/>
      <c r="MH89" s="627"/>
      <c r="MI89" s="627"/>
      <c r="MJ89" s="627"/>
      <c r="MK89" s="627"/>
      <c r="ML89" s="627"/>
      <c r="MM89" s="627"/>
      <c r="MN89" s="627"/>
      <c r="MO89" s="627"/>
      <c r="MP89" s="627"/>
      <c r="MQ89" s="627"/>
      <c r="MR89" s="627"/>
      <c r="MS89" s="627"/>
      <c r="MT89" s="627"/>
      <c r="MU89" s="627"/>
      <c r="MV89" s="627"/>
      <c r="MW89" s="627"/>
      <c r="MX89" s="627"/>
      <c r="MY89" s="627"/>
      <c r="MZ89" s="627"/>
      <c r="NA89" s="627"/>
      <c r="NB89" s="627"/>
      <c r="NC89" s="627"/>
      <c r="ND89" s="627"/>
      <c r="NE89" s="627"/>
      <c r="NF89" s="627"/>
      <c r="NG89" s="627"/>
      <c r="NH89" s="627"/>
      <c r="NI89" s="627"/>
      <c r="NJ89" s="627"/>
      <c r="NK89" s="627"/>
      <c r="NL89" s="627"/>
      <c r="NM89" s="627"/>
      <c r="NN89" s="627"/>
      <c r="NO89" s="627"/>
      <c r="NP89" s="627"/>
      <c r="NQ89" s="627"/>
      <c r="NR89" s="627"/>
      <c r="NS89" s="627"/>
      <c r="NT89" s="627"/>
      <c r="NU89" s="627"/>
      <c r="NV89" s="627"/>
      <c r="NW89" s="627"/>
      <c r="NX89" s="627"/>
      <c r="NY89" s="627"/>
      <c r="NZ89" s="627"/>
      <c r="OA89" s="627"/>
      <c r="OB89" s="627"/>
      <c r="OC89" s="627"/>
      <c r="OD89" s="627"/>
      <c r="OE89" s="627"/>
      <c r="OF89" s="627"/>
      <c r="OG89" s="627"/>
      <c r="OH89" s="627"/>
      <c r="OI89" s="627"/>
      <c r="OJ89" s="627"/>
      <c r="OK89" s="627"/>
      <c r="OL89" s="627"/>
      <c r="OM89" s="627"/>
      <c r="ON89" s="627"/>
      <c r="OO89" s="627"/>
      <c r="OP89" s="627"/>
      <c r="OQ89" s="627"/>
      <c r="OR89" s="627"/>
      <c r="OS89" s="627"/>
      <c r="OT89" s="627"/>
      <c r="OU89" s="627"/>
      <c r="OV89" s="627"/>
      <c r="OW89" s="627"/>
      <c r="OX89" s="627"/>
      <c r="OY89" s="627"/>
      <c r="OZ89" s="627"/>
      <c r="PA89" s="627"/>
      <c r="PB89" s="627"/>
      <c r="PC89" s="627"/>
      <c r="PD89" s="627"/>
      <c r="PE89" s="627"/>
      <c r="PF89" s="627"/>
      <c r="PG89" s="627"/>
      <c r="PH89" s="627"/>
      <c r="PI89" s="627"/>
      <c r="PJ89" s="627"/>
      <c r="PK89" s="627"/>
      <c r="PL89" s="627"/>
      <c r="PM89" s="627"/>
      <c r="PN89" s="627"/>
      <c r="PO89" s="627"/>
      <c r="PP89" s="627"/>
      <c r="PQ89" s="627"/>
      <c r="PR89" s="627"/>
      <c r="PS89" s="627"/>
      <c r="PT89" s="627"/>
      <c r="PU89" s="627"/>
      <c r="PV89" s="627"/>
      <c r="PW89" s="627"/>
      <c r="PX89" s="627"/>
      <c r="PY89" s="627"/>
      <c r="PZ89" s="627"/>
      <c r="QA89" s="627"/>
      <c r="QB89" s="627"/>
      <c r="QC89" s="627"/>
      <c r="QD89" s="627"/>
      <c r="QE89" s="627"/>
      <c r="QF89" s="627"/>
      <c r="QG89" s="627"/>
      <c r="QH89" s="627"/>
      <c r="QI89" s="627"/>
      <c r="QJ89" s="627"/>
      <c r="QK89" s="627"/>
      <c r="QL89" s="627"/>
      <c r="QM89" s="627"/>
      <c r="QN89" s="627"/>
      <c r="QO89" s="627"/>
      <c r="QP89" s="627"/>
      <c r="QQ89" s="627"/>
      <c r="QR89" s="627"/>
      <c r="QS89" s="627"/>
      <c r="QT89" s="627"/>
      <c r="QU89" s="627"/>
      <c r="QV89" s="627"/>
      <c r="QW89" s="627"/>
      <c r="QX89" s="627"/>
      <c r="QY89" s="627"/>
      <c r="QZ89" s="627"/>
      <c r="RA89" s="627"/>
      <c r="RB89" s="627"/>
      <c r="RC89" s="627"/>
      <c r="RD89" s="627"/>
      <c r="RE89" s="627"/>
      <c r="RF89" s="627"/>
      <c r="RG89" s="627"/>
      <c r="RH89" s="627"/>
      <c r="RI89" s="627"/>
      <c r="RJ89" s="627"/>
      <c r="RK89" s="627"/>
      <c r="RL89" s="627"/>
      <c r="RM89" s="627"/>
      <c r="RN89" s="627"/>
      <c r="RO89" s="627"/>
      <c r="RP89" s="627"/>
      <c r="RQ89" s="627"/>
      <c r="RR89" s="627"/>
      <c r="RS89" s="627"/>
      <c r="RT89" s="627"/>
      <c r="RU89" s="627"/>
      <c r="RV89" s="627"/>
      <c r="RW89" s="627"/>
      <c r="RX89" s="627"/>
      <c r="RY89" s="627"/>
      <c r="RZ89" s="627"/>
      <c r="SA89" s="627"/>
      <c r="SB89" s="627"/>
      <c r="SC89" s="627"/>
      <c r="SD89" s="627"/>
      <c r="SE89" s="627"/>
      <c r="SF89" s="627"/>
      <c r="SG89" s="627"/>
      <c r="SH89" s="627"/>
      <c r="SI89" s="627"/>
      <c r="SJ89" s="627"/>
      <c r="SK89" s="627"/>
      <c r="SL89" s="627"/>
      <c r="SM89" s="627"/>
      <c r="SN89" s="627"/>
      <c r="SO89" s="627"/>
      <c r="SP89" s="627"/>
      <c r="SQ89" s="627"/>
      <c r="SR89" s="627"/>
      <c r="SS89" s="627"/>
      <c r="ST89" s="627"/>
      <c r="SU89" s="627"/>
      <c r="SV89" s="627"/>
      <c r="SW89" s="627"/>
      <c r="SX89" s="627"/>
      <c r="SY89" s="627"/>
      <c r="SZ89" s="627"/>
      <c r="TA89" s="627"/>
      <c r="TB89" s="627"/>
      <c r="TC89" s="627"/>
      <c r="TD89" s="627"/>
      <c r="TE89" s="627"/>
      <c r="TF89" s="627"/>
      <c r="TG89" s="627"/>
      <c r="TH89" s="627"/>
      <c r="TI89" s="627"/>
      <c r="TJ89" s="627"/>
      <c r="TK89" s="627"/>
      <c r="TL89" s="627"/>
      <c r="TM89" s="627"/>
      <c r="TN89" s="627"/>
      <c r="TO89" s="627"/>
      <c r="TP89" s="627"/>
      <c r="TQ89" s="627"/>
      <c r="TR89" s="627"/>
      <c r="TS89" s="627"/>
      <c r="TT89" s="627"/>
      <c r="TU89" s="627"/>
      <c r="TV89" s="627"/>
      <c r="TW89" s="627"/>
      <c r="TX89" s="627"/>
      <c r="TY89" s="627"/>
      <c r="TZ89" s="627"/>
      <c r="UA89" s="627"/>
      <c r="UB89" s="627"/>
      <c r="UC89" s="627"/>
      <c r="UD89" s="627"/>
      <c r="UE89" s="627"/>
      <c r="UF89" s="627"/>
      <c r="UG89" s="627"/>
      <c r="UH89" s="627"/>
      <c r="UI89" s="627"/>
      <c r="UJ89" s="627"/>
      <c r="UK89" s="627"/>
      <c r="UL89" s="627"/>
      <c r="UM89" s="627"/>
      <c r="UN89" s="627"/>
      <c r="UO89" s="627"/>
      <c r="UP89" s="627"/>
      <c r="UQ89" s="627"/>
      <c r="UR89" s="627"/>
      <c r="US89" s="627"/>
      <c r="UT89" s="627"/>
      <c r="UU89" s="627"/>
      <c r="UV89" s="627"/>
      <c r="UW89" s="627"/>
      <c r="UX89" s="627"/>
      <c r="UY89" s="627"/>
      <c r="UZ89" s="627"/>
      <c r="VA89" s="627"/>
      <c r="VB89" s="627"/>
      <c r="VC89" s="627"/>
      <c r="VD89" s="627"/>
      <c r="VE89" s="627"/>
      <c r="VF89" s="627"/>
      <c r="VG89" s="627"/>
      <c r="VH89" s="627"/>
      <c r="VI89" s="627"/>
      <c r="VJ89" s="627"/>
      <c r="VK89" s="627"/>
      <c r="VL89" s="627"/>
      <c r="VM89" s="627"/>
      <c r="VN89" s="627"/>
      <c r="VO89" s="627"/>
      <c r="VP89" s="627"/>
      <c r="VQ89" s="627"/>
      <c r="VR89" s="627"/>
      <c r="VS89" s="627"/>
      <c r="VT89" s="627"/>
      <c r="VU89" s="627"/>
      <c r="VV89" s="627"/>
      <c r="VW89" s="627"/>
      <c r="VX89" s="627"/>
      <c r="VY89" s="627"/>
      <c r="VZ89" s="627"/>
      <c r="WA89" s="627"/>
      <c r="WB89" s="627"/>
      <c r="WC89" s="627"/>
      <c r="WD89" s="627"/>
      <c r="WE89" s="627"/>
      <c r="WF89" s="627"/>
      <c r="WG89" s="627"/>
      <c r="WH89" s="627"/>
      <c r="WI89" s="627"/>
      <c r="WJ89" s="627"/>
      <c r="WK89" s="627"/>
      <c r="WL89" s="627"/>
      <c r="WM89" s="627"/>
      <c r="WN89" s="627"/>
      <c r="WO89" s="627"/>
      <c r="WP89" s="627"/>
      <c r="WQ89" s="627"/>
      <c r="WR89" s="627"/>
      <c r="WS89" s="627"/>
      <c r="WT89" s="627"/>
      <c r="WU89" s="627"/>
      <c r="WV89" s="627"/>
      <c r="WW89" s="627"/>
      <c r="WX89" s="627"/>
      <c r="WY89" s="627"/>
      <c r="WZ89" s="627"/>
      <c r="XA89" s="627"/>
      <c r="XB89" s="627"/>
      <c r="XC89" s="627"/>
      <c r="XD89" s="627"/>
      <c r="XE89" s="627"/>
      <c r="XF89" s="627"/>
      <c r="XG89" s="627"/>
      <c r="XH89" s="627"/>
      <c r="XI89" s="627"/>
      <c r="XJ89" s="627"/>
      <c r="XK89" s="627"/>
      <c r="XL89" s="627"/>
      <c r="XM89" s="627"/>
      <c r="XN89" s="627"/>
      <c r="XO89" s="627"/>
      <c r="XP89" s="627"/>
      <c r="XQ89" s="627"/>
      <c r="XR89" s="627"/>
      <c r="XS89" s="627"/>
      <c r="XT89" s="627"/>
      <c r="XU89" s="627"/>
      <c r="XV89" s="627"/>
      <c r="XW89" s="627"/>
      <c r="XX89" s="627"/>
      <c r="XY89" s="627"/>
      <c r="XZ89" s="627"/>
      <c r="YA89" s="627"/>
      <c r="YB89" s="627"/>
      <c r="YC89" s="627"/>
      <c r="YD89" s="627"/>
      <c r="YE89" s="627"/>
      <c r="YF89" s="627"/>
      <c r="YG89" s="627"/>
      <c r="YH89" s="627"/>
      <c r="YI89" s="627"/>
      <c r="YJ89" s="627"/>
      <c r="YK89" s="627"/>
      <c r="YL89" s="627"/>
      <c r="YM89" s="627"/>
      <c r="YN89" s="627"/>
      <c r="YO89" s="627"/>
      <c r="YP89" s="627"/>
      <c r="YQ89" s="627"/>
      <c r="YR89" s="627"/>
      <c r="YS89" s="627"/>
      <c r="YT89" s="627"/>
      <c r="YU89" s="627"/>
      <c r="YV89" s="627"/>
      <c r="YW89" s="627"/>
      <c r="YX89" s="627"/>
      <c r="YY89" s="627"/>
      <c r="YZ89" s="627"/>
      <c r="ZA89" s="627"/>
      <c r="ZB89" s="627"/>
      <c r="ZC89" s="627"/>
      <c r="ZD89" s="627"/>
      <c r="ZE89" s="627"/>
      <c r="ZF89" s="627"/>
      <c r="ZG89" s="627"/>
      <c r="ZH89" s="627"/>
      <c r="ZI89" s="627"/>
      <c r="ZJ89" s="627"/>
      <c r="ZK89" s="627"/>
      <c r="ZL89" s="627"/>
      <c r="ZM89" s="627"/>
      <c r="ZN89" s="627"/>
      <c r="ZO89" s="627"/>
      <c r="ZP89" s="627"/>
      <c r="ZQ89" s="627"/>
      <c r="ZR89" s="627"/>
      <c r="ZS89" s="627"/>
      <c r="ZT89" s="627"/>
      <c r="ZU89" s="627"/>
      <c r="ZV89" s="627"/>
      <c r="ZW89" s="627"/>
      <c r="ZX89" s="627"/>
      <c r="ZY89" s="627"/>
      <c r="ZZ89" s="627"/>
      <c r="AAA89" s="627"/>
      <c r="AAB89" s="627"/>
      <c r="AAC89" s="627"/>
      <c r="AAD89" s="627"/>
      <c r="AAE89" s="627"/>
      <c r="AAF89" s="627"/>
      <c r="AAG89" s="627"/>
      <c r="AAH89" s="627"/>
      <c r="AAI89" s="627"/>
      <c r="AAJ89" s="627"/>
      <c r="AAK89" s="627"/>
      <c r="AAL89" s="627"/>
      <c r="AAM89" s="627"/>
      <c r="AAN89" s="627"/>
      <c r="AAO89" s="627"/>
      <c r="AAP89" s="627"/>
      <c r="AAQ89" s="627"/>
      <c r="AAR89" s="627"/>
      <c r="AAS89" s="627"/>
      <c r="AAT89" s="627"/>
      <c r="AAU89" s="627"/>
      <c r="AAV89" s="627"/>
      <c r="AAW89" s="627"/>
      <c r="AAX89" s="627"/>
      <c r="AAY89" s="627"/>
      <c r="AAZ89" s="627"/>
      <c r="ABA89" s="627"/>
      <c r="ABB89" s="627"/>
      <c r="ABC89" s="627"/>
      <c r="ABD89" s="627"/>
      <c r="ABE89" s="627"/>
      <c r="ABF89" s="627"/>
      <c r="ABG89" s="627"/>
      <c r="ABH89" s="627"/>
      <c r="ABI89" s="627"/>
      <c r="ABJ89" s="627"/>
      <c r="ABK89" s="627"/>
      <c r="ABL89" s="627"/>
      <c r="ABM89" s="627"/>
      <c r="ABN89" s="627"/>
      <c r="ABO89" s="627"/>
      <c r="ABP89" s="627"/>
      <c r="ABQ89" s="627"/>
      <c r="ABR89" s="627"/>
      <c r="ABS89" s="627"/>
      <c r="ABT89" s="627"/>
      <c r="ABU89" s="627"/>
      <c r="ABV89" s="627"/>
      <c r="ABW89" s="627"/>
      <c r="ABX89" s="627"/>
      <c r="ABY89" s="627"/>
      <c r="ABZ89" s="627"/>
      <c r="ACA89" s="627"/>
      <c r="ACB89" s="627"/>
      <c r="ACC89" s="627"/>
      <c r="ACD89" s="627"/>
      <c r="ACE89" s="627"/>
      <c r="ACF89" s="627"/>
      <c r="ACG89" s="627"/>
      <c r="ACH89" s="627"/>
      <c r="ACI89" s="627"/>
      <c r="ACJ89" s="627"/>
      <c r="ACK89" s="627"/>
      <c r="ACL89" s="627"/>
      <c r="ACM89" s="627"/>
      <c r="ACN89" s="627"/>
      <c r="ACO89" s="627"/>
      <c r="ACP89" s="627"/>
      <c r="ACQ89" s="627"/>
      <c r="ACR89" s="627"/>
      <c r="ACS89" s="627"/>
      <c r="ACT89" s="627"/>
      <c r="ACU89" s="627"/>
      <c r="ACV89" s="627"/>
      <c r="ACW89" s="627"/>
      <c r="ACX89" s="627"/>
      <c r="ACY89" s="627"/>
      <c r="ACZ89" s="627"/>
      <c r="ADA89" s="627"/>
      <c r="ADB89" s="627"/>
      <c r="ADC89" s="627"/>
      <c r="ADD89" s="627"/>
      <c r="ADE89" s="627"/>
      <c r="ADF89" s="627"/>
      <c r="ADG89" s="627"/>
      <c r="ADH89" s="627"/>
      <c r="ADI89" s="627"/>
      <c r="ADJ89" s="627"/>
      <c r="ADK89" s="627"/>
      <c r="ADL89" s="627"/>
      <c r="ADM89" s="627"/>
      <c r="ADN89" s="627"/>
      <c r="ADO89" s="627"/>
      <c r="ADP89" s="627"/>
      <c r="ADQ89" s="627"/>
      <c r="ADR89" s="627"/>
      <c r="ADS89" s="627"/>
      <c r="ADT89" s="627"/>
      <c r="ADU89" s="627"/>
      <c r="ADV89" s="627"/>
      <c r="ADW89" s="627"/>
      <c r="ADX89" s="627"/>
      <c r="ADY89" s="627"/>
      <c r="ADZ89" s="627"/>
      <c r="AEA89" s="627"/>
      <c r="AEB89" s="627"/>
      <c r="AEC89" s="627"/>
      <c r="AED89" s="627"/>
      <c r="AEE89" s="627"/>
      <c r="AEF89" s="627"/>
      <c r="AEG89" s="627"/>
      <c r="AEH89" s="627"/>
      <c r="AEI89" s="627"/>
      <c r="AEJ89" s="627"/>
      <c r="AEK89" s="627"/>
      <c r="AEL89" s="627"/>
      <c r="AEM89" s="627"/>
      <c r="AEN89" s="627"/>
      <c r="AEO89" s="627"/>
      <c r="AEP89" s="627"/>
      <c r="AEQ89" s="627"/>
      <c r="AER89" s="627"/>
      <c r="AES89" s="627"/>
      <c r="AET89" s="627"/>
      <c r="AEU89" s="627"/>
      <c r="AEV89" s="627"/>
      <c r="AEW89" s="627"/>
      <c r="AEX89" s="627"/>
      <c r="AEY89" s="627"/>
      <c r="AEZ89" s="627"/>
      <c r="AFA89" s="627"/>
      <c r="AFB89" s="627"/>
      <c r="AFC89" s="627"/>
      <c r="AFD89" s="627"/>
      <c r="AFE89" s="627"/>
      <c r="AFF89" s="627"/>
      <c r="AFG89" s="627"/>
      <c r="AFH89" s="627"/>
      <c r="AFI89" s="627"/>
      <c r="AFJ89" s="627"/>
      <c r="AFK89" s="627"/>
      <c r="AFL89" s="627"/>
      <c r="AFM89" s="627"/>
      <c r="AFN89" s="627"/>
      <c r="AFO89" s="627"/>
      <c r="AFP89" s="627"/>
      <c r="AFQ89" s="627"/>
      <c r="AFR89" s="627"/>
      <c r="AFS89" s="627"/>
      <c r="AFT89" s="627"/>
      <c r="AFU89" s="627"/>
      <c r="AFV89" s="627"/>
      <c r="AFW89" s="627"/>
      <c r="AFX89" s="627"/>
      <c r="AFY89" s="627"/>
      <c r="AFZ89" s="627"/>
      <c r="AGA89" s="627"/>
      <c r="AGB89" s="627"/>
      <c r="AGC89" s="627"/>
      <c r="AGD89" s="627"/>
      <c r="AGE89" s="627"/>
      <c r="AGF89" s="627"/>
      <c r="AGG89" s="627"/>
      <c r="AGH89" s="627"/>
      <c r="AGI89" s="627"/>
      <c r="AGJ89" s="627"/>
      <c r="AGK89" s="627"/>
      <c r="AGL89" s="627"/>
      <c r="AGM89" s="627"/>
      <c r="AGN89" s="627"/>
      <c r="AGO89" s="627"/>
      <c r="AGP89" s="627"/>
      <c r="AGQ89" s="627"/>
      <c r="AGR89" s="627"/>
      <c r="AGS89" s="627"/>
      <c r="AGT89" s="627"/>
      <c r="AGU89" s="627"/>
      <c r="AGV89" s="627"/>
      <c r="AGW89" s="627"/>
      <c r="AGX89" s="627"/>
      <c r="AGY89" s="627"/>
      <c r="AGZ89" s="627"/>
      <c r="AHA89" s="627"/>
      <c r="AHB89" s="627"/>
      <c r="AHC89" s="627"/>
      <c r="AHD89" s="627"/>
      <c r="AHE89" s="627"/>
      <c r="AHF89" s="627"/>
      <c r="AHG89" s="627"/>
      <c r="AHH89" s="627"/>
      <c r="AHI89" s="627"/>
      <c r="AHJ89" s="627"/>
      <c r="AHK89" s="627"/>
      <c r="AHL89" s="627"/>
      <c r="AHM89" s="627"/>
      <c r="AHN89" s="627"/>
      <c r="AHO89" s="627"/>
      <c r="AHP89" s="627"/>
      <c r="AHQ89" s="627"/>
      <c r="AHR89" s="627"/>
      <c r="AHS89" s="627"/>
      <c r="AHT89" s="627"/>
      <c r="AHU89" s="627"/>
      <c r="AHV89" s="627"/>
      <c r="AHW89" s="627"/>
      <c r="AHX89" s="627"/>
      <c r="AHY89" s="627"/>
      <c r="AHZ89" s="627"/>
      <c r="AIA89" s="627"/>
      <c r="AIB89" s="627"/>
      <c r="AIC89" s="627"/>
      <c r="AID89" s="627"/>
      <c r="AIE89" s="627"/>
      <c r="AIF89" s="627"/>
      <c r="AIG89" s="627"/>
      <c r="AIH89" s="627"/>
      <c r="AII89" s="627"/>
      <c r="AIJ89" s="627"/>
      <c r="AIK89" s="627"/>
      <c r="AIL89" s="627"/>
      <c r="AIM89" s="627"/>
      <c r="AIN89" s="627"/>
      <c r="AIO89" s="627"/>
      <c r="AIP89" s="627"/>
      <c r="AIQ89" s="627"/>
      <c r="AIR89" s="627"/>
      <c r="AIS89" s="627"/>
      <c r="AIT89" s="627"/>
      <c r="AIU89" s="627"/>
      <c r="AIV89" s="627"/>
      <c r="AIW89" s="627"/>
      <c r="AIX89" s="627"/>
      <c r="AIY89" s="627"/>
      <c r="AIZ89" s="627"/>
      <c r="AJA89" s="627"/>
      <c r="AJB89" s="627"/>
      <c r="AJC89" s="627"/>
      <c r="AJD89" s="627"/>
      <c r="AJE89" s="627"/>
      <c r="AJF89" s="627"/>
      <c r="AJG89" s="627"/>
      <c r="AJH89" s="627"/>
      <c r="AJI89" s="627"/>
      <c r="AJJ89" s="627"/>
      <c r="AJK89" s="627"/>
      <c r="AJL89" s="627"/>
      <c r="AJM89" s="627"/>
      <c r="AJN89" s="627"/>
      <c r="AJO89" s="627"/>
      <c r="AJP89" s="627"/>
      <c r="AJQ89" s="627"/>
      <c r="AJR89" s="627"/>
      <c r="AJS89" s="627"/>
      <c r="AJT89" s="627"/>
      <c r="AJU89" s="627"/>
      <c r="AJV89" s="627"/>
      <c r="AJW89" s="627"/>
      <c r="AJX89" s="627"/>
      <c r="AJY89" s="627"/>
      <c r="AJZ89" s="627"/>
      <c r="AKA89" s="627"/>
      <c r="AKB89" s="627"/>
      <c r="AKC89" s="627"/>
      <c r="AKD89" s="627"/>
      <c r="AKE89" s="627"/>
      <c r="AKF89" s="627"/>
      <c r="AKG89" s="627"/>
      <c r="AKH89" s="627"/>
      <c r="AKI89" s="627"/>
      <c r="AKJ89" s="627"/>
      <c r="AKK89" s="627"/>
      <c r="AKL89" s="627"/>
      <c r="AKM89" s="627"/>
      <c r="AKN89" s="627"/>
      <c r="AKO89" s="627"/>
      <c r="AKP89" s="627"/>
      <c r="AKQ89" s="627"/>
      <c r="AKR89" s="627"/>
      <c r="AKS89" s="627"/>
      <c r="AKT89" s="627"/>
      <c r="AKU89" s="627"/>
      <c r="AKV89" s="627"/>
      <c r="AKW89" s="627"/>
      <c r="AKX89" s="627"/>
      <c r="AKY89" s="627"/>
      <c r="AKZ89" s="627"/>
      <c r="ALA89" s="627"/>
      <c r="ALB89" s="627"/>
      <c r="ALC89" s="627"/>
      <c r="ALD89" s="627"/>
      <c r="ALE89" s="627"/>
      <c r="ALF89" s="627"/>
      <c r="ALG89" s="627"/>
      <c r="ALH89" s="627"/>
      <c r="ALI89" s="627"/>
      <c r="ALJ89" s="627"/>
      <c r="ALK89" s="627"/>
      <c r="ALL89" s="627"/>
      <c r="ALM89" s="627"/>
      <c r="ALN89" s="627"/>
      <c r="ALO89" s="627"/>
      <c r="ALP89" s="627"/>
      <c r="ALQ89" s="627"/>
      <c r="ALR89" s="627"/>
      <c r="ALS89" s="627"/>
      <c r="ALT89" s="627"/>
      <c r="ALU89" s="627"/>
      <c r="ALV89" s="627"/>
      <c r="ALW89" s="627"/>
      <c r="ALX89" s="627"/>
      <c r="ALY89" s="627"/>
      <c r="ALZ89" s="627"/>
      <c r="AMA89" s="627"/>
      <c r="AMB89" s="627"/>
      <c r="AMC89" s="627"/>
      <c r="AMD89" s="627"/>
      <c r="AME89" s="627"/>
      <c r="AMF89" s="627"/>
    </row>
    <row r="90" spans="1:1020" s="485" customFormat="1" ht="12.75" customHeight="1" x14ac:dyDescent="0.15">
      <c r="A90" s="627"/>
      <c r="B90" s="627"/>
      <c r="C90" s="627"/>
      <c r="D90" s="627"/>
      <c r="E90" s="627"/>
      <c r="F90" s="627"/>
      <c r="G90" s="627"/>
      <c r="H90" s="627"/>
      <c r="I90" s="627"/>
      <c r="J90" s="627"/>
      <c r="K90" s="627"/>
      <c r="L90" s="627"/>
      <c r="M90" s="627"/>
      <c r="N90" s="627"/>
      <c r="O90" s="627"/>
      <c r="P90" s="627"/>
      <c r="Q90" s="627"/>
      <c r="R90" s="627"/>
      <c r="S90" s="627"/>
      <c r="T90" s="627"/>
      <c r="U90" s="627"/>
      <c r="V90" s="627"/>
      <c r="W90" s="627"/>
      <c r="X90" s="627"/>
      <c r="Y90" s="627"/>
      <c r="Z90" s="627"/>
      <c r="AA90" s="627"/>
      <c r="AB90" s="627"/>
      <c r="AC90" s="627"/>
      <c r="AD90" s="627"/>
      <c r="AE90" s="627"/>
      <c r="AF90" s="627"/>
      <c r="AG90" s="627"/>
      <c r="AH90" s="627"/>
      <c r="AI90" s="627"/>
      <c r="AJ90" s="627"/>
      <c r="AK90" s="627"/>
      <c r="AL90" s="627"/>
      <c r="AM90" s="627"/>
      <c r="AN90" s="627"/>
      <c r="AO90" s="627"/>
      <c r="AP90" s="627" t="s">
        <v>794</v>
      </c>
      <c r="AQ90" s="627"/>
      <c r="AR90" s="627"/>
      <c r="AS90" s="627"/>
      <c r="AT90" s="627"/>
      <c r="AU90" s="627"/>
      <c r="AV90" s="627"/>
      <c r="AW90" s="627"/>
      <c r="AX90" s="627"/>
      <c r="AY90" s="627"/>
      <c r="AZ90" s="627"/>
      <c r="BA90" s="629" t="s">
        <v>1197</v>
      </c>
      <c r="BB90" s="627"/>
      <c r="BC90" s="627"/>
      <c r="BD90" s="627"/>
      <c r="BE90" s="627"/>
      <c r="BG90" s="486"/>
      <c r="BH90" s="436"/>
      <c r="BI90" s="436"/>
      <c r="BJ90" s="436"/>
      <c r="BK90" s="436"/>
      <c r="BL90" s="436"/>
      <c r="BM90" s="436"/>
      <c r="BN90" s="436"/>
      <c r="BO90" s="436"/>
      <c r="BP90" s="436"/>
      <c r="BQ90" s="436"/>
      <c r="BR90" s="436"/>
      <c r="BS90" s="436"/>
      <c r="BT90" s="436"/>
      <c r="BU90" s="436"/>
      <c r="BV90" s="627"/>
      <c r="BW90" s="627"/>
      <c r="BX90" s="627"/>
      <c r="BY90" s="627"/>
      <c r="BZ90" s="627"/>
      <c r="CA90" s="627"/>
      <c r="CB90" s="627"/>
      <c r="CC90" s="627"/>
      <c r="CD90" s="627"/>
      <c r="CE90" s="627"/>
      <c r="CF90" s="627"/>
      <c r="CG90" s="627"/>
      <c r="CH90" s="627"/>
      <c r="CI90" s="627"/>
      <c r="CJ90" s="627"/>
      <c r="CK90" s="627"/>
      <c r="CL90" s="627"/>
      <c r="CM90" s="627"/>
      <c r="CN90" s="627"/>
      <c r="CO90" s="627"/>
      <c r="CP90" s="627"/>
      <c r="CQ90" s="627"/>
      <c r="CR90" s="627"/>
      <c r="CS90" s="627"/>
      <c r="CT90" s="627"/>
      <c r="CU90" s="627"/>
      <c r="CV90" s="627"/>
      <c r="CW90" s="627"/>
      <c r="CX90" s="627"/>
      <c r="CY90" s="627"/>
      <c r="CZ90" s="627"/>
      <c r="DA90" s="627"/>
      <c r="DB90" s="627"/>
      <c r="DC90" s="627"/>
      <c r="DD90" s="627"/>
      <c r="DE90" s="627"/>
      <c r="DF90" s="627"/>
      <c r="DG90" s="627"/>
      <c r="DH90" s="627"/>
      <c r="DI90" s="627"/>
      <c r="DJ90" s="627"/>
      <c r="DK90" s="627"/>
      <c r="DL90" s="627"/>
      <c r="DM90" s="627"/>
      <c r="DN90" s="627"/>
      <c r="DO90" s="627"/>
      <c r="DP90" s="627"/>
      <c r="DQ90" s="627"/>
      <c r="DR90" s="627"/>
      <c r="DS90" s="627"/>
      <c r="DT90" s="627"/>
      <c r="DU90" s="627"/>
      <c r="DV90" s="627"/>
      <c r="DW90" s="627"/>
      <c r="DX90" s="627"/>
      <c r="DY90" s="627"/>
      <c r="DZ90" s="627"/>
      <c r="EA90" s="627"/>
      <c r="EB90" s="627"/>
      <c r="EC90" s="627"/>
      <c r="ED90" s="627"/>
      <c r="EE90" s="627"/>
      <c r="EF90" s="627"/>
      <c r="EG90" s="627"/>
      <c r="EH90" s="627"/>
      <c r="EI90" s="627"/>
      <c r="EJ90" s="627"/>
      <c r="EK90" s="627"/>
      <c r="EL90" s="627"/>
      <c r="EM90" s="627"/>
      <c r="EN90" s="627"/>
      <c r="EO90" s="627"/>
      <c r="EP90" s="627"/>
      <c r="EQ90" s="627"/>
      <c r="ER90" s="627"/>
      <c r="ES90" s="627"/>
      <c r="ET90" s="627"/>
      <c r="EU90" s="627"/>
      <c r="EV90" s="627"/>
      <c r="EW90" s="627"/>
      <c r="EX90" s="627"/>
      <c r="EY90" s="627"/>
      <c r="EZ90" s="627"/>
      <c r="FA90" s="627"/>
      <c r="FB90" s="627"/>
      <c r="FC90" s="627"/>
      <c r="FD90" s="627"/>
      <c r="FE90" s="627"/>
      <c r="FF90" s="627"/>
      <c r="FG90" s="627"/>
      <c r="FH90" s="627"/>
      <c r="FI90" s="627"/>
      <c r="FJ90" s="627"/>
      <c r="FK90" s="627"/>
      <c r="FL90" s="627"/>
      <c r="FM90" s="627"/>
      <c r="FN90" s="627"/>
      <c r="FO90" s="627"/>
      <c r="FP90" s="627"/>
      <c r="FQ90" s="627"/>
      <c r="FR90" s="627"/>
      <c r="FS90" s="627"/>
      <c r="FT90" s="627"/>
      <c r="FU90" s="627"/>
      <c r="FV90" s="627"/>
      <c r="FW90" s="627"/>
      <c r="FX90" s="627"/>
      <c r="FY90" s="627"/>
      <c r="FZ90" s="627"/>
      <c r="GA90" s="627"/>
      <c r="GB90" s="627"/>
      <c r="GC90" s="627"/>
      <c r="GD90" s="627"/>
      <c r="GE90" s="627"/>
      <c r="GF90" s="627"/>
      <c r="GG90" s="627"/>
      <c r="GH90" s="627"/>
      <c r="GI90" s="627"/>
      <c r="GJ90" s="627"/>
      <c r="GK90" s="627"/>
      <c r="GL90" s="627"/>
      <c r="GM90" s="627"/>
      <c r="GN90" s="627"/>
      <c r="GO90" s="627"/>
      <c r="GP90" s="627"/>
      <c r="GQ90" s="627"/>
      <c r="GR90" s="627"/>
      <c r="GS90" s="627"/>
      <c r="GT90" s="627"/>
      <c r="GU90" s="627"/>
      <c r="GV90" s="627"/>
      <c r="GW90" s="627"/>
      <c r="GX90" s="627"/>
      <c r="GY90" s="627"/>
      <c r="GZ90" s="627"/>
      <c r="HA90" s="627"/>
      <c r="HB90" s="627"/>
      <c r="HC90" s="627"/>
      <c r="HD90" s="627"/>
      <c r="HE90" s="627"/>
      <c r="HF90" s="627"/>
      <c r="HG90" s="627"/>
      <c r="HH90" s="627"/>
      <c r="HI90" s="627"/>
      <c r="HJ90" s="627"/>
      <c r="HK90" s="627"/>
      <c r="HL90" s="627"/>
      <c r="HM90" s="627"/>
      <c r="HN90" s="627"/>
      <c r="HO90" s="627"/>
      <c r="HP90" s="627"/>
      <c r="HQ90" s="627"/>
      <c r="HR90" s="627"/>
      <c r="HS90" s="627"/>
      <c r="HT90" s="627"/>
      <c r="HU90" s="627"/>
      <c r="HV90" s="627"/>
      <c r="HW90" s="627"/>
      <c r="HX90" s="627"/>
      <c r="HY90" s="627"/>
      <c r="HZ90" s="627"/>
      <c r="IA90" s="627"/>
      <c r="IB90" s="627"/>
      <c r="IC90" s="627"/>
      <c r="ID90" s="627"/>
      <c r="IE90" s="627"/>
      <c r="IF90" s="627"/>
      <c r="IG90" s="627"/>
      <c r="IH90" s="627"/>
      <c r="II90" s="627"/>
      <c r="IJ90" s="627"/>
      <c r="IK90" s="627"/>
      <c r="IL90" s="627"/>
      <c r="IM90" s="627"/>
      <c r="IN90" s="627"/>
      <c r="IO90" s="627"/>
      <c r="IP90" s="627"/>
      <c r="IQ90" s="627"/>
      <c r="IR90" s="627"/>
      <c r="IS90" s="627"/>
      <c r="IT90" s="627"/>
      <c r="IU90" s="627"/>
      <c r="IV90" s="627"/>
      <c r="IW90" s="627"/>
      <c r="IX90" s="627"/>
      <c r="IY90" s="627"/>
      <c r="IZ90" s="627"/>
      <c r="JA90" s="627"/>
      <c r="JB90" s="627"/>
      <c r="JC90" s="627"/>
      <c r="JD90" s="627"/>
      <c r="JE90" s="627"/>
      <c r="JF90" s="627"/>
      <c r="JG90" s="627"/>
      <c r="JH90" s="627"/>
      <c r="JI90" s="627"/>
      <c r="JJ90" s="627"/>
      <c r="JK90" s="627"/>
      <c r="JL90" s="627"/>
      <c r="JM90" s="627"/>
      <c r="JN90" s="627"/>
      <c r="JO90" s="627"/>
      <c r="JP90" s="627"/>
      <c r="JQ90" s="627"/>
      <c r="JR90" s="627"/>
      <c r="JS90" s="627"/>
      <c r="JT90" s="627"/>
      <c r="JU90" s="627"/>
      <c r="JV90" s="627"/>
      <c r="JW90" s="627"/>
      <c r="JX90" s="627"/>
      <c r="JY90" s="627"/>
      <c r="JZ90" s="627"/>
      <c r="KA90" s="627"/>
      <c r="KB90" s="627"/>
      <c r="KC90" s="627"/>
      <c r="KD90" s="627"/>
      <c r="KE90" s="627"/>
      <c r="KF90" s="627"/>
      <c r="KG90" s="627"/>
      <c r="KH90" s="627"/>
      <c r="KI90" s="627"/>
      <c r="KJ90" s="627"/>
      <c r="KK90" s="627"/>
      <c r="KL90" s="627"/>
      <c r="KM90" s="627"/>
      <c r="KN90" s="627"/>
      <c r="KO90" s="627"/>
      <c r="KP90" s="627"/>
      <c r="KQ90" s="627"/>
      <c r="KR90" s="627"/>
      <c r="KS90" s="627"/>
      <c r="KT90" s="627"/>
      <c r="KU90" s="627"/>
      <c r="KV90" s="627"/>
      <c r="KW90" s="627"/>
      <c r="KX90" s="627"/>
      <c r="KY90" s="627"/>
      <c r="KZ90" s="627"/>
      <c r="LA90" s="627"/>
      <c r="LB90" s="627"/>
      <c r="LC90" s="627"/>
      <c r="LD90" s="627"/>
      <c r="LE90" s="627"/>
      <c r="LF90" s="627"/>
      <c r="LG90" s="627"/>
      <c r="LH90" s="627"/>
      <c r="LI90" s="627"/>
      <c r="LJ90" s="627"/>
      <c r="LK90" s="627"/>
      <c r="LL90" s="627"/>
      <c r="LM90" s="627"/>
      <c r="LN90" s="627"/>
      <c r="LO90" s="627"/>
      <c r="LP90" s="627"/>
      <c r="LQ90" s="627"/>
      <c r="LR90" s="627"/>
      <c r="LS90" s="627"/>
      <c r="LT90" s="627"/>
      <c r="LU90" s="627"/>
      <c r="LV90" s="627"/>
      <c r="LW90" s="627"/>
      <c r="LX90" s="627"/>
      <c r="LY90" s="627"/>
      <c r="LZ90" s="627"/>
      <c r="MA90" s="627"/>
      <c r="MB90" s="627"/>
      <c r="MC90" s="627"/>
      <c r="MD90" s="627"/>
      <c r="ME90" s="627"/>
      <c r="MF90" s="627"/>
      <c r="MG90" s="627"/>
      <c r="MH90" s="627"/>
      <c r="MI90" s="627"/>
      <c r="MJ90" s="627"/>
      <c r="MK90" s="627"/>
      <c r="ML90" s="627"/>
      <c r="MM90" s="627"/>
      <c r="MN90" s="627"/>
      <c r="MO90" s="627"/>
      <c r="MP90" s="627"/>
      <c r="MQ90" s="627"/>
      <c r="MR90" s="627"/>
      <c r="MS90" s="627"/>
      <c r="MT90" s="627"/>
      <c r="MU90" s="627"/>
      <c r="MV90" s="627"/>
      <c r="MW90" s="627"/>
      <c r="MX90" s="627"/>
      <c r="MY90" s="627"/>
      <c r="MZ90" s="627"/>
      <c r="NA90" s="627"/>
      <c r="NB90" s="627"/>
      <c r="NC90" s="627"/>
      <c r="ND90" s="627"/>
      <c r="NE90" s="627"/>
      <c r="NF90" s="627"/>
      <c r="NG90" s="627"/>
      <c r="NH90" s="627"/>
      <c r="NI90" s="627"/>
      <c r="NJ90" s="627"/>
      <c r="NK90" s="627"/>
      <c r="NL90" s="627"/>
      <c r="NM90" s="627"/>
      <c r="NN90" s="627"/>
      <c r="NO90" s="627"/>
      <c r="NP90" s="627"/>
      <c r="NQ90" s="627"/>
      <c r="NR90" s="627"/>
      <c r="NS90" s="627"/>
      <c r="NT90" s="627"/>
      <c r="NU90" s="627"/>
      <c r="NV90" s="627"/>
      <c r="NW90" s="627"/>
      <c r="NX90" s="627"/>
      <c r="NY90" s="627"/>
      <c r="NZ90" s="627"/>
      <c r="OA90" s="627"/>
      <c r="OB90" s="627"/>
      <c r="OC90" s="627"/>
      <c r="OD90" s="627"/>
      <c r="OE90" s="627"/>
      <c r="OF90" s="627"/>
      <c r="OG90" s="627"/>
      <c r="OH90" s="627"/>
      <c r="OI90" s="627"/>
      <c r="OJ90" s="627"/>
      <c r="OK90" s="627"/>
      <c r="OL90" s="627"/>
      <c r="OM90" s="627"/>
      <c r="ON90" s="627"/>
      <c r="OO90" s="627"/>
      <c r="OP90" s="627"/>
      <c r="OQ90" s="627"/>
      <c r="OR90" s="627"/>
      <c r="OS90" s="627"/>
      <c r="OT90" s="627"/>
      <c r="OU90" s="627"/>
      <c r="OV90" s="627"/>
      <c r="OW90" s="627"/>
      <c r="OX90" s="627"/>
      <c r="OY90" s="627"/>
      <c r="OZ90" s="627"/>
      <c r="PA90" s="627"/>
      <c r="PB90" s="627"/>
      <c r="PC90" s="627"/>
      <c r="PD90" s="627"/>
      <c r="PE90" s="627"/>
      <c r="PF90" s="627"/>
      <c r="PG90" s="627"/>
      <c r="PH90" s="627"/>
      <c r="PI90" s="627"/>
      <c r="PJ90" s="627"/>
      <c r="PK90" s="627"/>
      <c r="PL90" s="627"/>
      <c r="PM90" s="627"/>
      <c r="PN90" s="627"/>
      <c r="PO90" s="627"/>
      <c r="PP90" s="627"/>
      <c r="PQ90" s="627"/>
      <c r="PR90" s="627"/>
      <c r="PS90" s="627"/>
      <c r="PT90" s="627"/>
      <c r="PU90" s="627"/>
      <c r="PV90" s="627"/>
      <c r="PW90" s="627"/>
      <c r="PX90" s="627"/>
      <c r="PY90" s="627"/>
      <c r="PZ90" s="627"/>
      <c r="QA90" s="627"/>
      <c r="QB90" s="627"/>
      <c r="QC90" s="627"/>
      <c r="QD90" s="627"/>
      <c r="QE90" s="627"/>
      <c r="QF90" s="627"/>
      <c r="QG90" s="627"/>
      <c r="QH90" s="627"/>
      <c r="QI90" s="627"/>
      <c r="QJ90" s="627"/>
      <c r="QK90" s="627"/>
      <c r="QL90" s="627"/>
      <c r="QM90" s="627"/>
      <c r="QN90" s="627"/>
      <c r="QO90" s="627"/>
      <c r="QP90" s="627"/>
      <c r="QQ90" s="627"/>
      <c r="QR90" s="627"/>
      <c r="QS90" s="627"/>
      <c r="QT90" s="627"/>
      <c r="QU90" s="627"/>
      <c r="QV90" s="627"/>
      <c r="QW90" s="627"/>
      <c r="QX90" s="627"/>
      <c r="QY90" s="627"/>
      <c r="QZ90" s="627"/>
      <c r="RA90" s="627"/>
      <c r="RB90" s="627"/>
      <c r="RC90" s="627"/>
      <c r="RD90" s="627"/>
      <c r="RE90" s="627"/>
      <c r="RF90" s="627"/>
      <c r="RG90" s="627"/>
      <c r="RH90" s="627"/>
      <c r="RI90" s="627"/>
      <c r="RJ90" s="627"/>
      <c r="RK90" s="627"/>
      <c r="RL90" s="627"/>
      <c r="RM90" s="627"/>
      <c r="RN90" s="627"/>
      <c r="RO90" s="627"/>
      <c r="RP90" s="627"/>
      <c r="RQ90" s="627"/>
      <c r="RR90" s="627"/>
      <c r="RS90" s="627"/>
      <c r="RT90" s="627"/>
      <c r="RU90" s="627"/>
      <c r="RV90" s="627"/>
      <c r="RW90" s="627"/>
      <c r="RX90" s="627"/>
      <c r="RY90" s="627"/>
      <c r="RZ90" s="627"/>
      <c r="SA90" s="627"/>
      <c r="SB90" s="627"/>
      <c r="SC90" s="627"/>
      <c r="SD90" s="627"/>
      <c r="SE90" s="627"/>
      <c r="SF90" s="627"/>
      <c r="SG90" s="627"/>
      <c r="SH90" s="627"/>
      <c r="SI90" s="627"/>
      <c r="SJ90" s="627"/>
      <c r="SK90" s="627"/>
      <c r="SL90" s="627"/>
      <c r="SM90" s="627"/>
      <c r="SN90" s="627"/>
      <c r="SO90" s="627"/>
      <c r="SP90" s="627"/>
      <c r="SQ90" s="627"/>
      <c r="SR90" s="627"/>
      <c r="SS90" s="627"/>
      <c r="ST90" s="627"/>
      <c r="SU90" s="627"/>
      <c r="SV90" s="627"/>
      <c r="SW90" s="627"/>
      <c r="SX90" s="627"/>
      <c r="SY90" s="627"/>
      <c r="SZ90" s="627"/>
      <c r="TA90" s="627"/>
      <c r="TB90" s="627"/>
      <c r="TC90" s="627"/>
      <c r="TD90" s="627"/>
      <c r="TE90" s="627"/>
      <c r="TF90" s="627"/>
      <c r="TG90" s="627"/>
      <c r="TH90" s="627"/>
      <c r="TI90" s="627"/>
      <c r="TJ90" s="627"/>
      <c r="TK90" s="627"/>
      <c r="TL90" s="627"/>
      <c r="TM90" s="627"/>
      <c r="TN90" s="627"/>
      <c r="TO90" s="627"/>
      <c r="TP90" s="627"/>
      <c r="TQ90" s="627"/>
      <c r="TR90" s="627"/>
      <c r="TS90" s="627"/>
      <c r="TT90" s="627"/>
      <c r="TU90" s="627"/>
      <c r="TV90" s="627"/>
      <c r="TW90" s="627"/>
      <c r="TX90" s="627"/>
      <c r="TY90" s="627"/>
      <c r="TZ90" s="627"/>
      <c r="UA90" s="627"/>
      <c r="UB90" s="627"/>
      <c r="UC90" s="627"/>
      <c r="UD90" s="627"/>
      <c r="UE90" s="627"/>
      <c r="UF90" s="627"/>
      <c r="UG90" s="627"/>
      <c r="UH90" s="627"/>
      <c r="UI90" s="627"/>
      <c r="UJ90" s="627"/>
      <c r="UK90" s="627"/>
      <c r="UL90" s="627"/>
      <c r="UM90" s="627"/>
      <c r="UN90" s="627"/>
      <c r="UO90" s="627"/>
      <c r="UP90" s="627"/>
      <c r="UQ90" s="627"/>
      <c r="UR90" s="627"/>
      <c r="US90" s="627"/>
      <c r="UT90" s="627"/>
      <c r="UU90" s="627"/>
      <c r="UV90" s="627"/>
      <c r="UW90" s="627"/>
      <c r="UX90" s="627"/>
      <c r="UY90" s="627"/>
      <c r="UZ90" s="627"/>
      <c r="VA90" s="627"/>
      <c r="VB90" s="627"/>
      <c r="VC90" s="627"/>
      <c r="VD90" s="627"/>
      <c r="VE90" s="627"/>
      <c r="VF90" s="627"/>
      <c r="VG90" s="627"/>
      <c r="VH90" s="627"/>
      <c r="VI90" s="627"/>
      <c r="VJ90" s="627"/>
      <c r="VK90" s="627"/>
      <c r="VL90" s="627"/>
      <c r="VM90" s="627"/>
      <c r="VN90" s="627"/>
      <c r="VO90" s="627"/>
      <c r="VP90" s="627"/>
      <c r="VQ90" s="627"/>
      <c r="VR90" s="627"/>
      <c r="VS90" s="627"/>
      <c r="VT90" s="627"/>
      <c r="VU90" s="627"/>
      <c r="VV90" s="627"/>
      <c r="VW90" s="627"/>
      <c r="VX90" s="627"/>
      <c r="VY90" s="627"/>
      <c r="VZ90" s="627"/>
      <c r="WA90" s="627"/>
      <c r="WB90" s="627"/>
      <c r="WC90" s="627"/>
      <c r="WD90" s="627"/>
      <c r="WE90" s="627"/>
      <c r="WF90" s="627"/>
      <c r="WG90" s="627"/>
      <c r="WH90" s="627"/>
      <c r="WI90" s="627"/>
      <c r="WJ90" s="627"/>
      <c r="WK90" s="627"/>
      <c r="WL90" s="627"/>
      <c r="WM90" s="627"/>
      <c r="WN90" s="627"/>
      <c r="WO90" s="627"/>
      <c r="WP90" s="627"/>
      <c r="WQ90" s="627"/>
      <c r="WR90" s="627"/>
      <c r="WS90" s="627"/>
      <c r="WT90" s="627"/>
      <c r="WU90" s="627"/>
      <c r="WV90" s="627"/>
      <c r="WW90" s="627"/>
      <c r="WX90" s="627"/>
      <c r="WY90" s="627"/>
      <c r="WZ90" s="627"/>
      <c r="XA90" s="627"/>
      <c r="XB90" s="627"/>
      <c r="XC90" s="627"/>
      <c r="XD90" s="627"/>
      <c r="XE90" s="627"/>
      <c r="XF90" s="627"/>
      <c r="XG90" s="627"/>
      <c r="XH90" s="627"/>
      <c r="XI90" s="627"/>
      <c r="XJ90" s="627"/>
      <c r="XK90" s="627"/>
      <c r="XL90" s="627"/>
      <c r="XM90" s="627"/>
      <c r="XN90" s="627"/>
      <c r="XO90" s="627"/>
      <c r="XP90" s="627"/>
      <c r="XQ90" s="627"/>
      <c r="XR90" s="627"/>
      <c r="XS90" s="627"/>
      <c r="XT90" s="627"/>
      <c r="XU90" s="627"/>
      <c r="XV90" s="627"/>
      <c r="XW90" s="627"/>
      <c r="XX90" s="627"/>
      <c r="XY90" s="627"/>
      <c r="XZ90" s="627"/>
      <c r="YA90" s="627"/>
      <c r="YB90" s="627"/>
      <c r="YC90" s="627"/>
      <c r="YD90" s="627"/>
      <c r="YE90" s="627"/>
      <c r="YF90" s="627"/>
      <c r="YG90" s="627"/>
      <c r="YH90" s="627"/>
      <c r="YI90" s="627"/>
      <c r="YJ90" s="627"/>
      <c r="YK90" s="627"/>
      <c r="YL90" s="627"/>
      <c r="YM90" s="627"/>
      <c r="YN90" s="627"/>
      <c r="YO90" s="627"/>
      <c r="YP90" s="627"/>
      <c r="YQ90" s="627"/>
      <c r="YR90" s="627"/>
      <c r="YS90" s="627"/>
      <c r="YT90" s="627"/>
      <c r="YU90" s="627"/>
      <c r="YV90" s="627"/>
      <c r="YW90" s="627"/>
      <c r="YX90" s="627"/>
      <c r="YY90" s="627"/>
      <c r="YZ90" s="627"/>
      <c r="ZA90" s="627"/>
      <c r="ZB90" s="627"/>
      <c r="ZC90" s="627"/>
      <c r="ZD90" s="627"/>
      <c r="ZE90" s="627"/>
      <c r="ZF90" s="627"/>
      <c r="ZG90" s="627"/>
      <c r="ZH90" s="627"/>
      <c r="ZI90" s="627"/>
      <c r="ZJ90" s="627"/>
      <c r="ZK90" s="627"/>
      <c r="ZL90" s="627"/>
      <c r="ZM90" s="627"/>
      <c r="ZN90" s="627"/>
      <c r="ZO90" s="627"/>
      <c r="ZP90" s="627"/>
      <c r="ZQ90" s="627"/>
      <c r="ZR90" s="627"/>
      <c r="ZS90" s="627"/>
      <c r="ZT90" s="627"/>
      <c r="ZU90" s="627"/>
      <c r="ZV90" s="627"/>
      <c r="ZW90" s="627"/>
      <c r="ZX90" s="627"/>
      <c r="ZY90" s="627"/>
      <c r="ZZ90" s="627"/>
      <c r="AAA90" s="627"/>
      <c r="AAB90" s="627"/>
      <c r="AAC90" s="627"/>
      <c r="AAD90" s="627"/>
      <c r="AAE90" s="627"/>
      <c r="AAF90" s="627"/>
      <c r="AAG90" s="627"/>
      <c r="AAH90" s="627"/>
      <c r="AAI90" s="627"/>
      <c r="AAJ90" s="627"/>
      <c r="AAK90" s="627"/>
      <c r="AAL90" s="627"/>
      <c r="AAM90" s="627"/>
      <c r="AAN90" s="627"/>
      <c r="AAO90" s="627"/>
      <c r="AAP90" s="627"/>
      <c r="AAQ90" s="627"/>
      <c r="AAR90" s="627"/>
      <c r="AAS90" s="627"/>
      <c r="AAT90" s="627"/>
      <c r="AAU90" s="627"/>
      <c r="AAV90" s="627"/>
      <c r="AAW90" s="627"/>
      <c r="AAX90" s="627"/>
      <c r="AAY90" s="627"/>
      <c r="AAZ90" s="627"/>
      <c r="ABA90" s="627"/>
      <c r="ABB90" s="627"/>
      <c r="ABC90" s="627"/>
      <c r="ABD90" s="627"/>
      <c r="ABE90" s="627"/>
      <c r="ABF90" s="627"/>
      <c r="ABG90" s="627"/>
      <c r="ABH90" s="627"/>
      <c r="ABI90" s="627"/>
      <c r="ABJ90" s="627"/>
      <c r="ABK90" s="627"/>
      <c r="ABL90" s="627"/>
      <c r="ABM90" s="627"/>
      <c r="ABN90" s="627"/>
      <c r="ABO90" s="627"/>
      <c r="ABP90" s="627"/>
      <c r="ABQ90" s="627"/>
      <c r="ABR90" s="627"/>
      <c r="ABS90" s="627"/>
      <c r="ABT90" s="627"/>
      <c r="ABU90" s="627"/>
      <c r="ABV90" s="627"/>
      <c r="ABW90" s="627"/>
      <c r="ABX90" s="627"/>
      <c r="ABY90" s="627"/>
      <c r="ABZ90" s="627"/>
      <c r="ACA90" s="627"/>
      <c r="ACB90" s="627"/>
      <c r="ACC90" s="627"/>
      <c r="ACD90" s="627"/>
      <c r="ACE90" s="627"/>
      <c r="ACF90" s="627"/>
      <c r="ACG90" s="627"/>
      <c r="ACH90" s="627"/>
      <c r="ACI90" s="627"/>
      <c r="ACJ90" s="627"/>
      <c r="ACK90" s="627"/>
      <c r="ACL90" s="627"/>
      <c r="ACM90" s="627"/>
      <c r="ACN90" s="627"/>
      <c r="ACO90" s="627"/>
      <c r="ACP90" s="627"/>
      <c r="ACQ90" s="627"/>
      <c r="ACR90" s="627"/>
      <c r="ACS90" s="627"/>
      <c r="ACT90" s="627"/>
      <c r="ACU90" s="627"/>
      <c r="ACV90" s="627"/>
      <c r="ACW90" s="627"/>
      <c r="ACX90" s="627"/>
      <c r="ACY90" s="627"/>
      <c r="ACZ90" s="627"/>
      <c r="ADA90" s="627"/>
      <c r="ADB90" s="627"/>
      <c r="ADC90" s="627"/>
      <c r="ADD90" s="627"/>
      <c r="ADE90" s="627"/>
      <c r="ADF90" s="627"/>
      <c r="ADG90" s="627"/>
      <c r="ADH90" s="627"/>
      <c r="ADI90" s="627"/>
      <c r="ADJ90" s="627"/>
      <c r="ADK90" s="627"/>
      <c r="ADL90" s="627"/>
      <c r="ADM90" s="627"/>
      <c r="ADN90" s="627"/>
      <c r="ADO90" s="627"/>
      <c r="ADP90" s="627"/>
      <c r="ADQ90" s="627"/>
      <c r="ADR90" s="627"/>
      <c r="ADS90" s="627"/>
      <c r="ADT90" s="627"/>
      <c r="ADU90" s="627"/>
      <c r="ADV90" s="627"/>
      <c r="ADW90" s="627"/>
      <c r="ADX90" s="627"/>
      <c r="ADY90" s="627"/>
      <c r="ADZ90" s="627"/>
      <c r="AEA90" s="627"/>
      <c r="AEB90" s="627"/>
      <c r="AEC90" s="627"/>
      <c r="AED90" s="627"/>
      <c r="AEE90" s="627"/>
      <c r="AEF90" s="627"/>
      <c r="AEG90" s="627"/>
      <c r="AEH90" s="627"/>
      <c r="AEI90" s="627"/>
      <c r="AEJ90" s="627"/>
      <c r="AEK90" s="627"/>
      <c r="AEL90" s="627"/>
      <c r="AEM90" s="627"/>
      <c r="AEN90" s="627"/>
      <c r="AEO90" s="627"/>
      <c r="AEP90" s="627"/>
      <c r="AEQ90" s="627"/>
      <c r="AER90" s="627"/>
      <c r="AES90" s="627"/>
      <c r="AET90" s="627"/>
      <c r="AEU90" s="627"/>
      <c r="AEV90" s="627"/>
      <c r="AEW90" s="627"/>
      <c r="AEX90" s="627"/>
      <c r="AEY90" s="627"/>
      <c r="AEZ90" s="627"/>
      <c r="AFA90" s="627"/>
      <c r="AFB90" s="627"/>
      <c r="AFC90" s="627"/>
      <c r="AFD90" s="627"/>
      <c r="AFE90" s="627"/>
      <c r="AFF90" s="627"/>
      <c r="AFG90" s="627"/>
      <c r="AFH90" s="627"/>
      <c r="AFI90" s="627"/>
      <c r="AFJ90" s="627"/>
      <c r="AFK90" s="627"/>
      <c r="AFL90" s="627"/>
      <c r="AFM90" s="627"/>
      <c r="AFN90" s="627"/>
      <c r="AFO90" s="627"/>
      <c r="AFP90" s="627"/>
      <c r="AFQ90" s="627"/>
      <c r="AFR90" s="627"/>
      <c r="AFS90" s="627"/>
      <c r="AFT90" s="627"/>
      <c r="AFU90" s="627"/>
      <c r="AFV90" s="627"/>
      <c r="AFW90" s="627"/>
      <c r="AFX90" s="627"/>
      <c r="AFY90" s="627"/>
      <c r="AFZ90" s="627"/>
      <c r="AGA90" s="627"/>
      <c r="AGB90" s="627"/>
      <c r="AGC90" s="627"/>
      <c r="AGD90" s="627"/>
      <c r="AGE90" s="627"/>
      <c r="AGF90" s="627"/>
      <c r="AGG90" s="627"/>
      <c r="AGH90" s="627"/>
      <c r="AGI90" s="627"/>
      <c r="AGJ90" s="627"/>
      <c r="AGK90" s="627"/>
      <c r="AGL90" s="627"/>
      <c r="AGM90" s="627"/>
      <c r="AGN90" s="627"/>
      <c r="AGO90" s="627"/>
      <c r="AGP90" s="627"/>
      <c r="AGQ90" s="627"/>
      <c r="AGR90" s="627"/>
      <c r="AGS90" s="627"/>
      <c r="AGT90" s="627"/>
      <c r="AGU90" s="627"/>
      <c r="AGV90" s="627"/>
      <c r="AGW90" s="627"/>
      <c r="AGX90" s="627"/>
      <c r="AGY90" s="627"/>
      <c r="AGZ90" s="627"/>
      <c r="AHA90" s="627"/>
      <c r="AHB90" s="627"/>
      <c r="AHC90" s="627"/>
      <c r="AHD90" s="627"/>
      <c r="AHE90" s="627"/>
      <c r="AHF90" s="627"/>
      <c r="AHG90" s="627"/>
      <c r="AHH90" s="627"/>
      <c r="AHI90" s="627"/>
      <c r="AHJ90" s="627"/>
      <c r="AHK90" s="627"/>
      <c r="AHL90" s="627"/>
      <c r="AHM90" s="627"/>
      <c r="AHN90" s="627"/>
      <c r="AHO90" s="627"/>
      <c r="AHP90" s="627"/>
      <c r="AHQ90" s="627"/>
      <c r="AHR90" s="627"/>
      <c r="AHS90" s="627"/>
      <c r="AHT90" s="627"/>
      <c r="AHU90" s="627"/>
      <c r="AHV90" s="627"/>
      <c r="AHW90" s="627"/>
      <c r="AHX90" s="627"/>
      <c r="AHY90" s="627"/>
      <c r="AHZ90" s="627"/>
      <c r="AIA90" s="627"/>
      <c r="AIB90" s="627"/>
      <c r="AIC90" s="627"/>
      <c r="AID90" s="627"/>
      <c r="AIE90" s="627"/>
      <c r="AIF90" s="627"/>
      <c r="AIG90" s="627"/>
      <c r="AIH90" s="627"/>
      <c r="AII90" s="627"/>
      <c r="AIJ90" s="627"/>
      <c r="AIK90" s="627"/>
      <c r="AIL90" s="627"/>
      <c r="AIM90" s="627"/>
      <c r="AIN90" s="627"/>
      <c r="AIO90" s="627"/>
      <c r="AIP90" s="627"/>
      <c r="AIQ90" s="627"/>
      <c r="AIR90" s="627"/>
      <c r="AIS90" s="627"/>
      <c r="AIT90" s="627"/>
      <c r="AIU90" s="627"/>
      <c r="AIV90" s="627"/>
      <c r="AIW90" s="627"/>
      <c r="AIX90" s="627"/>
      <c r="AIY90" s="627"/>
      <c r="AIZ90" s="627"/>
      <c r="AJA90" s="627"/>
      <c r="AJB90" s="627"/>
      <c r="AJC90" s="627"/>
      <c r="AJD90" s="627"/>
      <c r="AJE90" s="627"/>
      <c r="AJF90" s="627"/>
      <c r="AJG90" s="627"/>
      <c r="AJH90" s="627"/>
      <c r="AJI90" s="627"/>
      <c r="AJJ90" s="627"/>
      <c r="AJK90" s="627"/>
      <c r="AJL90" s="627"/>
      <c r="AJM90" s="627"/>
      <c r="AJN90" s="627"/>
      <c r="AJO90" s="627"/>
      <c r="AJP90" s="627"/>
      <c r="AJQ90" s="627"/>
      <c r="AJR90" s="627"/>
      <c r="AJS90" s="627"/>
      <c r="AJT90" s="627"/>
      <c r="AJU90" s="627"/>
      <c r="AJV90" s="627"/>
      <c r="AJW90" s="627"/>
      <c r="AJX90" s="627"/>
      <c r="AJY90" s="627"/>
      <c r="AJZ90" s="627"/>
      <c r="AKA90" s="627"/>
      <c r="AKB90" s="627"/>
      <c r="AKC90" s="627"/>
      <c r="AKD90" s="627"/>
      <c r="AKE90" s="627"/>
      <c r="AKF90" s="627"/>
      <c r="AKG90" s="627"/>
      <c r="AKH90" s="627"/>
      <c r="AKI90" s="627"/>
      <c r="AKJ90" s="627"/>
      <c r="AKK90" s="627"/>
      <c r="AKL90" s="627"/>
      <c r="AKM90" s="627"/>
      <c r="AKN90" s="627"/>
      <c r="AKO90" s="627"/>
      <c r="AKP90" s="627"/>
      <c r="AKQ90" s="627"/>
      <c r="AKR90" s="627"/>
      <c r="AKS90" s="627"/>
      <c r="AKT90" s="627"/>
      <c r="AKU90" s="627"/>
      <c r="AKV90" s="627"/>
      <c r="AKW90" s="627"/>
      <c r="AKX90" s="627"/>
      <c r="AKY90" s="627"/>
      <c r="AKZ90" s="627"/>
      <c r="ALA90" s="627"/>
      <c r="ALB90" s="627"/>
      <c r="ALC90" s="627"/>
      <c r="ALD90" s="627"/>
      <c r="ALE90" s="627"/>
      <c r="ALF90" s="627"/>
      <c r="ALG90" s="627"/>
      <c r="ALH90" s="627"/>
      <c r="ALI90" s="627"/>
      <c r="ALJ90" s="627"/>
      <c r="ALK90" s="627"/>
      <c r="ALL90" s="627"/>
      <c r="ALM90" s="627"/>
      <c r="ALN90" s="627"/>
      <c r="ALO90" s="627"/>
      <c r="ALP90" s="627"/>
      <c r="ALQ90" s="627"/>
      <c r="ALR90" s="627"/>
      <c r="ALS90" s="627"/>
      <c r="ALT90" s="627"/>
      <c r="ALU90" s="627"/>
      <c r="ALV90" s="627"/>
      <c r="ALW90" s="627"/>
      <c r="ALX90" s="627"/>
      <c r="ALY90" s="627"/>
      <c r="ALZ90" s="627"/>
      <c r="AMA90" s="627"/>
      <c r="AMB90" s="627"/>
      <c r="AMC90" s="627"/>
      <c r="AMD90" s="627"/>
      <c r="AME90" s="627"/>
      <c r="AMF90" s="627"/>
    </row>
    <row r="91" spans="1:1020" s="485" customFormat="1" ht="12.75" customHeight="1" x14ac:dyDescent="0.15">
      <c r="A91" s="627"/>
      <c r="B91" s="627"/>
      <c r="C91" s="627"/>
      <c r="D91" s="627"/>
      <c r="E91" s="627"/>
      <c r="F91" s="627"/>
      <c r="G91" s="627"/>
      <c r="H91" s="627"/>
      <c r="I91" s="627"/>
      <c r="J91" s="627"/>
      <c r="K91" s="627"/>
      <c r="L91" s="627"/>
      <c r="M91" s="627"/>
      <c r="N91" s="627"/>
      <c r="O91" s="627"/>
      <c r="P91" s="627"/>
      <c r="Q91" s="627"/>
      <c r="R91" s="627"/>
      <c r="S91" s="627"/>
      <c r="T91" s="627"/>
      <c r="U91" s="627"/>
      <c r="V91" s="627"/>
      <c r="W91" s="627"/>
      <c r="X91" s="627"/>
      <c r="Y91" s="627"/>
      <c r="Z91" s="627"/>
      <c r="AA91" s="627"/>
      <c r="AB91" s="627"/>
      <c r="AC91" s="627"/>
      <c r="AD91" s="627"/>
      <c r="AE91" s="627"/>
      <c r="AF91" s="627"/>
      <c r="AG91" s="627"/>
      <c r="AH91" s="627"/>
      <c r="AI91" s="627"/>
      <c r="AJ91" s="627"/>
      <c r="AK91" s="627"/>
      <c r="AL91" s="627"/>
      <c r="AM91" s="627"/>
      <c r="AN91" s="627"/>
      <c r="AO91" s="627"/>
      <c r="AP91" s="627" t="s">
        <v>793</v>
      </c>
      <c r="AQ91" s="627"/>
      <c r="AR91" s="627"/>
      <c r="AS91" s="627"/>
      <c r="AT91" s="627"/>
      <c r="AU91" s="627"/>
      <c r="AV91" s="627"/>
      <c r="AW91" s="627"/>
      <c r="AX91" s="627"/>
      <c r="AY91" s="627"/>
      <c r="AZ91" s="627"/>
      <c r="BA91" s="629" t="s">
        <v>1195</v>
      </c>
      <c r="BB91" s="627"/>
      <c r="BC91" s="627"/>
      <c r="BD91" s="627"/>
      <c r="BE91" s="627"/>
      <c r="BG91" s="486"/>
      <c r="BH91" s="436"/>
      <c r="BI91" s="436"/>
      <c r="BJ91" s="436"/>
      <c r="BK91" s="436"/>
      <c r="BL91" s="436"/>
      <c r="BM91" s="436"/>
      <c r="BN91" s="436"/>
      <c r="BO91" s="436"/>
      <c r="BP91" s="436"/>
      <c r="BQ91" s="436"/>
      <c r="BR91" s="436"/>
      <c r="BS91" s="436"/>
      <c r="BT91" s="436"/>
      <c r="BU91" s="436"/>
      <c r="BV91" s="627"/>
      <c r="BW91" s="627"/>
      <c r="BX91" s="627"/>
      <c r="BY91" s="627"/>
      <c r="BZ91" s="627"/>
      <c r="CA91" s="627"/>
      <c r="CB91" s="627"/>
      <c r="CC91" s="627"/>
      <c r="CD91" s="627"/>
      <c r="CE91" s="627"/>
      <c r="CF91" s="627"/>
      <c r="CG91" s="627"/>
      <c r="CH91" s="627"/>
      <c r="CI91" s="627"/>
      <c r="CJ91" s="627"/>
      <c r="CK91" s="627"/>
      <c r="CL91" s="627"/>
      <c r="CM91" s="627"/>
      <c r="CN91" s="627"/>
      <c r="CO91" s="627"/>
      <c r="CP91" s="627"/>
      <c r="CQ91" s="627"/>
      <c r="CR91" s="627"/>
      <c r="CS91" s="627"/>
      <c r="CT91" s="627"/>
      <c r="CU91" s="627"/>
      <c r="CV91" s="627"/>
      <c r="CW91" s="627"/>
      <c r="CX91" s="627"/>
      <c r="CY91" s="627"/>
      <c r="CZ91" s="627"/>
      <c r="DA91" s="627"/>
      <c r="DB91" s="627"/>
      <c r="DC91" s="627"/>
      <c r="DD91" s="627"/>
      <c r="DE91" s="627"/>
      <c r="DF91" s="627"/>
      <c r="DG91" s="627"/>
      <c r="DH91" s="627"/>
      <c r="DI91" s="627"/>
      <c r="DJ91" s="627"/>
      <c r="DK91" s="627"/>
      <c r="DL91" s="627"/>
      <c r="DM91" s="627"/>
      <c r="DN91" s="627"/>
      <c r="DO91" s="627"/>
      <c r="DP91" s="627"/>
      <c r="DQ91" s="627"/>
      <c r="DR91" s="627"/>
      <c r="DS91" s="627"/>
      <c r="DT91" s="627"/>
      <c r="DU91" s="627"/>
      <c r="DV91" s="627"/>
      <c r="DW91" s="627"/>
      <c r="DX91" s="627"/>
      <c r="DY91" s="627"/>
      <c r="DZ91" s="627"/>
      <c r="EA91" s="627"/>
      <c r="EB91" s="627"/>
      <c r="EC91" s="627"/>
      <c r="ED91" s="627"/>
      <c r="EE91" s="627"/>
      <c r="EF91" s="627"/>
      <c r="EG91" s="627"/>
      <c r="EH91" s="627"/>
      <c r="EI91" s="627"/>
      <c r="EJ91" s="627"/>
      <c r="EK91" s="627"/>
      <c r="EL91" s="627"/>
      <c r="EM91" s="627"/>
      <c r="EN91" s="627"/>
      <c r="EO91" s="627"/>
      <c r="EP91" s="627"/>
      <c r="EQ91" s="627"/>
      <c r="ER91" s="627"/>
      <c r="ES91" s="627"/>
      <c r="ET91" s="627"/>
      <c r="EU91" s="627"/>
      <c r="EV91" s="627"/>
      <c r="EW91" s="627"/>
      <c r="EX91" s="627"/>
      <c r="EY91" s="627"/>
      <c r="EZ91" s="627"/>
      <c r="FA91" s="627"/>
      <c r="FB91" s="627"/>
      <c r="FC91" s="627"/>
      <c r="FD91" s="627"/>
      <c r="FE91" s="627"/>
      <c r="FF91" s="627"/>
      <c r="FG91" s="627"/>
      <c r="FH91" s="627"/>
      <c r="FI91" s="627"/>
      <c r="FJ91" s="627"/>
      <c r="FK91" s="627"/>
      <c r="FL91" s="627"/>
      <c r="FM91" s="627"/>
      <c r="FN91" s="627"/>
      <c r="FO91" s="627"/>
      <c r="FP91" s="627"/>
      <c r="FQ91" s="627"/>
      <c r="FR91" s="627"/>
      <c r="FS91" s="627"/>
      <c r="FT91" s="627"/>
      <c r="FU91" s="627"/>
      <c r="FV91" s="627"/>
      <c r="FW91" s="627"/>
      <c r="FX91" s="627"/>
      <c r="FY91" s="627"/>
      <c r="FZ91" s="627"/>
      <c r="GA91" s="627"/>
      <c r="GB91" s="627"/>
      <c r="GC91" s="627"/>
      <c r="GD91" s="627"/>
      <c r="GE91" s="627"/>
      <c r="GF91" s="627"/>
      <c r="GG91" s="627"/>
      <c r="GH91" s="627"/>
      <c r="GI91" s="627"/>
      <c r="GJ91" s="627"/>
      <c r="GK91" s="627"/>
      <c r="GL91" s="627"/>
      <c r="GM91" s="627"/>
      <c r="GN91" s="627"/>
      <c r="GO91" s="627"/>
      <c r="GP91" s="627"/>
      <c r="GQ91" s="627"/>
      <c r="GR91" s="627"/>
      <c r="GS91" s="627"/>
      <c r="GT91" s="627"/>
      <c r="GU91" s="627"/>
      <c r="GV91" s="627"/>
      <c r="GW91" s="627"/>
      <c r="GX91" s="627"/>
      <c r="GY91" s="627"/>
      <c r="GZ91" s="627"/>
      <c r="HA91" s="627"/>
      <c r="HB91" s="627"/>
      <c r="HC91" s="627"/>
      <c r="HD91" s="627"/>
      <c r="HE91" s="627"/>
      <c r="HF91" s="627"/>
      <c r="HG91" s="627"/>
      <c r="HH91" s="627"/>
      <c r="HI91" s="627"/>
      <c r="HJ91" s="627"/>
      <c r="HK91" s="627"/>
      <c r="HL91" s="627"/>
      <c r="HM91" s="627"/>
      <c r="HN91" s="627"/>
      <c r="HO91" s="627"/>
      <c r="HP91" s="627"/>
      <c r="HQ91" s="627"/>
      <c r="HR91" s="627"/>
      <c r="HS91" s="627"/>
      <c r="HT91" s="627"/>
      <c r="HU91" s="627"/>
      <c r="HV91" s="627"/>
      <c r="HW91" s="627"/>
      <c r="HX91" s="627"/>
      <c r="HY91" s="627"/>
      <c r="HZ91" s="627"/>
      <c r="IA91" s="627"/>
      <c r="IB91" s="627"/>
      <c r="IC91" s="627"/>
      <c r="ID91" s="627"/>
      <c r="IE91" s="627"/>
      <c r="IF91" s="627"/>
      <c r="IG91" s="627"/>
      <c r="IH91" s="627"/>
      <c r="II91" s="627"/>
      <c r="IJ91" s="627"/>
      <c r="IK91" s="627"/>
      <c r="IL91" s="627"/>
      <c r="IM91" s="627"/>
      <c r="IN91" s="627"/>
      <c r="IO91" s="627"/>
      <c r="IP91" s="627"/>
      <c r="IQ91" s="627"/>
      <c r="IR91" s="627"/>
      <c r="IS91" s="627"/>
      <c r="IT91" s="627"/>
      <c r="IU91" s="627"/>
      <c r="IV91" s="627"/>
      <c r="IW91" s="627"/>
      <c r="IX91" s="627"/>
      <c r="IY91" s="627"/>
      <c r="IZ91" s="627"/>
      <c r="JA91" s="627"/>
      <c r="JB91" s="627"/>
      <c r="JC91" s="627"/>
      <c r="JD91" s="627"/>
      <c r="JE91" s="627"/>
      <c r="JF91" s="627"/>
      <c r="JG91" s="627"/>
      <c r="JH91" s="627"/>
      <c r="JI91" s="627"/>
      <c r="JJ91" s="627"/>
      <c r="JK91" s="627"/>
      <c r="JL91" s="627"/>
      <c r="JM91" s="627"/>
      <c r="JN91" s="627"/>
      <c r="JO91" s="627"/>
      <c r="JP91" s="627"/>
      <c r="JQ91" s="627"/>
      <c r="JR91" s="627"/>
      <c r="JS91" s="627"/>
      <c r="JT91" s="627"/>
      <c r="JU91" s="627"/>
      <c r="JV91" s="627"/>
      <c r="JW91" s="627"/>
      <c r="JX91" s="627"/>
      <c r="JY91" s="627"/>
      <c r="JZ91" s="627"/>
      <c r="KA91" s="627"/>
      <c r="KB91" s="627"/>
      <c r="KC91" s="627"/>
      <c r="KD91" s="627"/>
      <c r="KE91" s="627"/>
      <c r="KF91" s="627"/>
      <c r="KG91" s="627"/>
      <c r="KH91" s="627"/>
      <c r="KI91" s="627"/>
      <c r="KJ91" s="627"/>
      <c r="KK91" s="627"/>
      <c r="KL91" s="627"/>
      <c r="KM91" s="627"/>
      <c r="KN91" s="627"/>
      <c r="KO91" s="627"/>
      <c r="KP91" s="627"/>
      <c r="KQ91" s="627"/>
      <c r="KR91" s="627"/>
      <c r="KS91" s="627"/>
      <c r="KT91" s="627"/>
      <c r="KU91" s="627"/>
      <c r="KV91" s="627"/>
      <c r="KW91" s="627"/>
      <c r="KX91" s="627"/>
      <c r="KY91" s="627"/>
      <c r="KZ91" s="627"/>
      <c r="LA91" s="627"/>
      <c r="LB91" s="627"/>
      <c r="LC91" s="627"/>
      <c r="LD91" s="627"/>
      <c r="LE91" s="627"/>
      <c r="LF91" s="627"/>
      <c r="LG91" s="627"/>
      <c r="LH91" s="627"/>
      <c r="LI91" s="627"/>
      <c r="LJ91" s="627"/>
      <c r="LK91" s="627"/>
      <c r="LL91" s="627"/>
      <c r="LM91" s="627"/>
      <c r="LN91" s="627"/>
      <c r="LO91" s="627"/>
      <c r="LP91" s="627"/>
      <c r="LQ91" s="627"/>
      <c r="LR91" s="627"/>
      <c r="LS91" s="627"/>
      <c r="LT91" s="627"/>
      <c r="LU91" s="627"/>
      <c r="LV91" s="627"/>
      <c r="LW91" s="627"/>
      <c r="LX91" s="627"/>
      <c r="LY91" s="627"/>
      <c r="LZ91" s="627"/>
      <c r="MA91" s="627"/>
      <c r="MB91" s="627"/>
      <c r="MC91" s="627"/>
      <c r="MD91" s="627"/>
      <c r="ME91" s="627"/>
      <c r="MF91" s="627"/>
      <c r="MG91" s="627"/>
      <c r="MH91" s="627"/>
      <c r="MI91" s="627"/>
      <c r="MJ91" s="627"/>
      <c r="MK91" s="627"/>
      <c r="ML91" s="627"/>
      <c r="MM91" s="627"/>
      <c r="MN91" s="627"/>
      <c r="MO91" s="627"/>
      <c r="MP91" s="627"/>
      <c r="MQ91" s="627"/>
      <c r="MR91" s="627"/>
      <c r="MS91" s="627"/>
      <c r="MT91" s="627"/>
      <c r="MU91" s="627"/>
      <c r="MV91" s="627"/>
      <c r="MW91" s="627"/>
      <c r="MX91" s="627"/>
      <c r="MY91" s="627"/>
      <c r="MZ91" s="627"/>
      <c r="NA91" s="627"/>
      <c r="NB91" s="627"/>
      <c r="NC91" s="627"/>
      <c r="ND91" s="627"/>
      <c r="NE91" s="627"/>
      <c r="NF91" s="627"/>
      <c r="NG91" s="627"/>
      <c r="NH91" s="627"/>
      <c r="NI91" s="627"/>
      <c r="NJ91" s="627"/>
      <c r="NK91" s="627"/>
      <c r="NL91" s="627"/>
      <c r="NM91" s="627"/>
      <c r="NN91" s="627"/>
      <c r="NO91" s="627"/>
      <c r="NP91" s="627"/>
      <c r="NQ91" s="627"/>
      <c r="NR91" s="627"/>
      <c r="NS91" s="627"/>
      <c r="NT91" s="627"/>
      <c r="NU91" s="627"/>
      <c r="NV91" s="627"/>
      <c r="NW91" s="627"/>
      <c r="NX91" s="627"/>
      <c r="NY91" s="627"/>
      <c r="NZ91" s="627"/>
      <c r="OA91" s="627"/>
      <c r="OB91" s="627"/>
      <c r="OC91" s="627"/>
      <c r="OD91" s="627"/>
      <c r="OE91" s="627"/>
      <c r="OF91" s="627"/>
      <c r="OG91" s="627"/>
      <c r="OH91" s="627"/>
      <c r="OI91" s="627"/>
      <c r="OJ91" s="627"/>
      <c r="OK91" s="627"/>
      <c r="OL91" s="627"/>
      <c r="OM91" s="627"/>
      <c r="ON91" s="627"/>
      <c r="OO91" s="627"/>
      <c r="OP91" s="627"/>
      <c r="OQ91" s="627"/>
      <c r="OR91" s="627"/>
      <c r="OS91" s="627"/>
      <c r="OT91" s="627"/>
      <c r="OU91" s="627"/>
      <c r="OV91" s="627"/>
      <c r="OW91" s="627"/>
      <c r="OX91" s="627"/>
      <c r="OY91" s="627"/>
      <c r="OZ91" s="627"/>
      <c r="PA91" s="627"/>
      <c r="PB91" s="627"/>
      <c r="PC91" s="627"/>
      <c r="PD91" s="627"/>
      <c r="PE91" s="627"/>
      <c r="PF91" s="627"/>
      <c r="PG91" s="627"/>
      <c r="PH91" s="627"/>
      <c r="PI91" s="627"/>
      <c r="PJ91" s="627"/>
      <c r="PK91" s="627"/>
      <c r="PL91" s="627"/>
      <c r="PM91" s="627"/>
      <c r="PN91" s="627"/>
      <c r="PO91" s="627"/>
      <c r="PP91" s="627"/>
      <c r="PQ91" s="627"/>
      <c r="PR91" s="627"/>
      <c r="PS91" s="627"/>
      <c r="PT91" s="627"/>
      <c r="PU91" s="627"/>
      <c r="PV91" s="627"/>
      <c r="PW91" s="627"/>
      <c r="PX91" s="627"/>
      <c r="PY91" s="627"/>
      <c r="PZ91" s="627"/>
      <c r="QA91" s="627"/>
      <c r="QB91" s="627"/>
      <c r="QC91" s="627"/>
      <c r="QD91" s="627"/>
      <c r="QE91" s="627"/>
      <c r="QF91" s="627"/>
      <c r="QG91" s="627"/>
      <c r="QH91" s="627"/>
      <c r="QI91" s="627"/>
      <c r="QJ91" s="627"/>
      <c r="QK91" s="627"/>
      <c r="QL91" s="627"/>
      <c r="QM91" s="627"/>
      <c r="QN91" s="627"/>
      <c r="QO91" s="627"/>
      <c r="QP91" s="627"/>
      <c r="QQ91" s="627"/>
      <c r="QR91" s="627"/>
      <c r="QS91" s="627"/>
      <c r="QT91" s="627"/>
      <c r="QU91" s="627"/>
      <c r="QV91" s="627"/>
      <c r="QW91" s="627"/>
      <c r="QX91" s="627"/>
      <c r="QY91" s="627"/>
      <c r="QZ91" s="627"/>
      <c r="RA91" s="627"/>
      <c r="RB91" s="627"/>
      <c r="RC91" s="627"/>
      <c r="RD91" s="627"/>
      <c r="RE91" s="627"/>
      <c r="RF91" s="627"/>
      <c r="RG91" s="627"/>
      <c r="RH91" s="627"/>
      <c r="RI91" s="627"/>
      <c r="RJ91" s="627"/>
      <c r="RK91" s="627"/>
      <c r="RL91" s="627"/>
      <c r="RM91" s="627"/>
      <c r="RN91" s="627"/>
      <c r="RO91" s="627"/>
      <c r="RP91" s="627"/>
      <c r="RQ91" s="627"/>
      <c r="RR91" s="627"/>
      <c r="RS91" s="627"/>
      <c r="RT91" s="627"/>
      <c r="RU91" s="627"/>
      <c r="RV91" s="627"/>
      <c r="RW91" s="627"/>
      <c r="RX91" s="627"/>
      <c r="RY91" s="627"/>
      <c r="RZ91" s="627"/>
      <c r="SA91" s="627"/>
      <c r="SB91" s="627"/>
      <c r="SC91" s="627"/>
      <c r="SD91" s="627"/>
      <c r="SE91" s="627"/>
      <c r="SF91" s="627"/>
      <c r="SG91" s="627"/>
      <c r="SH91" s="627"/>
      <c r="SI91" s="627"/>
      <c r="SJ91" s="627"/>
      <c r="SK91" s="627"/>
      <c r="SL91" s="627"/>
      <c r="SM91" s="627"/>
      <c r="SN91" s="627"/>
      <c r="SO91" s="627"/>
      <c r="SP91" s="627"/>
      <c r="SQ91" s="627"/>
      <c r="SR91" s="627"/>
      <c r="SS91" s="627"/>
      <c r="ST91" s="627"/>
      <c r="SU91" s="627"/>
      <c r="SV91" s="627"/>
      <c r="SW91" s="627"/>
      <c r="SX91" s="627"/>
      <c r="SY91" s="627"/>
      <c r="SZ91" s="627"/>
      <c r="TA91" s="627"/>
      <c r="TB91" s="627"/>
      <c r="TC91" s="627"/>
      <c r="TD91" s="627"/>
      <c r="TE91" s="627"/>
      <c r="TF91" s="627"/>
      <c r="TG91" s="627"/>
      <c r="TH91" s="627"/>
      <c r="TI91" s="627"/>
      <c r="TJ91" s="627"/>
      <c r="TK91" s="627"/>
      <c r="TL91" s="627"/>
      <c r="TM91" s="627"/>
      <c r="TN91" s="627"/>
      <c r="TO91" s="627"/>
      <c r="TP91" s="627"/>
      <c r="TQ91" s="627"/>
      <c r="TR91" s="627"/>
      <c r="TS91" s="627"/>
      <c r="TT91" s="627"/>
      <c r="TU91" s="627"/>
      <c r="TV91" s="627"/>
      <c r="TW91" s="627"/>
      <c r="TX91" s="627"/>
      <c r="TY91" s="627"/>
      <c r="TZ91" s="627"/>
      <c r="UA91" s="627"/>
      <c r="UB91" s="627"/>
      <c r="UC91" s="627"/>
      <c r="UD91" s="627"/>
      <c r="UE91" s="627"/>
      <c r="UF91" s="627"/>
      <c r="UG91" s="627"/>
      <c r="UH91" s="627"/>
      <c r="UI91" s="627"/>
      <c r="UJ91" s="627"/>
      <c r="UK91" s="627"/>
      <c r="UL91" s="627"/>
      <c r="UM91" s="627"/>
      <c r="UN91" s="627"/>
      <c r="UO91" s="627"/>
      <c r="UP91" s="627"/>
      <c r="UQ91" s="627"/>
      <c r="UR91" s="627"/>
      <c r="US91" s="627"/>
      <c r="UT91" s="627"/>
      <c r="UU91" s="627"/>
      <c r="UV91" s="627"/>
      <c r="UW91" s="627"/>
      <c r="UX91" s="627"/>
      <c r="UY91" s="627"/>
      <c r="UZ91" s="627"/>
      <c r="VA91" s="627"/>
      <c r="VB91" s="627"/>
      <c r="VC91" s="627"/>
      <c r="VD91" s="627"/>
      <c r="VE91" s="627"/>
      <c r="VF91" s="627"/>
      <c r="VG91" s="627"/>
      <c r="VH91" s="627"/>
      <c r="VI91" s="627"/>
      <c r="VJ91" s="627"/>
      <c r="VK91" s="627"/>
      <c r="VL91" s="627"/>
      <c r="VM91" s="627"/>
      <c r="VN91" s="627"/>
      <c r="VO91" s="627"/>
      <c r="VP91" s="627"/>
      <c r="VQ91" s="627"/>
      <c r="VR91" s="627"/>
      <c r="VS91" s="627"/>
      <c r="VT91" s="627"/>
      <c r="VU91" s="627"/>
      <c r="VV91" s="627"/>
      <c r="VW91" s="627"/>
      <c r="VX91" s="627"/>
      <c r="VY91" s="627"/>
      <c r="VZ91" s="627"/>
      <c r="WA91" s="627"/>
      <c r="WB91" s="627"/>
      <c r="WC91" s="627"/>
      <c r="WD91" s="627"/>
      <c r="WE91" s="627"/>
      <c r="WF91" s="627"/>
      <c r="WG91" s="627"/>
      <c r="WH91" s="627"/>
      <c r="WI91" s="627"/>
      <c r="WJ91" s="627"/>
      <c r="WK91" s="627"/>
      <c r="WL91" s="627"/>
      <c r="WM91" s="627"/>
      <c r="WN91" s="627"/>
      <c r="WO91" s="627"/>
      <c r="WP91" s="627"/>
      <c r="WQ91" s="627"/>
      <c r="WR91" s="627"/>
      <c r="WS91" s="627"/>
      <c r="WT91" s="627"/>
      <c r="WU91" s="627"/>
      <c r="WV91" s="627"/>
      <c r="WW91" s="627"/>
      <c r="WX91" s="627"/>
      <c r="WY91" s="627"/>
      <c r="WZ91" s="627"/>
      <c r="XA91" s="627"/>
      <c r="XB91" s="627"/>
      <c r="XC91" s="627"/>
      <c r="XD91" s="627"/>
      <c r="XE91" s="627"/>
      <c r="XF91" s="627"/>
      <c r="XG91" s="627"/>
      <c r="XH91" s="627"/>
      <c r="XI91" s="627"/>
      <c r="XJ91" s="627"/>
      <c r="XK91" s="627"/>
      <c r="XL91" s="627"/>
      <c r="XM91" s="627"/>
      <c r="XN91" s="627"/>
      <c r="XO91" s="627"/>
      <c r="XP91" s="627"/>
      <c r="XQ91" s="627"/>
      <c r="XR91" s="627"/>
      <c r="XS91" s="627"/>
      <c r="XT91" s="627"/>
      <c r="XU91" s="627"/>
      <c r="XV91" s="627"/>
      <c r="XW91" s="627"/>
      <c r="XX91" s="627"/>
      <c r="XY91" s="627"/>
      <c r="XZ91" s="627"/>
      <c r="YA91" s="627"/>
      <c r="YB91" s="627"/>
      <c r="YC91" s="627"/>
      <c r="YD91" s="627"/>
      <c r="YE91" s="627"/>
      <c r="YF91" s="627"/>
      <c r="YG91" s="627"/>
      <c r="YH91" s="627"/>
      <c r="YI91" s="627"/>
      <c r="YJ91" s="627"/>
      <c r="YK91" s="627"/>
      <c r="YL91" s="627"/>
      <c r="YM91" s="627"/>
      <c r="YN91" s="627"/>
      <c r="YO91" s="627"/>
      <c r="YP91" s="627"/>
      <c r="YQ91" s="627"/>
      <c r="YR91" s="627"/>
      <c r="YS91" s="627"/>
      <c r="YT91" s="627"/>
      <c r="YU91" s="627"/>
      <c r="YV91" s="627"/>
      <c r="YW91" s="627"/>
      <c r="YX91" s="627"/>
      <c r="YY91" s="627"/>
      <c r="YZ91" s="627"/>
      <c r="ZA91" s="627"/>
      <c r="ZB91" s="627"/>
      <c r="ZC91" s="627"/>
      <c r="ZD91" s="627"/>
      <c r="ZE91" s="627"/>
      <c r="ZF91" s="627"/>
      <c r="ZG91" s="627"/>
      <c r="ZH91" s="627"/>
      <c r="ZI91" s="627"/>
      <c r="ZJ91" s="627"/>
      <c r="ZK91" s="627"/>
      <c r="ZL91" s="627"/>
      <c r="ZM91" s="627"/>
      <c r="ZN91" s="627"/>
      <c r="ZO91" s="627"/>
      <c r="ZP91" s="627"/>
      <c r="ZQ91" s="627"/>
      <c r="ZR91" s="627"/>
      <c r="ZS91" s="627"/>
      <c r="ZT91" s="627"/>
      <c r="ZU91" s="627"/>
      <c r="ZV91" s="627"/>
      <c r="ZW91" s="627"/>
      <c r="ZX91" s="627"/>
      <c r="ZY91" s="627"/>
      <c r="ZZ91" s="627"/>
      <c r="AAA91" s="627"/>
      <c r="AAB91" s="627"/>
      <c r="AAC91" s="627"/>
      <c r="AAD91" s="627"/>
      <c r="AAE91" s="627"/>
      <c r="AAF91" s="627"/>
      <c r="AAG91" s="627"/>
      <c r="AAH91" s="627"/>
      <c r="AAI91" s="627"/>
      <c r="AAJ91" s="627"/>
      <c r="AAK91" s="627"/>
      <c r="AAL91" s="627"/>
      <c r="AAM91" s="627"/>
      <c r="AAN91" s="627"/>
      <c r="AAO91" s="627"/>
      <c r="AAP91" s="627"/>
      <c r="AAQ91" s="627"/>
      <c r="AAR91" s="627"/>
      <c r="AAS91" s="627"/>
      <c r="AAT91" s="627"/>
      <c r="AAU91" s="627"/>
      <c r="AAV91" s="627"/>
      <c r="AAW91" s="627"/>
      <c r="AAX91" s="627"/>
      <c r="AAY91" s="627"/>
      <c r="AAZ91" s="627"/>
      <c r="ABA91" s="627"/>
      <c r="ABB91" s="627"/>
      <c r="ABC91" s="627"/>
      <c r="ABD91" s="627"/>
      <c r="ABE91" s="627"/>
      <c r="ABF91" s="627"/>
      <c r="ABG91" s="627"/>
      <c r="ABH91" s="627"/>
      <c r="ABI91" s="627"/>
      <c r="ABJ91" s="627"/>
      <c r="ABK91" s="627"/>
      <c r="ABL91" s="627"/>
      <c r="ABM91" s="627"/>
      <c r="ABN91" s="627"/>
      <c r="ABO91" s="627"/>
      <c r="ABP91" s="627"/>
      <c r="ABQ91" s="627"/>
      <c r="ABR91" s="627"/>
      <c r="ABS91" s="627"/>
      <c r="ABT91" s="627"/>
      <c r="ABU91" s="627"/>
      <c r="ABV91" s="627"/>
      <c r="ABW91" s="627"/>
      <c r="ABX91" s="627"/>
      <c r="ABY91" s="627"/>
      <c r="ABZ91" s="627"/>
      <c r="ACA91" s="627"/>
      <c r="ACB91" s="627"/>
      <c r="ACC91" s="627"/>
      <c r="ACD91" s="627"/>
      <c r="ACE91" s="627"/>
      <c r="ACF91" s="627"/>
      <c r="ACG91" s="627"/>
      <c r="ACH91" s="627"/>
      <c r="ACI91" s="627"/>
      <c r="ACJ91" s="627"/>
      <c r="ACK91" s="627"/>
      <c r="ACL91" s="627"/>
      <c r="ACM91" s="627"/>
      <c r="ACN91" s="627"/>
      <c r="ACO91" s="627"/>
      <c r="ACP91" s="627"/>
      <c r="ACQ91" s="627"/>
      <c r="ACR91" s="627"/>
      <c r="ACS91" s="627"/>
      <c r="ACT91" s="627"/>
      <c r="ACU91" s="627"/>
      <c r="ACV91" s="627"/>
      <c r="ACW91" s="627"/>
      <c r="ACX91" s="627"/>
      <c r="ACY91" s="627"/>
      <c r="ACZ91" s="627"/>
      <c r="ADA91" s="627"/>
      <c r="ADB91" s="627"/>
      <c r="ADC91" s="627"/>
      <c r="ADD91" s="627"/>
      <c r="ADE91" s="627"/>
      <c r="ADF91" s="627"/>
      <c r="ADG91" s="627"/>
      <c r="ADH91" s="627"/>
      <c r="ADI91" s="627"/>
      <c r="ADJ91" s="627"/>
      <c r="ADK91" s="627"/>
      <c r="ADL91" s="627"/>
      <c r="ADM91" s="627"/>
      <c r="ADN91" s="627"/>
      <c r="ADO91" s="627"/>
      <c r="ADP91" s="627"/>
      <c r="ADQ91" s="627"/>
      <c r="ADR91" s="627"/>
      <c r="ADS91" s="627"/>
      <c r="ADT91" s="627"/>
      <c r="ADU91" s="627"/>
      <c r="ADV91" s="627"/>
      <c r="ADW91" s="627"/>
      <c r="ADX91" s="627"/>
      <c r="ADY91" s="627"/>
      <c r="ADZ91" s="627"/>
      <c r="AEA91" s="627"/>
      <c r="AEB91" s="627"/>
      <c r="AEC91" s="627"/>
      <c r="AED91" s="627"/>
      <c r="AEE91" s="627"/>
      <c r="AEF91" s="627"/>
      <c r="AEG91" s="627"/>
      <c r="AEH91" s="627"/>
      <c r="AEI91" s="627"/>
      <c r="AEJ91" s="627"/>
      <c r="AEK91" s="627"/>
      <c r="AEL91" s="627"/>
      <c r="AEM91" s="627"/>
      <c r="AEN91" s="627"/>
      <c r="AEO91" s="627"/>
      <c r="AEP91" s="627"/>
      <c r="AEQ91" s="627"/>
      <c r="AER91" s="627"/>
      <c r="AES91" s="627"/>
      <c r="AET91" s="627"/>
      <c r="AEU91" s="627"/>
      <c r="AEV91" s="627"/>
      <c r="AEW91" s="627"/>
      <c r="AEX91" s="627"/>
      <c r="AEY91" s="627"/>
      <c r="AEZ91" s="627"/>
      <c r="AFA91" s="627"/>
      <c r="AFB91" s="627"/>
      <c r="AFC91" s="627"/>
      <c r="AFD91" s="627"/>
      <c r="AFE91" s="627"/>
      <c r="AFF91" s="627"/>
      <c r="AFG91" s="627"/>
      <c r="AFH91" s="627"/>
      <c r="AFI91" s="627"/>
      <c r="AFJ91" s="627"/>
      <c r="AFK91" s="627"/>
      <c r="AFL91" s="627"/>
      <c r="AFM91" s="627"/>
      <c r="AFN91" s="627"/>
      <c r="AFO91" s="627"/>
      <c r="AFP91" s="627"/>
      <c r="AFQ91" s="627"/>
      <c r="AFR91" s="627"/>
      <c r="AFS91" s="627"/>
      <c r="AFT91" s="627"/>
      <c r="AFU91" s="627"/>
      <c r="AFV91" s="627"/>
      <c r="AFW91" s="627"/>
      <c r="AFX91" s="627"/>
      <c r="AFY91" s="627"/>
      <c r="AFZ91" s="627"/>
      <c r="AGA91" s="627"/>
      <c r="AGB91" s="627"/>
      <c r="AGC91" s="627"/>
      <c r="AGD91" s="627"/>
      <c r="AGE91" s="627"/>
      <c r="AGF91" s="627"/>
      <c r="AGG91" s="627"/>
      <c r="AGH91" s="627"/>
      <c r="AGI91" s="627"/>
      <c r="AGJ91" s="627"/>
      <c r="AGK91" s="627"/>
      <c r="AGL91" s="627"/>
      <c r="AGM91" s="627"/>
      <c r="AGN91" s="627"/>
      <c r="AGO91" s="627"/>
      <c r="AGP91" s="627"/>
      <c r="AGQ91" s="627"/>
      <c r="AGR91" s="627"/>
      <c r="AGS91" s="627"/>
      <c r="AGT91" s="627"/>
      <c r="AGU91" s="627"/>
      <c r="AGV91" s="627"/>
      <c r="AGW91" s="627"/>
      <c r="AGX91" s="627"/>
      <c r="AGY91" s="627"/>
      <c r="AGZ91" s="627"/>
      <c r="AHA91" s="627"/>
      <c r="AHB91" s="627"/>
      <c r="AHC91" s="627"/>
      <c r="AHD91" s="627"/>
      <c r="AHE91" s="627"/>
      <c r="AHF91" s="627"/>
      <c r="AHG91" s="627"/>
      <c r="AHH91" s="627"/>
      <c r="AHI91" s="627"/>
      <c r="AHJ91" s="627"/>
      <c r="AHK91" s="627"/>
      <c r="AHL91" s="627"/>
      <c r="AHM91" s="627"/>
      <c r="AHN91" s="627"/>
      <c r="AHO91" s="627"/>
      <c r="AHP91" s="627"/>
      <c r="AHQ91" s="627"/>
      <c r="AHR91" s="627"/>
      <c r="AHS91" s="627"/>
      <c r="AHT91" s="627"/>
      <c r="AHU91" s="627"/>
      <c r="AHV91" s="627"/>
      <c r="AHW91" s="627"/>
      <c r="AHX91" s="627"/>
      <c r="AHY91" s="627"/>
      <c r="AHZ91" s="627"/>
      <c r="AIA91" s="627"/>
      <c r="AIB91" s="627"/>
      <c r="AIC91" s="627"/>
      <c r="AID91" s="627"/>
      <c r="AIE91" s="627"/>
      <c r="AIF91" s="627"/>
      <c r="AIG91" s="627"/>
      <c r="AIH91" s="627"/>
      <c r="AII91" s="627"/>
      <c r="AIJ91" s="627"/>
      <c r="AIK91" s="627"/>
      <c r="AIL91" s="627"/>
      <c r="AIM91" s="627"/>
      <c r="AIN91" s="627"/>
      <c r="AIO91" s="627"/>
      <c r="AIP91" s="627"/>
      <c r="AIQ91" s="627"/>
      <c r="AIR91" s="627"/>
      <c r="AIS91" s="627"/>
      <c r="AIT91" s="627"/>
      <c r="AIU91" s="627"/>
      <c r="AIV91" s="627"/>
      <c r="AIW91" s="627"/>
      <c r="AIX91" s="627"/>
      <c r="AIY91" s="627"/>
      <c r="AIZ91" s="627"/>
      <c r="AJA91" s="627"/>
      <c r="AJB91" s="627"/>
      <c r="AJC91" s="627"/>
      <c r="AJD91" s="627"/>
      <c r="AJE91" s="627"/>
      <c r="AJF91" s="627"/>
      <c r="AJG91" s="627"/>
      <c r="AJH91" s="627"/>
      <c r="AJI91" s="627"/>
      <c r="AJJ91" s="627"/>
      <c r="AJK91" s="627"/>
      <c r="AJL91" s="627"/>
      <c r="AJM91" s="627"/>
      <c r="AJN91" s="627"/>
      <c r="AJO91" s="627"/>
      <c r="AJP91" s="627"/>
      <c r="AJQ91" s="627"/>
      <c r="AJR91" s="627"/>
      <c r="AJS91" s="627"/>
      <c r="AJT91" s="627"/>
      <c r="AJU91" s="627"/>
      <c r="AJV91" s="627"/>
      <c r="AJW91" s="627"/>
      <c r="AJX91" s="627"/>
      <c r="AJY91" s="627"/>
      <c r="AJZ91" s="627"/>
      <c r="AKA91" s="627"/>
      <c r="AKB91" s="627"/>
      <c r="AKC91" s="627"/>
      <c r="AKD91" s="627"/>
      <c r="AKE91" s="627"/>
      <c r="AKF91" s="627"/>
      <c r="AKG91" s="627"/>
      <c r="AKH91" s="627"/>
      <c r="AKI91" s="627"/>
      <c r="AKJ91" s="627"/>
      <c r="AKK91" s="627"/>
      <c r="AKL91" s="627"/>
      <c r="AKM91" s="627"/>
      <c r="AKN91" s="627"/>
      <c r="AKO91" s="627"/>
      <c r="AKP91" s="627"/>
      <c r="AKQ91" s="627"/>
      <c r="AKR91" s="627"/>
      <c r="AKS91" s="627"/>
      <c r="AKT91" s="627"/>
      <c r="AKU91" s="627"/>
      <c r="AKV91" s="627"/>
      <c r="AKW91" s="627"/>
      <c r="AKX91" s="627"/>
      <c r="AKY91" s="627"/>
      <c r="AKZ91" s="627"/>
      <c r="ALA91" s="627"/>
      <c r="ALB91" s="627"/>
      <c r="ALC91" s="627"/>
      <c r="ALD91" s="627"/>
      <c r="ALE91" s="627"/>
      <c r="ALF91" s="627"/>
      <c r="ALG91" s="627"/>
      <c r="ALH91" s="627"/>
      <c r="ALI91" s="627"/>
      <c r="ALJ91" s="627"/>
      <c r="ALK91" s="627"/>
      <c r="ALL91" s="627"/>
      <c r="ALM91" s="627"/>
      <c r="ALN91" s="627"/>
      <c r="ALO91" s="627"/>
      <c r="ALP91" s="627"/>
      <c r="ALQ91" s="627"/>
      <c r="ALR91" s="627"/>
      <c r="ALS91" s="627"/>
      <c r="ALT91" s="627"/>
      <c r="ALU91" s="627"/>
      <c r="ALV91" s="627"/>
      <c r="ALW91" s="627"/>
      <c r="ALX91" s="627"/>
      <c r="ALY91" s="627"/>
      <c r="ALZ91" s="627"/>
      <c r="AMA91" s="627"/>
      <c r="AMB91" s="627"/>
      <c r="AMC91" s="627"/>
      <c r="AMD91" s="627"/>
      <c r="AME91" s="627"/>
      <c r="AMF91" s="627"/>
    </row>
    <row r="92" spans="1:1020" s="485" customFormat="1" ht="12.75" customHeight="1" x14ac:dyDescent="0.15">
      <c r="A92" s="627"/>
      <c r="B92" s="627"/>
      <c r="C92" s="627"/>
      <c r="D92" s="627"/>
      <c r="E92" s="627"/>
      <c r="F92" s="627"/>
      <c r="G92" s="627"/>
      <c r="H92" s="627"/>
      <c r="I92" s="627"/>
      <c r="J92" s="627"/>
      <c r="K92" s="627"/>
      <c r="L92" s="627"/>
      <c r="M92" s="627"/>
      <c r="N92" s="627"/>
      <c r="O92" s="627"/>
      <c r="P92" s="627"/>
      <c r="Q92" s="627"/>
      <c r="R92" s="627"/>
      <c r="S92" s="627"/>
      <c r="T92" s="627"/>
      <c r="U92" s="627"/>
      <c r="V92" s="627"/>
      <c r="W92" s="627"/>
      <c r="X92" s="627"/>
      <c r="Y92" s="627"/>
      <c r="Z92" s="627"/>
      <c r="AA92" s="627"/>
      <c r="AB92" s="627"/>
      <c r="AC92" s="627"/>
      <c r="AD92" s="627"/>
      <c r="AE92" s="627"/>
      <c r="AF92" s="627"/>
      <c r="AG92" s="627"/>
      <c r="AH92" s="627"/>
      <c r="AI92" s="627"/>
      <c r="AJ92" s="627"/>
      <c r="AK92" s="627"/>
      <c r="AL92" s="627"/>
      <c r="AM92" s="627"/>
      <c r="AN92" s="627"/>
      <c r="AO92" s="627"/>
      <c r="AP92" s="627" t="s">
        <v>792</v>
      </c>
      <c r="AQ92" s="627"/>
      <c r="AR92" s="627"/>
      <c r="AS92" s="627"/>
      <c r="AT92" s="627"/>
      <c r="AU92" s="627"/>
      <c r="AV92" s="627"/>
      <c r="AW92" s="627"/>
      <c r="AX92" s="627"/>
      <c r="AY92" s="627"/>
      <c r="AZ92" s="627"/>
      <c r="BA92" s="629" t="s">
        <v>1196</v>
      </c>
      <c r="BB92" s="627"/>
      <c r="BC92" s="627"/>
      <c r="BD92" s="627"/>
      <c r="BE92" s="627"/>
      <c r="BG92" s="486"/>
      <c r="BH92" s="436"/>
      <c r="BI92" s="436"/>
      <c r="BJ92" s="436"/>
      <c r="BK92" s="436"/>
      <c r="BL92" s="436"/>
      <c r="BM92" s="436"/>
      <c r="BN92" s="436"/>
      <c r="BO92" s="436"/>
      <c r="BP92" s="436"/>
      <c r="BQ92" s="436"/>
      <c r="BR92" s="436"/>
      <c r="BS92" s="436"/>
      <c r="BT92" s="436"/>
      <c r="BU92" s="436"/>
      <c r="BV92" s="627"/>
      <c r="BW92" s="627"/>
      <c r="BX92" s="627"/>
      <c r="BY92" s="627"/>
      <c r="BZ92" s="627"/>
      <c r="CA92" s="627"/>
      <c r="CB92" s="627"/>
      <c r="CC92" s="627"/>
      <c r="CD92" s="627"/>
      <c r="CE92" s="627"/>
      <c r="CF92" s="627"/>
      <c r="CG92" s="627"/>
      <c r="CH92" s="627"/>
      <c r="CI92" s="627"/>
      <c r="CJ92" s="627"/>
      <c r="CK92" s="627"/>
      <c r="CL92" s="627"/>
      <c r="CM92" s="627"/>
      <c r="CN92" s="627"/>
      <c r="CO92" s="627"/>
      <c r="CP92" s="627"/>
      <c r="CQ92" s="627"/>
      <c r="CR92" s="627"/>
      <c r="CS92" s="627"/>
      <c r="CT92" s="627"/>
      <c r="CU92" s="627"/>
      <c r="CV92" s="627"/>
      <c r="CW92" s="627"/>
      <c r="CX92" s="627"/>
      <c r="CY92" s="627"/>
      <c r="CZ92" s="627"/>
      <c r="DA92" s="627"/>
      <c r="DB92" s="627"/>
      <c r="DC92" s="627"/>
      <c r="DD92" s="627"/>
      <c r="DE92" s="627"/>
      <c r="DF92" s="627"/>
      <c r="DG92" s="627"/>
      <c r="DH92" s="627"/>
      <c r="DI92" s="627"/>
      <c r="DJ92" s="627"/>
      <c r="DK92" s="627"/>
      <c r="DL92" s="627"/>
      <c r="DM92" s="627"/>
      <c r="DN92" s="627"/>
      <c r="DO92" s="627"/>
      <c r="DP92" s="627"/>
      <c r="DQ92" s="627"/>
      <c r="DR92" s="627"/>
      <c r="DS92" s="627"/>
      <c r="DT92" s="627"/>
      <c r="DU92" s="627"/>
      <c r="DV92" s="627"/>
      <c r="DW92" s="627"/>
      <c r="DX92" s="627"/>
      <c r="DY92" s="627"/>
      <c r="DZ92" s="627"/>
      <c r="EA92" s="627"/>
      <c r="EB92" s="627"/>
      <c r="EC92" s="627"/>
      <c r="ED92" s="627"/>
      <c r="EE92" s="627"/>
      <c r="EF92" s="627"/>
      <c r="EG92" s="627"/>
      <c r="EH92" s="627"/>
      <c r="EI92" s="627"/>
      <c r="EJ92" s="627"/>
      <c r="EK92" s="627"/>
      <c r="EL92" s="627"/>
      <c r="EM92" s="627"/>
      <c r="EN92" s="627"/>
      <c r="EO92" s="627"/>
      <c r="EP92" s="627"/>
      <c r="EQ92" s="627"/>
      <c r="ER92" s="627"/>
      <c r="ES92" s="627"/>
      <c r="ET92" s="627"/>
      <c r="EU92" s="627"/>
      <c r="EV92" s="627"/>
      <c r="EW92" s="627"/>
      <c r="EX92" s="627"/>
      <c r="EY92" s="627"/>
      <c r="EZ92" s="627"/>
      <c r="FA92" s="627"/>
      <c r="FB92" s="627"/>
      <c r="FC92" s="627"/>
      <c r="FD92" s="627"/>
      <c r="FE92" s="627"/>
      <c r="FF92" s="627"/>
      <c r="FG92" s="627"/>
      <c r="FH92" s="627"/>
      <c r="FI92" s="627"/>
      <c r="FJ92" s="627"/>
      <c r="FK92" s="627"/>
      <c r="FL92" s="627"/>
      <c r="FM92" s="627"/>
      <c r="FN92" s="627"/>
      <c r="FO92" s="627"/>
      <c r="FP92" s="627"/>
      <c r="FQ92" s="627"/>
      <c r="FR92" s="627"/>
      <c r="FS92" s="627"/>
      <c r="FT92" s="627"/>
      <c r="FU92" s="627"/>
      <c r="FV92" s="627"/>
      <c r="FW92" s="627"/>
      <c r="FX92" s="627"/>
      <c r="FY92" s="627"/>
      <c r="FZ92" s="627"/>
      <c r="GA92" s="627"/>
      <c r="GB92" s="627"/>
      <c r="GC92" s="627"/>
      <c r="GD92" s="627"/>
      <c r="GE92" s="627"/>
      <c r="GF92" s="627"/>
      <c r="GG92" s="627"/>
      <c r="GH92" s="627"/>
      <c r="GI92" s="627"/>
      <c r="GJ92" s="627"/>
      <c r="GK92" s="627"/>
      <c r="GL92" s="627"/>
      <c r="GM92" s="627"/>
      <c r="GN92" s="627"/>
      <c r="GO92" s="627"/>
      <c r="GP92" s="627"/>
      <c r="GQ92" s="627"/>
      <c r="GR92" s="627"/>
      <c r="GS92" s="627"/>
      <c r="GT92" s="627"/>
      <c r="GU92" s="627"/>
      <c r="GV92" s="627"/>
      <c r="GW92" s="627"/>
      <c r="GX92" s="627"/>
      <c r="GY92" s="627"/>
      <c r="GZ92" s="627"/>
      <c r="HA92" s="627"/>
      <c r="HB92" s="627"/>
      <c r="HC92" s="627"/>
      <c r="HD92" s="627"/>
      <c r="HE92" s="627"/>
      <c r="HF92" s="627"/>
      <c r="HG92" s="627"/>
      <c r="HH92" s="627"/>
      <c r="HI92" s="627"/>
      <c r="HJ92" s="627"/>
      <c r="HK92" s="627"/>
      <c r="HL92" s="627"/>
      <c r="HM92" s="627"/>
      <c r="HN92" s="627"/>
      <c r="HO92" s="627"/>
      <c r="HP92" s="627"/>
      <c r="HQ92" s="627"/>
      <c r="HR92" s="627"/>
      <c r="HS92" s="627"/>
      <c r="HT92" s="627"/>
      <c r="HU92" s="627"/>
      <c r="HV92" s="627"/>
      <c r="HW92" s="627"/>
      <c r="HX92" s="627"/>
      <c r="HY92" s="627"/>
      <c r="HZ92" s="627"/>
      <c r="IA92" s="627"/>
      <c r="IB92" s="627"/>
      <c r="IC92" s="627"/>
      <c r="ID92" s="627"/>
      <c r="IE92" s="627"/>
      <c r="IF92" s="627"/>
      <c r="IG92" s="627"/>
      <c r="IH92" s="627"/>
      <c r="II92" s="627"/>
      <c r="IJ92" s="627"/>
      <c r="IK92" s="627"/>
      <c r="IL92" s="627"/>
      <c r="IM92" s="627"/>
      <c r="IN92" s="627"/>
      <c r="IO92" s="627"/>
      <c r="IP92" s="627"/>
      <c r="IQ92" s="627"/>
      <c r="IR92" s="627"/>
      <c r="IS92" s="627"/>
      <c r="IT92" s="627"/>
      <c r="IU92" s="627"/>
      <c r="IV92" s="627"/>
      <c r="IW92" s="627"/>
      <c r="IX92" s="627"/>
      <c r="IY92" s="627"/>
      <c r="IZ92" s="627"/>
      <c r="JA92" s="627"/>
      <c r="JB92" s="627"/>
      <c r="JC92" s="627"/>
      <c r="JD92" s="627"/>
      <c r="JE92" s="627"/>
      <c r="JF92" s="627"/>
      <c r="JG92" s="627"/>
      <c r="JH92" s="627"/>
      <c r="JI92" s="627"/>
      <c r="JJ92" s="627"/>
      <c r="JK92" s="627"/>
      <c r="JL92" s="627"/>
      <c r="JM92" s="627"/>
      <c r="JN92" s="627"/>
      <c r="JO92" s="627"/>
      <c r="JP92" s="627"/>
      <c r="JQ92" s="627"/>
      <c r="JR92" s="627"/>
      <c r="JS92" s="627"/>
      <c r="JT92" s="627"/>
      <c r="JU92" s="627"/>
      <c r="JV92" s="627"/>
      <c r="JW92" s="627"/>
      <c r="JX92" s="627"/>
      <c r="JY92" s="627"/>
      <c r="JZ92" s="627"/>
      <c r="KA92" s="627"/>
      <c r="KB92" s="627"/>
      <c r="KC92" s="627"/>
      <c r="KD92" s="627"/>
      <c r="KE92" s="627"/>
      <c r="KF92" s="627"/>
      <c r="KG92" s="627"/>
      <c r="KH92" s="627"/>
      <c r="KI92" s="627"/>
      <c r="KJ92" s="627"/>
      <c r="KK92" s="627"/>
      <c r="KL92" s="627"/>
      <c r="KM92" s="627"/>
      <c r="KN92" s="627"/>
      <c r="KO92" s="627"/>
      <c r="KP92" s="627"/>
      <c r="KQ92" s="627"/>
      <c r="KR92" s="627"/>
      <c r="KS92" s="627"/>
      <c r="KT92" s="627"/>
      <c r="KU92" s="627"/>
      <c r="KV92" s="627"/>
      <c r="KW92" s="627"/>
      <c r="KX92" s="627"/>
      <c r="KY92" s="627"/>
      <c r="KZ92" s="627"/>
      <c r="LA92" s="627"/>
      <c r="LB92" s="627"/>
      <c r="LC92" s="627"/>
      <c r="LD92" s="627"/>
      <c r="LE92" s="627"/>
      <c r="LF92" s="627"/>
      <c r="LG92" s="627"/>
      <c r="LH92" s="627"/>
      <c r="LI92" s="627"/>
      <c r="LJ92" s="627"/>
      <c r="LK92" s="627"/>
      <c r="LL92" s="627"/>
      <c r="LM92" s="627"/>
      <c r="LN92" s="627"/>
      <c r="LO92" s="627"/>
      <c r="LP92" s="627"/>
      <c r="LQ92" s="627"/>
      <c r="LR92" s="627"/>
      <c r="LS92" s="627"/>
      <c r="LT92" s="627"/>
      <c r="LU92" s="627"/>
      <c r="LV92" s="627"/>
      <c r="LW92" s="627"/>
      <c r="LX92" s="627"/>
      <c r="LY92" s="627"/>
      <c r="LZ92" s="627"/>
      <c r="MA92" s="627"/>
      <c r="MB92" s="627"/>
      <c r="MC92" s="627"/>
      <c r="MD92" s="627"/>
      <c r="ME92" s="627"/>
      <c r="MF92" s="627"/>
      <c r="MG92" s="627"/>
      <c r="MH92" s="627"/>
      <c r="MI92" s="627"/>
      <c r="MJ92" s="627"/>
      <c r="MK92" s="627"/>
      <c r="ML92" s="627"/>
      <c r="MM92" s="627"/>
      <c r="MN92" s="627"/>
      <c r="MO92" s="627"/>
      <c r="MP92" s="627"/>
      <c r="MQ92" s="627"/>
      <c r="MR92" s="627"/>
      <c r="MS92" s="627"/>
      <c r="MT92" s="627"/>
      <c r="MU92" s="627"/>
      <c r="MV92" s="627"/>
      <c r="MW92" s="627"/>
      <c r="MX92" s="627"/>
      <c r="MY92" s="627"/>
      <c r="MZ92" s="627"/>
      <c r="NA92" s="627"/>
      <c r="NB92" s="627"/>
      <c r="NC92" s="627"/>
      <c r="ND92" s="627"/>
      <c r="NE92" s="627"/>
      <c r="NF92" s="627"/>
      <c r="NG92" s="627"/>
      <c r="NH92" s="627"/>
      <c r="NI92" s="627"/>
      <c r="NJ92" s="627"/>
      <c r="NK92" s="627"/>
      <c r="NL92" s="627"/>
      <c r="NM92" s="627"/>
      <c r="NN92" s="627"/>
      <c r="NO92" s="627"/>
      <c r="NP92" s="627"/>
      <c r="NQ92" s="627"/>
      <c r="NR92" s="627"/>
      <c r="NS92" s="627"/>
      <c r="NT92" s="627"/>
      <c r="NU92" s="627"/>
      <c r="NV92" s="627"/>
      <c r="NW92" s="627"/>
      <c r="NX92" s="627"/>
      <c r="NY92" s="627"/>
      <c r="NZ92" s="627"/>
      <c r="OA92" s="627"/>
      <c r="OB92" s="627"/>
      <c r="OC92" s="627"/>
      <c r="OD92" s="627"/>
      <c r="OE92" s="627"/>
      <c r="OF92" s="627"/>
      <c r="OG92" s="627"/>
      <c r="OH92" s="627"/>
      <c r="OI92" s="627"/>
      <c r="OJ92" s="627"/>
      <c r="OK92" s="627"/>
      <c r="OL92" s="627"/>
      <c r="OM92" s="627"/>
      <c r="ON92" s="627"/>
      <c r="OO92" s="627"/>
      <c r="OP92" s="627"/>
      <c r="OQ92" s="627"/>
      <c r="OR92" s="627"/>
      <c r="OS92" s="627"/>
      <c r="OT92" s="627"/>
      <c r="OU92" s="627"/>
      <c r="OV92" s="627"/>
      <c r="OW92" s="627"/>
      <c r="OX92" s="627"/>
      <c r="OY92" s="627"/>
      <c r="OZ92" s="627"/>
      <c r="PA92" s="627"/>
      <c r="PB92" s="627"/>
      <c r="PC92" s="627"/>
      <c r="PD92" s="627"/>
      <c r="PE92" s="627"/>
      <c r="PF92" s="627"/>
      <c r="PG92" s="627"/>
      <c r="PH92" s="627"/>
      <c r="PI92" s="627"/>
      <c r="PJ92" s="627"/>
      <c r="PK92" s="627"/>
      <c r="PL92" s="627"/>
      <c r="PM92" s="627"/>
      <c r="PN92" s="627"/>
      <c r="PO92" s="627"/>
      <c r="PP92" s="627"/>
      <c r="PQ92" s="627"/>
      <c r="PR92" s="627"/>
      <c r="PS92" s="627"/>
      <c r="PT92" s="627"/>
      <c r="PU92" s="627"/>
      <c r="PV92" s="627"/>
      <c r="PW92" s="627"/>
      <c r="PX92" s="627"/>
      <c r="PY92" s="627"/>
      <c r="PZ92" s="627"/>
      <c r="QA92" s="627"/>
      <c r="QB92" s="627"/>
      <c r="QC92" s="627"/>
      <c r="QD92" s="627"/>
      <c r="QE92" s="627"/>
      <c r="QF92" s="627"/>
      <c r="QG92" s="627"/>
      <c r="QH92" s="627"/>
      <c r="QI92" s="627"/>
      <c r="QJ92" s="627"/>
      <c r="QK92" s="627"/>
      <c r="QL92" s="627"/>
      <c r="QM92" s="627"/>
      <c r="QN92" s="627"/>
      <c r="QO92" s="627"/>
      <c r="QP92" s="627"/>
      <c r="QQ92" s="627"/>
      <c r="QR92" s="627"/>
      <c r="QS92" s="627"/>
      <c r="QT92" s="627"/>
      <c r="QU92" s="627"/>
      <c r="QV92" s="627"/>
      <c r="QW92" s="627"/>
      <c r="QX92" s="627"/>
      <c r="QY92" s="627"/>
      <c r="QZ92" s="627"/>
      <c r="RA92" s="627"/>
      <c r="RB92" s="627"/>
      <c r="RC92" s="627"/>
      <c r="RD92" s="627"/>
      <c r="RE92" s="627"/>
      <c r="RF92" s="627"/>
      <c r="RG92" s="627"/>
      <c r="RH92" s="627"/>
      <c r="RI92" s="627"/>
      <c r="RJ92" s="627"/>
      <c r="RK92" s="627"/>
      <c r="RL92" s="627"/>
      <c r="RM92" s="627"/>
      <c r="RN92" s="627"/>
      <c r="RO92" s="627"/>
      <c r="RP92" s="627"/>
      <c r="RQ92" s="627"/>
      <c r="RR92" s="627"/>
      <c r="RS92" s="627"/>
      <c r="RT92" s="627"/>
      <c r="RU92" s="627"/>
      <c r="RV92" s="627"/>
      <c r="RW92" s="627"/>
      <c r="RX92" s="627"/>
      <c r="RY92" s="627"/>
      <c r="RZ92" s="627"/>
      <c r="SA92" s="627"/>
      <c r="SB92" s="627"/>
      <c r="SC92" s="627"/>
      <c r="SD92" s="627"/>
      <c r="SE92" s="627"/>
      <c r="SF92" s="627"/>
      <c r="SG92" s="627"/>
      <c r="SH92" s="627"/>
      <c r="SI92" s="627"/>
      <c r="SJ92" s="627"/>
      <c r="SK92" s="627"/>
      <c r="SL92" s="627"/>
      <c r="SM92" s="627"/>
      <c r="SN92" s="627"/>
      <c r="SO92" s="627"/>
      <c r="SP92" s="627"/>
      <c r="SQ92" s="627"/>
      <c r="SR92" s="627"/>
      <c r="SS92" s="627"/>
      <c r="ST92" s="627"/>
      <c r="SU92" s="627"/>
      <c r="SV92" s="627"/>
      <c r="SW92" s="627"/>
      <c r="SX92" s="627"/>
      <c r="SY92" s="627"/>
      <c r="SZ92" s="627"/>
      <c r="TA92" s="627"/>
      <c r="TB92" s="627"/>
      <c r="TC92" s="627"/>
      <c r="TD92" s="627"/>
      <c r="TE92" s="627"/>
      <c r="TF92" s="627"/>
      <c r="TG92" s="627"/>
      <c r="TH92" s="627"/>
      <c r="TI92" s="627"/>
      <c r="TJ92" s="627"/>
      <c r="TK92" s="627"/>
      <c r="TL92" s="627"/>
      <c r="TM92" s="627"/>
      <c r="TN92" s="627"/>
      <c r="TO92" s="627"/>
      <c r="TP92" s="627"/>
      <c r="TQ92" s="627"/>
      <c r="TR92" s="627"/>
      <c r="TS92" s="627"/>
      <c r="TT92" s="627"/>
      <c r="TU92" s="627"/>
      <c r="TV92" s="627"/>
      <c r="TW92" s="627"/>
      <c r="TX92" s="627"/>
      <c r="TY92" s="627"/>
      <c r="TZ92" s="627"/>
      <c r="UA92" s="627"/>
      <c r="UB92" s="627"/>
      <c r="UC92" s="627"/>
      <c r="UD92" s="627"/>
      <c r="UE92" s="627"/>
      <c r="UF92" s="627"/>
      <c r="UG92" s="627"/>
      <c r="UH92" s="627"/>
      <c r="UI92" s="627"/>
      <c r="UJ92" s="627"/>
      <c r="UK92" s="627"/>
      <c r="UL92" s="627"/>
      <c r="UM92" s="627"/>
      <c r="UN92" s="627"/>
      <c r="UO92" s="627"/>
      <c r="UP92" s="627"/>
      <c r="UQ92" s="627"/>
      <c r="UR92" s="627"/>
      <c r="US92" s="627"/>
      <c r="UT92" s="627"/>
      <c r="UU92" s="627"/>
      <c r="UV92" s="627"/>
      <c r="UW92" s="627"/>
      <c r="UX92" s="627"/>
      <c r="UY92" s="627"/>
      <c r="UZ92" s="627"/>
      <c r="VA92" s="627"/>
      <c r="VB92" s="627"/>
      <c r="VC92" s="627"/>
      <c r="VD92" s="627"/>
      <c r="VE92" s="627"/>
      <c r="VF92" s="627"/>
      <c r="VG92" s="627"/>
      <c r="VH92" s="627"/>
      <c r="VI92" s="627"/>
      <c r="VJ92" s="627"/>
      <c r="VK92" s="627"/>
      <c r="VL92" s="627"/>
      <c r="VM92" s="627"/>
      <c r="VN92" s="627"/>
      <c r="VO92" s="627"/>
      <c r="VP92" s="627"/>
      <c r="VQ92" s="627"/>
      <c r="VR92" s="627"/>
      <c r="VS92" s="627"/>
      <c r="VT92" s="627"/>
      <c r="VU92" s="627"/>
      <c r="VV92" s="627"/>
      <c r="VW92" s="627"/>
      <c r="VX92" s="627"/>
      <c r="VY92" s="627"/>
      <c r="VZ92" s="627"/>
      <c r="WA92" s="627"/>
      <c r="WB92" s="627"/>
      <c r="WC92" s="627"/>
      <c r="WD92" s="627"/>
      <c r="WE92" s="627"/>
      <c r="WF92" s="627"/>
      <c r="WG92" s="627"/>
      <c r="WH92" s="627"/>
      <c r="WI92" s="627"/>
      <c r="WJ92" s="627"/>
      <c r="WK92" s="627"/>
      <c r="WL92" s="627"/>
      <c r="WM92" s="627"/>
      <c r="WN92" s="627"/>
      <c r="WO92" s="627"/>
      <c r="WP92" s="627"/>
      <c r="WQ92" s="627"/>
      <c r="WR92" s="627"/>
      <c r="WS92" s="627"/>
      <c r="WT92" s="627"/>
      <c r="WU92" s="627"/>
      <c r="WV92" s="627"/>
      <c r="WW92" s="627"/>
      <c r="WX92" s="627"/>
      <c r="WY92" s="627"/>
      <c r="WZ92" s="627"/>
      <c r="XA92" s="627"/>
      <c r="XB92" s="627"/>
      <c r="XC92" s="627"/>
      <c r="XD92" s="627"/>
      <c r="XE92" s="627"/>
      <c r="XF92" s="627"/>
      <c r="XG92" s="627"/>
      <c r="XH92" s="627"/>
      <c r="XI92" s="627"/>
      <c r="XJ92" s="627"/>
      <c r="XK92" s="627"/>
      <c r="XL92" s="627"/>
      <c r="XM92" s="627"/>
      <c r="XN92" s="627"/>
      <c r="XO92" s="627"/>
      <c r="XP92" s="627"/>
      <c r="XQ92" s="627"/>
      <c r="XR92" s="627"/>
      <c r="XS92" s="627"/>
      <c r="XT92" s="627"/>
      <c r="XU92" s="627"/>
      <c r="XV92" s="627"/>
      <c r="XW92" s="627"/>
      <c r="XX92" s="627"/>
      <c r="XY92" s="627"/>
      <c r="XZ92" s="627"/>
      <c r="YA92" s="627"/>
      <c r="YB92" s="627"/>
      <c r="YC92" s="627"/>
      <c r="YD92" s="627"/>
      <c r="YE92" s="627"/>
      <c r="YF92" s="627"/>
      <c r="YG92" s="627"/>
      <c r="YH92" s="627"/>
      <c r="YI92" s="627"/>
      <c r="YJ92" s="627"/>
      <c r="YK92" s="627"/>
      <c r="YL92" s="627"/>
      <c r="YM92" s="627"/>
      <c r="YN92" s="627"/>
      <c r="YO92" s="627"/>
      <c r="YP92" s="627"/>
      <c r="YQ92" s="627"/>
      <c r="YR92" s="627"/>
      <c r="YS92" s="627"/>
      <c r="YT92" s="627"/>
      <c r="YU92" s="627"/>
      <c r="YV92" s="627"/>
      <c r="YW92" s="627"/>
      <c r="YX92" s="627"/>
      <c r="YY92" s="627"/>
      <c r="YZ92" s="627"/>
      <c r="ZA92" s="627"/>
      <c r="ZB92" s="627"/>
      <c r="ZC92" s="627"/>
      <c r="ZD92" s="627"/>
      <c r="ZE92" s="627"/>
      <c r="ZF92" s="627"/>
      <c r="ZG92" s="627"/>
      <c r="ZH92" s="627"/>
      <c r="ZI92" s="627"/>
      <c r="ZJ92" s="627"/>
      <c r="ZK92" s="627"/>
      <c r="ZL92" s="627"/>
      <c r="ZM92" s="627"/>
      <c r="ZN92" s="627"/>
      <c r="ZO92" s="627"/>
      <c r="ZP92" s="627"/>
      <c r="ZQ92" s="627"/>
      <c r="ZR92" s="627"/>
      <c r="ZS92" s="627"/>
      <c r="ZT92" s="627"/>
      <c r="ZU92" s="627"/>
      <c r="ZV92" s="627"/>
      <c r="ZW92" s="627"/>
      <c r="ZX92" s="627"/>
      <c r="ZY92" s="627"/>
      <c r="ZZ92" s="627"/>
      <c r="AAA92" s="627"/>
      <c r="AAB92" s="627"/>
      <c r="AAC92" s="627"/>
      <c r="AAD92" s="627"/>
      <c r="AAE92" s="627"/>
      <c r="AAF92" s="627"/>
      <c r="AAG92" s="627"/>
      <c r="AAH92" s="627"/>
      <c r="AAI92" s="627"/>
      <c r="AAJ92" s="627"/>
      <c r="AAK92" s="627"/>
      <c r="AAL92" s="627"/>
      <c r="AAM92" s="627"/>
      <c r="AAN92" s="627"/>
      <c r="AAO92" s="627"/>
      <c r="AAP92" s="627"/>
      <c r="AAQ92" s="627"/>
      <c r="AAR92" s="627"/>
      <c r="AAS92" s="627"/>
      <c r="AAT92" s="627"/>
      <c r="AAU92" s="627"/>
      <c r="AAV92" s="627"/>
      <c r="AAW92" s="627"/>
      <c r="AAX92" s="627"/>
      <c r="AAY92" s="627"/>
      <c r="AAZ92" s="627"/>
      <c r="ABA92" s="627"/>
      <c r="ABB92" s="627"/>
      <c r="ABC92" s="627"/>
      <c r="ABD92" s="627"/>
      <c r="ABE92" s="627"/>
      <c r="ABF92" s="627"/>
      <c r="ABG92" s="627"/>
      <c r="ABH92" s="627"/>
      <c r="ABI92" s="627"/>
      <c r="ABJ92" s="627"/>
      <c r="ABK92" s="627"/>
      <c r="ABL92" s="627"/>
      <c r="ABM92" s="627"/>
      <c r="ABN92" s="627"/>
      <c r="ABO92" s="627"/>
      <c r="ABP92" s="627"/>
      <c r="ABQ92" s="627"/>
      <c r="ABR92" s="627"/>
      <c r="ABS92" s="627"/>
      <c r="ABT92" s="627"/>
      <c r="ABU92" s="627"/>
      <c r="ABV92" s="627"/>
      <c r="ABW92" s="627"/>
      <c r="ABX92" s="627"/>
      <c r="ABY92" s="627"/>
      <c r="ABZ92" s="627"/>
      <c r="ACA92" s="627"/>
      <c r="ACB92" s="627"/>
      <c r="ACC92" s="627"/>
      <c r="ACD92" s="627"/>
      <c r="ACE92" s="627"/>
      <c r="ACF92" s="627"/>
      <c r="ACG92" s="627"/>
      <c r="ACH92" s="627"/>
      <c r="ACI92" s="627"/>
      <c r="ACJ92" s="627"/>
      <c r="ACK92" s="627"/>
      <c r="ACL92" s="627"/>
      <c r="ACM92" s="627"/>
      <c r="ACN92" s="627"/>
      <c r="ACO92" s="627"/>
      <c r="ACP92" s="627"/>
      <c r="ACQ92" s="627"/>
      <c r="ACR92" s="627"/>
      <c r="ACS92" s="627"/>
      <c r="ACT92" s="627"/>
      <c r="ACU92" s="627"/>
      <c r="ACV92" s="627"/>
      <c r="ACW92" s="627"/>
      <c r="ACX92" s="627"/>
      <c r="ACY92" s="627"/>
      <c r="ACZ92" s="627"/>
      <c r="ADA92" s="627"/>
      <c r="ADB92" s="627"/>
      <c r="ADC92" s="627"/>
      <c r="ADD92" s="627"/>
      <c r="ADE92" s="627"/>
      <c r="ADF92" s="627"/>
      <c r="ADG92" s="627"/>
      <c r="ADH92" s="627"/>
      <c r="ADI92" s="627"/>
      <c r="ADJ92" s="627"/>
      <c r="ADK92" s="627"/>
      <c r="ADL92" s="627"/>
      <c r="ADM92" s="627"/>
      <c r="ADN92" s="627"/>
      <c r="ADO92" s="627"/>
      <c r="ADP92" s="627"/>
      <c r="ADQ92" s="627"/>
      <c r="ADR92" s="627"/>
      <c r="ADS92" s="627"/>
      <c r="ADT92" s="627"/>
      <c r="ADU92" s="627"/>
      <c r="ADV92" s="627"/>
      <c r="ADW92" s="627"/>
      <c r="ADX92" s="627"/>
      <c r="ADY92" s="627"/>
      <c r="ADZ92" s="627"/>
      <c r="AEA92" s="627"/>
      <c r="AEB92" s="627"/>
      <c r="AEC92" s="627"/>
      <c r="AED92" s="627"/>
      <c r="AEE92" s="627"/>
      <c r="AEF92" s="627"/>
      <c r="AEG92" s="627"/>
      <c r="AEH92" s="627"/>
      <c r="AEI92" s="627"/>
      <c r="AEJ92" s="627"/>
      <c r="AEK92" s="627"/>
      <c r="AEL92" s="627"/>
      <c r="AEM92" s="627"/>
      <c r="AEN92" s="627"/>
      <c r="AEO92" s="627"/>
      <c r="AEP92" s="627"/>
      <c r="AEQ92" s="627"/>
      <c r="AER92" s="627"/>
      <c r="AES92" s="627"/>
      <c r="AET92" s="627"/>
      <c r="AEU92" s="627"/>
      <c r="AEV92" s="627"/>
      <c r="AEW92" s="627"/>
      <c r="AEX92" s="627"/>
      <c r="AEY92" s="627"/>
      <c r="AEZ92" s="627"/>
      <c r="AFA92" s="627"/>
      <c r="AFB92" s="627"/>
      <c r="AFC92" s="627"/>
      <c r="AFD92" s="627"/>
      <c r="AFE92" s="627"/>
      <c r="AFF92" s="627"/>
      <c r="AFG92" s="627"/>
      <c r="AFH92" s="627"/>
      <c r="AFI92" s="627"/>
      <c r="AFJ92" s="627"/>
      <c r="AFK92" s="627"/>
      <c r="AFL92" s="627"/>
      <c r="AFM92" s="627"/>
      <c r="AFN92" s="627"/>
      <c r="AFO92" s="627"/>
      <c r="AFP92" s="627"/>
      <c r="AFQ92" s="627"/>
      <c r="AFR92" s="627"/>
      <c r="AFS92" s="627"/>
      <c r="AFT92" s="627"/>
      <c r="AFU92" s="627"/>
      <c r="AFV92" s="627"/>
      <c r="AFW92" s="627"/>
      <c r="AFX92" s="627"/>
      <c r="AFY92" s="627"/>
      <c r="AFZ92" s="627"/>
      <c r="AGA92" s="627"/>
      <c r="AGB92" s="627"/>
      <c r="AGC92" s="627"/>
      <c r="AGD92" s="627"/>
      <c r="AGE92" s="627"/>
      <c r="AGF92" s="627"/>
      <c r="AGG92" s="627"/>
      <c r="AGH92" s="627"/>
      <c r="AGI92" s="627"/>
      <c r="AGJ92" s="627"/>
      <c r="AGK92" s="627"/>
      <c r="AGL92" s="627"/>
      <c r="AGM92" s="627"/>
      <c r="AGN92" s="627"/>
      <c r="AGO92" s="627"/>
      <c r="AGP92" s="627"/>
      <c r="AGQ92" s="627"/>
      <c r="AGR92" s="627"/>
      <c r="AGS92" s="627"/>
      <c r="AGT92" s="627"/>
      <c r="AGU92" s="627"/>
      <c r="AGV92" s="627"/>
      <c r="AGW92" s="627"/>
      <c r="AGX92" s="627"/>
      <c r="AGY92" s="627"/>
      <c r="AGZ92" s="627"/>
      <c r="AHA92" s="627"/>
      <c r="AHB92" s="627"/>
      <c r="AHC92" s="627"/>
      <c r="AHD92" s="627"/>
      <c r="AHE92" s="627"/>
      <c r="AHF92" s="627"/>
      <c r="AHG92" s="627"/>
      <c r="AHH92" s="627"/>
      <c r="AHI92" s="627"/>
      <c r="AHJ92" s="627"/>
      <c r="AHK92" s="627"/>
      <c r="AHL92" s="627"/>
      <c r="AHM92" s="627"/>
      <c r="AHN92" s="627"/>
      <c r="AHO92" s="627"/>
      <c r="AHP92" s="627"/>
      <c r="AHQ92" s="627"/>
      <c r="AHR92" s="627"/>
      <c r="AHS92" s="627"/>
      <c r="AHT92" s="627"/>
      <c r="AHU92" s="627"/>
      <c r="AHV92" s="627"/>
      <c r="AHW92" s="627"/>
      <c r="AHX92" s="627"/>
      <c r="AHY92" s="627"/>
      <c r="AHZ92" s="627"/>
      <c r="AIA92" s="627"/>
      <c r="AIB92" s="627"/>
      <c r="AIC92" s="627"/>
      <c r="AID92" s="627"/>
      <c r="AIE92" s="627"/>
      <c r="AIF92" s="627"/>
      <c r="AIG92" s="627"/>
      <c r="AIH92" s="627"/>
      <c r="AII92" s="627"/>
      <c r="AIJ92" s="627"/>
      <c r="AIK92" s="627"/>
      <c r="AIL92" s="627"/>
      <c r="AIM92" s="627"/>
      <c r="AIN92" s="627"/>
      <c r="AIO92" s="627"/>
      <c r="AIP92" s="627"/>
      <c r="AIQ92" s="627"/>
      <c r="AIR92" s="627"/>
      <c r="AIS92" s="627"/>
      <c r="AIT92" s="627"/>
      <c r="AIU92" s="627"/>
      <c r="AIV92" s="627"/>
      <c r="AIW92" s="627"/>
      <c r="AIX92" s="627"/>
      <c r="AIY92" s="627"/>
      <c r="AIZ92" s="627"/>
      <c r="AJA92" s="627"/>
      <c r="AJB92" s="627"/>
      <c r="AJC92" s="627"/>
      <c r="AJD92" s="627"/>
      <c r="AJE92" s="627"/>
      <c r="AJF92" s="627"/>
      <c r="AJG92" s="627"/>
      <c r="AJH92" s="627"/>
      <c r="AJI92" s="627"/>
      <c r="AJJ92" s="627"/>
      <c r="AJK92" s="627"/>
      <c r="AJL92" s="627"/>
      <c r="AJM92" s="627"/>
      <c r="AJN92" s="627"/>
      <c r="AJO92" s="627"/>
      <c r="AJP92" s="627"/>
      <c r="AJQ92" s="627"/>
      <c r="AJR92" s="627"/>
      <c r="AJS92" s="627"/>
      <c r="AJT92" s="627"/>
      <c r="AJU92" s="627"/>
      <c r="AJV92" s="627"/>
      <c r="AJW92" s="627"/>
      <c r="AJX92" s="627"/>
      <c r="AJY92" s="627"/>
      <c r="AJZ92" s="627"/>
      <c r="AKA92" s="627"/>
      <c r="AKB92" s="627"/>
      <c r="AKC92" s="627"/>
      <c r="AKD92" s="627"/>
      <c r="AKE92" s="627"/>
      <c r="AKF92" s="627"/>
      <c r="AKG92" s="627"/>
      <c r="AKH92" s="627"/>
      <c r="AKI92" s="627"/>
      <c r="AKJ92" s="627"/>
      <c r="AKK92" s="627"/>
      <c r="AKL92" s="627"/>
      <c r="AKM92" s="627"/>
      <c r="AKN92" s="627"/>
      <c r="AKO92" s="627"/>
      <c r="AKP92" s="627"/>
      <c r="AKQ92" s="627"/>
      <c r="AKR92" s="627"/>
      <c r="AKS92" s="627"/>
      <c r="AKT92" s="627"/>
      <c r="AKU92" s="627"/>
      <c r="AKV92" s="627"/>
      <c r="AKW92" s="627"/>
      <c r="AKX92" s="627"/>
      <c r="AKY92" s="627"/>
      <c r="AKZ92" s="627"/>
      <c r="ALA92" s="627"/>
      <c r="ALB92" s="627"/>
      <c r="ALC92" s="627"/>
      <c r="ALD92" s="627"/>
      <c r="ALE92" s="627"/>
      <c r="ALF92" s="627"/>
      <c r="ALG92" s="627"/>
      <c r="ALH92" s="627"/>
      <c r="ALI92" s="627"/>
      <c r="ALJ92" s="627"/>
      <c r="ALK92" s="627"/>
      <c r="ALL92" s="627"/>
      <c r="ALM92" s="627"/>
      <c r="ALN92" s="627"/>
      <c r="ALO92" s="627"/>
      <c r="ALP92" s="627"/>
      <c r="ALQ92" s="627"/>
      <c r="ALR92" s="627"/>
      <c r="ALS92" s="627"/>
      <c r="ALT92" s="627"/>
      <c r="ALU92" s="627"/>
      <c r="ALV92" s="627"/>
      <c r="ALW92" s="627"/>
      <c r="ALX92" s="627"/>
      <c r="ALY92" s="627"/>
      <c r="ALZ92" s="627"/>
      <c r="AMA92" s="627"/>
      <c r="AMB92" s="627"/>
      <c r="AMC92" s="627"/>
      <c r="AMD92" s="627"/>
      <c r="AME92" s="627"/>
      <c r="AMF92" s="627"/>
    </row>
    <row r="93" spans="1:1020" s="485" customFormat="1" ht="12.75" customHeight="1" x14ac:dyDescent="0.15">
      <c r="A93" s="627"/>
      <c r="B93" s="627"/>
      <c r="C93" s="627"/>
      <c r="D93" s="627"/>
      <c r="E93" s="627"/>
      <c r="F93" s="627"/>
      <c r="G93" s="627"/>
      <c r="H93" s="627"/>
      <c r="I93" s="627"/>
      <c r="J93" s="627"/>
      <c r="K93" s="627"/>
      <c r="L93" s="627"/>
      <c r="M93" s="627"/>
      <c r="N93" s="627"/>
      <c r="O93" s="627"/>
      <c r="P93" s="627"/>
      <c r="Q93" s="627"/>
      <c r="R93" s="627"/>
      <c r="S93" s="627"/>
      <c r="T93" s="627"/>
      <c r="U93" s="627"/>
      <c r="V93" s="627"/>
      <c r="W93" s="627"/>
      <c r="X93" s="627"/>
      <c r="Y93" s="627"/>
      <c r="Z93" s="627"/>
      <c r="AA93" s="627"/>
      <c r="AB93" s="627"/>
      <c r="AC93" s="627"/>
      <c r="AD93" s="627"/>
      <c r="AE93" s="627"/>
      <c r="AF93" s="627"/>
      <c r="AG93" s="627"/>
      <c r="AH93" s="627"/>
      <c r="AI93" s="627"/>
      <c r="AJ93" s="627"/>
      <c r="AK93" s="627"/>
      <c r="AL93" s="627"/>
      <c r="AM93" s="627"/>
      <c r="AN93" s="627"/>
      <c r="AO93" s="627"/>
      <c r="AP93" s="627" t="s">
        <v>791</v>
      </c>
      <c r="AQ93" s="627"/>
      <c r="AR93" s="627"/>
      <c r="AS93" s="627"/>
      <c r="AT93" s="627"/>
      <c r="AU93" s="627"/>
      <c r="AV93" s="627"/>
      <c r="AW93" s="627"/>
      <c r="AX93" s="627"/>
      <c r="AY93" s="627"/>
      <c r="AZ93" s="627"/>
      <c r="BA93" s="629" t="s">
        <v>1246</v>
      </c>
      <c r="BB93" s="627"/>
      <c r="BC93" s="627"/>
      <c r="BD93" s="627"/>
      <c r="BE93" s="629"/>
      <c r="BG93" s="486"/>
      <c r="BH93" s="436"/>
      <c r="BI93" s="436"/>
      <c r="BJ93" s="436"/>
      <c r="BK93" s="436"/>
      <c r="BL93" s="436"/>
      <c r="BM93" s="436"/>
      <c r="BN93" s="436"/>
      <c r="BO93" s="436"/>
      <c r="BP93" s="436"/>
      <c r="BQ93" s="436"/>
      <c r="BR93" s="436"/>
      <c r="BS93" s="436"/>
      <c r="BT93" s="436"/>
      <c r="BU93" s="436"/>
      <c r="BV93" s="627"/>
      <c r="BW93" s="627"/>
      <c r="BX93" s="627"/>
      <c r="BY93" s="627"/>
      <c r="BZ93" s="627"/>
      <c r="CA93" s="627"/>
      <c r="CB93" s="627"/>
      <c r="CC93" s="627"/>
      <c r="CD93" s="627"/>
      <c r="CE93" s="627"/>
      <c r="CF93" s="627"/>
      <c r="CG93" s="627"/>
      <c r="CH93" s="627"/>
      <c r="CI93" s="627"/>
      <c r="CJ93" s="627"/>
      <c r="CK93" s="627"/>
      <c r="CL93" s="627"/>
      <c r="CM93" s="627"/>
      <c r="CN93" s="627"/>
      <c r="CO93" s="627"/>
      <c r="CP93" s="627"/>
      <c r="CQ93" s="627"/>
      <c r="CR93" s="627"/>
      <c r="CS93" s="627"/>
      <c r="CT93" s="627"/>
      <c r="CU93" s="627"/>
      <c r="CV93" s="627"/>
      <c r="CW93" s="627"/>
      <c r="CX93" s="627"/>
      <c r="CY93" s="627"/>
      <c r="CZ93" s="627"/>
      <c r="DA93" s="627"/>
      <c r="DB93" s="627"/>
      <c r="DC93" s="627"/>
      <c r="DD93" s="627"/>
      <c r="DE93" s="627"/>
      <c r="DF93" s="627"/>
      <c r="DG93" s="627"/>
      <c r="DH93" s="627"/>
      <c r="DI93" s="627"/>
      <c r="DJ93" s="627"/>
      <c r="DK93" s="627"/>
      <c r="DL93" s="627"/>
      <c r="DM93" s="627"/>
      <c r="DN93" s="627"/>
      <c r="DO93" s="627"/>
      <c r="DP93" s="627"/>
      <c r="DQ93" s="627"/>
      <c r="DR93" s="627"/>
      <c r="DS93" s="627"/>
      <c r="DT93" s="627"/>
      <c r="DU93" s="627"/>
      <c r="DV93" s="627"/>
      <c r="DW93" s="627"/>
      <c r="DX93" s="627"/>
      <c r="DY93" s="627"/>
      <c r="DZ93" s="627"/>
      <c r="EA93" s="627"/>
      <c r="EB93" s="627"/>
      <c r="EC93" s="627"/>
      <c r="ED93" s="627"/>
      <c r="EE93" s="627"/>
      <c r="EF93" s="627"/>
      <c r="EG93" s="627"/>
      <c r="EH93" s="627"/>
      <c r="EI93" s="627"/>
      <c r="EJ93" s="627"/>
      <c r="EK93" s="627"/>
      <c r="EL93" s="627"/>
      <c r="EM93" s="627"/>
      <c r="EN93" s="627"/>
      <c r="EO93" s="627"/>
      <c r="EP93" s="627"/>
      <c r="EQ93" s="627"/>
      <c r="ER93" s="627"/>
      <c r="ES93" s="627"/>
      <c r="ET93" s="627"/>
      <c r="EU93" s="627"/>
      <c r="EV93" s="627"/>
      <c r="EW93" s="627"/>
      <c r="EX93" s="627"/>
      <c r="EY93" s="627"/>
      <c r="EZ93" s="627"/>
      <c r="FA93" s="627"/>
      <c r="FB93" s="627"/>
      <c r="FC93" s="627"/>
      <c r="FD93" s="627"/>
      <c r="FE93" s="627"/>
      <c r="FF93" s="627"/>
      <c r="FG93" s="627"/>
      <c r="FH93" s="627"/>
      <c r="FI93" s="627"/>
      <c r="FJ93" s="627"/>
      <c r="FK93" s="627"/>
      <c r="FL93" s="627"/>
      <c r="FM93" s="627"/>
      <c r="FN93" s="627"/>
      <c r="FO93" s="627"/>
      <c r="FP93" s="627"/>
      <c r="FQ93" s="627"/>
      <c r="FR93" s="627"/>
      <c r="FS93" s="627"/>
      <c r="FT93" s="627"/>
      <c r="FU93" s="627"/>
      <c r="FV93" s="627"/>
      <c r="FW93" s="627"/>
      <c r="FX93" s="627"/>
      <c r="FY93" s="627"/>
      <c r="FZ93" s="627"/>
      <c r="GA93" s="627"/>
      <c r="GB93" s="627"/>
      <c r="GC93" s="627"/>
      <c r="GD93" s="627"/>
      <c r="GE93" s="627"/>
      <c r="GF93" s="627"/>
      <c r="GG93" s="627"/>
      <c r="GH93" s="627"/>
      <c r="GI93" s="627"/>
      <c r="GJ93" s="627"/>
      <c r="GK93" s="627"/>
      <c r="GL93" s="627"/>
      <c r="GM93" s="627"/>
      <c r="GN93" s="627"/>
      <c r="GO93" s="627"/>
      <c r="GP93" s="627"/>
      <c r="GQ93" s="627"/>
      <c r="GR93" s="627"/>
      <c r="GS93" s="627"/>
      <c r="GT93" s="627"/>
      <c r="GU93" s="627"/>
      <c r="GV93" s="627"/>
      <c r="GW93" s="627"/>
      <c r="GX93" s="627"/>
      <c r="GY93" s="627"/>
      <c r="GZ93" s="627"/>
      <c r="HA93" s="627"/>
      <c r="HB93" s="627"/>
      <c r="HC93" s="627"/>
      <c r="HD93" s="627"/>
      <c r="HE93" s="627"/>
      <c r="HF93" s="627"/>
      <c r="HG93" s="627"/>
      <c r="HH93" s="627"/>
      <c r="HI93" s="627"/>
      <c r="HJ93" s="627"/>
      <c r="HK93" s="627"/>
      <c r="HL93" s="627"/>
      <c r="HM93" s="627"/>
      <c r="HN93" s="627"/>
      <c r="HO93" s="627"/>
      <c r="HP93" s="627"/>
      <c r="HQ93" s="627"/>
      <c r="HR93" s="627"/>
      <c r="HS93" s="627"/>
      <c r="HT93" s="627"/>
      <c r="HU93" s="627"/>
      <c r="HV93" s="627"/>
      <c r="HW93" s="627"/>
      <c r="HX93" s="627"/>
      <c r="HY93" s="627"/>
      <c r="HZ93" s="627"/>
      <c r="IA93" s="627"/>
      <c r="IB93" s="627"/>
      <c r="IC93" s="627"/>
      <c r="ID93" s="627"/>
      <c r="IE93" s="627"/>
      <c r="IF93" s="627"/>
      <c r="IG93" s="627"/>
      <c r="IH93" s="627"/>
      <c r="II93" s="627"/>
      <c r="IJ93" s="627"/>
      <c r="IK93" s="627"/>
      <c r="IL93" s="627"/>
      <c r="IM93" s="627"/>
      <c r="IN93" s="627"/>
      <c r="IO93" s="627"/>
      <c r="IP93" s="627"/>
      <c r="IQ93" s="627"/>
      <c r="IR93" s="627"/>
      <c r="IS93" s="627"/>
      <c r="IT93" s="627"/>
      <c r="IU93" s="627"/>
      <c r="IV93" s="627"/>
      <c r="IW93" s="627"/>
      <c r="IX93" s="627"/>
      <c r="IY93" s="627"/>
      <c r="IZ93" s="627"/>
      <c r="JA93" s="627"/>
      <c r="JB93" s="627"/>
      <c r="JC93" s="627"/>
      <c r="JD93" s="627"/>
      <c r="JE93" s="627"/>
      <c r="JF93" s="627"/>
      <c r="JG93" s="627"/>
      <c r="JH93" s="627"/>
      <c r="JI93" s="627"/>
      <c r="JJ93" s="627"/>
      <c r="JK93" s="627"/>
      <c r="JL93" s="627"/>
      <c r="JM93" s="627"/>
      <c r="JN93" s="627"/>
      <c r="JO93" s="627"/>
      <c r="JP93" s="627"/>
      <c r="JQ93" s="627"/>
      <c r="JR93" s="627"/>
      <c r="JS93" s="627"/>
      <c r="JT93" s="627"/>
      <c r="JU93" s="627"/>
      <c r="JV93" s="627"/>
      <c r="JW93" s="627"/>
      <c r="JX93" s="627"/>
      <c r="JY93" s="627"/>
      <c r="JZ93" s="627"/>
      <c r="KA93" s="627"/>
      <c r="KB93" s="627"/>
      <c r="KC93" s="627"/>
      <c r="KD93" s="627"/>
      <c r="KE93" s="627"/>
      <c r="KF93" s="627"/>
      <c r="KG93" s="627"/>
      <c r="KH93" s="627"/>
      <c r="KI93" s="627"/>
      <c r="KJ93" s="627"/>
      <c r="KK93" s="627"/>
      <c r="KL93" s="627"/>
      <c r="KM93" s="627"/>
      <c r="KN93" s="627"/>
      <c r="KO93" s="627"/>
      <c r="KP93" s="627"/>
      <c r="KQ93" s="627"/>
      <c r="KR93" s="627"/>
      <c r="KS93" s="627"/>
      <c r="KT93" s="627"/>
      <c r="KU93" s="627"/>
      <c r="KV93" s="627"/>
      <c r="KW93" s="627"/>
      <c r="KX93" s="627"/>
      <c r="KY93" s="627"/>
      <c r="KZ93" s="627"/>
      <c r="LA93" s="627"/>
      <c r="LB93" s="627"/>
      <c r="LC93" s="627"/>
      <c r="LD93" s="627"/>
      <c r="LE93" s="627"/>
      <c r="LF93" s="627"/>
      <c r="LG93" s="627"/>
      <c r="LH93" s="627"/>
      <c r="LI93" s="627"/>
      <c r="LJ93" s="627"/>
      <c r="LK93" s="627"/>
      <c r="LL93" s="627"/>
      <c r="LM93" s="627"/>
      <c r="LN93" s="627"/>
      <c r="LO93" s="627"/>
      <c r="LP93" s="627"/>
      <c r="LQ93" s="627"/>
      <c r="LR93" s="627"/>
      <c r="LS93" s="627"/>
      <c r="LT93" s="627"/>
      <c r="LU93" s="627"/>
      <c r="LV93" s="627"/>
      <c r="LW93" s="627"/>
      <c r="LX93" s="627"/>
      <c r="LY93" s="627"/>
      <c r="LZ93" s="627"/>
      <c r="MA93" s="627"/>
      <c r="MB93" s="627"/>
      <c r="MC93" s="627"/>
      <c r="MD93" s="627"/>
      <c r="ME93" s="627"/>
      <c r="MF93" s="627"/>
      <c r="MG93" s="627"/>
      <c r="MH93" s="627"/>
      <c r="MI93" s="627"/>
      <c r="MJ93" s="627"/>
      <c r="MK93" s="627"/>
      <c r="ML93" s="627"/>
      <c r="MM93" s="627"/>
      <c r="MN93" s="627"/>
      <c r="MO93" s="627"/>
      <c r="MP93" s="627"/>
      <c r="MQ93" s="627"/>
      <c r="MR93" s="627"/>
      <c r="MS93" s="627"/>
      <c r="MT93" s="627"/>
      <c r="MU93" s="627"/>
      <c r="MV93" s="627"/>
      <c r="MW93" s="627"/>
      <c r="MX93" s="627"/>
      <c r="MY93" s="627"/>
      <c r="MZ93" s="627"/>
      <c r="NA93" s="627"/>
      <c r="NB93" s="627"/>
      <c r="NC93" s="627"/>
      <c r="ND93" s="627"/>
      <c r="NE93" s="627"/>
      <c r="NF93" s="627"/>
      <c r="NG93" s="627"/>
      <c r="NH93" s="627"/>
      <c r="NI93" s="627"/>
      <c r="NJ93" s="627"/>
      <c r="NK93" s="627"/>
      <c r="NL93" s="627"/>
      <c r="NM93" s="627"/>
      <c r="NN93" s="627"/>
      <c r="NO93" s="627"/>
      <c r="NP93" s="627"/>
      <c r="NQ93" s="627"/>
      <c r="NR93" s="627"/>
      <c r="NS93" s="627"/>
      <c r="NT93" s="627"/>
      <c r="NU93" s="627"/>
      <c r="NV93" s="627"/>
      <c r="NW93" s="627"/>
      <c r="NX93" s="627"/>
      <c r="NY93" s="627"/>
      <c r="NZ93" s="627"/>
      <c r="OA93" s="627"/>
      <c r="OB93" s="627"/>
      <c r="OC93" s="627"/>
      <c r="OD93" s="627"/>
      <c r="OE93" s="627"/>
      <c r="OF93" s="627"/>
      <c r="OG93" s="627"/>
      <c r="OH93" s="627"/>
      <c r="OI93" s="627"/>
      <c r="OJ93" s="627"/>
      <c r="OK93" s="627"/>
      <c r="OL93" s="627"/>
      <c r="OM93" s="627"/>
      <c r="ON93" s="627"/>
      <c r="OO93" s="627"/>
      <c r="OP93" s="627"/>
      <c r="OQ93" s="627"/>
      <c r="OR93" s="627"/>
      <c r="OS93" s="627"/>
      <c r="OT93" s="627"/>
      <c r="OU93" s="627"/>
      <c r="OV93" s="627"/>
      <c r="OW93" s="627"/>
      <c r="OX93" s="627"/>
      <c r="OY93" s="627"/>
      <c r="OZ93" s="627"/>
      <c r="PA93" s="627"/>
      <c r="PB93" s="627"/>
      <c r="PC93" s="627"/>
      <c r="PD93" s="627"/>
      <c r="PE93" s="627"/>
      <c r="PF93" s="627"/>
      <c r="PG93" s="627"/>
      <c r="PH93" s="627"/>
      <c r="PI93" s="627"/>
      <c r="PJ93" s="627"/>
      <c r="PK93" s="627"/>
      <c r="PL93" s="627"/>
      <c r="PM93" s="627"/>
      <c r="PN93" s="627"/>
      <c r="PO93" s="627"/>
      <c r="PP93" s="627"/>
      <c r="PQ93" s="627"/>
      <c r="PR93" s="627"/>
      <c r="PS93" s="627"/>
      <c r="PT93" s="627"/>
      <c r="PU93" s="627"/>
      <c r="PV93" s="627"/>
      <c r="PW93" s="627"/>
      <c r="PX93" s="627"/>
      <c r="PY93" s="627"/>
      <c r="PZ93" s="627"/>
      <c r="QA93" s="627"/>
      <c r="QB93" s="627"/>
      <c r="QC93" s="627"/>
      <c r="QD93" s="627"/>
      <c r="QE93" s="627"/>
      <c r="QF93" s="627"/>
      <c r="QG93" s="627"/>
      <c r="QH93" s="627"/>
      <c r="QI93" s="627"/>
      <c r="QJ93" s="627"/>
      <c r="QK93" s="627"/>
      <c r="QL93" s="627"/>
      <c r="QM93" s="627"/>
      <c r="QN93" s="627"/>
      <c r="QO93" s="627"/>
      <c r="QP93" s="627"/>
      <c r="QQ93" s="627"/>
      <c r="QR93" s="627"/>
      <c r="QS93" s="627"/>
      <c r="QT93" s="627"/>
      <c r="QU93" s="627"/>
      <c r="QV93" s="627"/>
      <c r="QW93" s="627"/>
      <c r="QX93" s="627"/>
      <c r="QY93" s="627"/>
      <c r="QZ93" s="627"/>
      <c r="RA93" s="627"/>
      <c r="RB93" s="627"/>
      <c r="RC93" s="627"/>
      <c r="RD93" s="627"/>
      <c r="RE93" s="627"/>
      <c r="RF93" s="627"/>
      <c r="RG93" s="627"/>
      <c r="RH93" s="627"/>
      <c r="RI93" s="627"/>
      <c r="RJ93" s="627"/>
      <c r="RK93" s="627"/>
      <c r="RL93" s="627"/>
      <c r="RM93" s="627"/>
      <c r="RN93" s="627"/>
      <c r="RO93" s="627"/>
      <c r="RP93" s="627"/>
      <c r="RQ93" s="627"/>
      <c r="RR93" s="627"/>
      <c r="RS93" s="627"/>
      <c r="RT93" s="627"/>
      <c r="RU93" s="627"/>
      <c r="RV93" s="627"/>
      <c r="RW93" s="627"/>
      <c r="RX93" s="627"/>
      <c r="RY93" s="627"/>
      <c r="RZ93" s="627"/>
      <c r="SA93" s="627"/>
      <c r="SB93" s="627"/>
      <c r="SC93" s="627"/>
      <c r="SD93" s="627"/>
      <c r="SE93" s="627"/>
      <c r="SF93" s="627"/>
      <c r="SG93" s="627"/>
      <c r="SH93" s="627"/>
      <c r="SI93" s="627"/>
      <c r="SJ93" s="627"/>
      <c r="SK93" s="627"/>
      <c r="SL93" s="627"/>
      <c r="SM93" s="627"/>
      <c r="SN93" s="627"/>
      <c r="SO93" s="627"/>
      <c r="SP93" s="627"/>
      <c r="SQ93" s="627"/>
      <c r="SR93" s="627"/>
      <c r="SS93" s="627"/>
      <c r="ST93" s="627"/>
      <c r="SU93" s="627"/>
      <c r="SV93" s="627"/>
      <c r="SW93" s="627"/>
      <c r="SX93" s="627"/>
      <c r="SY93" s="627"/>
      <c r="SZ93" s="627"/>
      <c r="TA93" s="627"/>
      <c r="TB93" s="627"/>
      <c r="TC93" s="627"/>
      <c r="TD93" s="627"/>
      <c r="TE93" s="627"/>
      <c r="TF93" s="627"/>
      <c r="TG93" s="627"/>
      <c r="TH93" s="627"/>
      <c r="TI93" s="627"/>
      <c r="TJ93" s="627"/>
      <c r="TK93" s="627"/>
      <c r="TL93" s="627"/>
      <c r="TM93" s="627"/>
      <c r="TN93" s="627"/>
      <c r="TO93" s="627"/>
      <c r="TP93" s="627"/>
      <c r="TQ93" s="627"/>
      <c r="TR93" s="627"/>
      <c r="TS93" s="627"/>
      <c r="TT93" s="627"/>
      <c r="TU93" s="627"/>
      <c r="TV93" s="627"/>
      <c r="TW93" s="627"/>
      <c r="TX93" s="627"/>
      <c r="TY93" s="627"/>
      <c r="TZ93" s="627"/>
      <c r="UA93" s="627"/>
      <c r="UB93" s="627"/>
      <c r="UC93" s="627"/>
      <c r="UD93" s="627"/>
      <c r="UE93" s="627"/>
      <c r="UF93" s="627"/>
      <c r="UG93" s="627"/>
      <c r="UH93" s="627"/>
      <c r="UI93" s="627"/>
      <c r="UJ93" s="627"/>
      <c r="UK93" s="627"/>
      <c r="UL93" s="627"/>
      <c r="UM93" s="627"/>
      <c r="UN93" s="627"/>
      <c r="UO93" s="627"/>
      <c r="UP93" s="627"/>
      <c r="UQ93" s="627"/>
      <c r="UR93" s="627"/>
      <c r="US93" s="627"/>
      <c r="UT93" s="627"/>
      <c r="UU93" s="627"/>
      <c r="UV93" s="627"/>
      <c r="UW93" s="627"/>
      <c r="UX93" s="627"/>
      <c r="UY93" s="627"/>
      <c r="UZ93" s="627"/>
      <c r="VA93" s="627"/>
      <c r="VB93" s="627"/>
      <c r="VC93" s="627"/>
      <c r="VD93" s="627"/>
      <c r="VE93" s="627"/>
      <c r="VF93" s="627"/>
      <c r="VG93" s="627"/>
      <c r="VH93" s="627"/>
      <c r="VI93" s="627"/>
      <c r="VJ93" s="627"/>
      <c r="VK93" s="627"/>
      <c r="VL93" s="627"/>
      <c r="VM93" s="627"/>
      <c r="VN93" s="627"/>
      <c r="VO93" s="627"/>
      <c r="VP93" s="627"/>
      <c r="VQ93" s="627"/>
      <c r="VR93" s="627"/>
      <c r="VS93" s="627"/>
      <c r="VT93" s="627"/>
      <c r="VU93" s="627"/>
      <c r="VV93" s="627"/>
      <c r="VW93" s="627"/>
      <c r="VX93" s="627"/>
      <c r="VY93" s="627"/>
      <c r="VZ93" s="627"/>
      <c r="WA93" s="627"/>
      <c r="WB93" s="627"/>
      <c r="WC93" s="627"/>
      <c r="WD93" s="627"/>
      <c r="WE93" s="627"/>
      <c r="WF93" s="627"/>
      <c r="WG93" s="627"/>
      <c r="WH93" s="627"/>
      <c r="WI93" s="627"/>
      <c r="WJ93" s="627"/>
      <c r="WK93" s="627"/>
      <c r="WL93" s="627"/>
      <c r="WM93" s="627"/>
      <c r="WN93" s="627"/>
      <c r="WO93" s="627"/>
      <c r="WP93" s="627"/>
      <c r="WQ93" s="627"/>
      <c r="WR93" s="627"/>
      <c r="WS93" s="627"/>
      <c r="WT93" s="627"/>
      <c r="WU93" s="627"/>
      <c r="WV93" s="627"/>
      <c r="WW93" s="627"/>
      <c r="WX93" s="627"/>
      <c r="WY93" s="627"/>
      <c r="WZ93" s="627"/>
      <c r="XA93" s="627"/>
      <c r="XB93" s="627"/>
      <c r="XC93" s="627"/>
      <c r="XD93" s="627"/>
      <c r="XE93" s="627"/>
      <c r="XF93" s="627"/>
      <c r="XG93" s="627"/>
      <c r="XH93" s="627"/>
      <c r="XI93" s="627"/>
      <c r="XJ93" s="627"/>
      <c r="XK93" s="627"/>
      <c r="XL93" s="627"/>
      <c r="XM93" s="627"/>
      <c r="XN93" s="627"/>
      <c r="XO93" s="627"/>
      <c r="XP93" s="627"/>
      <c r="XQ93" s="627"/>
      <c r="XR93" s="627"/>
      <c r="XS93" s="627"/>
      <c r="XT93" s="627"/>
      <c r="XU93" s="627"/>
      <c r="XV93" s="627"/>
      <c r="XW93" s="627"/>
      <c r="XX93" s="627"/>
      <c r="XY93" s="627"/>
      <c r="XZ93" s="627"/>
      <c r="YA93" s="627"/>
      <c r="YB93" s="627"/>
      <c r="YC93" s="627"/>
      <c r="YD93" s="627"/>
      <c r="YE93" s="627"/>
      <c r="YF93" s="627"/>
      <c r="YG93" s="627"/>
      <c r="YH93" s="627"/>
      <c r="YI93" s="627"/>
      <c r="YJ93" s="627"/>
      <c r="YK93" s="627"/>
      <c r="YL93" s="627"/>
      <c r="YM93" s="627"/>
      <c r="YN93" s="627"/>
      <c r="YO93" s="627"/>
      <c r="YP93" s="627"/>
      <c r="YQ93" s="627"/>
      <c r="YR93" s="627"/>
      <c r="YS93" s="627"/>
      <c r="YT93" s="627"/>
      <c r="YU93" s="627"/>
      <c r="YV93" s="627"/>
      <c r="YW93" s="627"/>
      <c r="YX93" s="627"/>
      <c r="YY93" s="627"/>
      <c r="YZ93" s="627"/>
      <c r="ZA93" s="627"/>
      <c r="ZB93" s="627"/>
      <c r="ZC93" s="627"/>
      <c r="ZD93" s="627"/>
      <c r="ZE93" s="627"/>
      <c r="ZF93" s="627"/>
      <c r="ZG93" s="627"/>
      <c r="ZH93" s="627"/>
      <c r="ZI93" s="627"/>
      <c r="ZJ93" s="627"/>
      <c r="ZK93" s="627"/>
      <c r="ZL93" s="627"/>
      <c r="ZM93" s="627"/>
      <c r="ZN93" s="627"/>
      <c r="ZO93" s="627"/>
      <c r="ZP93" s="627"/>
      <c r="ZQ93" s="627"/>
      <c r="ZR93" s="627"/>
      <c r="ZS93" s="627"/>
      <c r="ZT93" s="627"/>
      <c r="ZU93" s="627"/>
      <c r="ZV93" s="627"/>
      <c r="ZW93" s="627"/>
      <c r="ZX93" s="627"/>
      <c r="ZY93" s="627"/>
      <c r="ZZ93" s="627"/>
      <c r="AAA93" s="627"/>
      <c r="AAB93" s="627"/>
      <c r="AAC93" s="627"/>
      <c r="AAD93" s="627"/>
      <c r="AAE93" s="627"/>
      <c r="AAF93" s="627"/>
      <c r="AAG93" s="627"/>
      <c r="AAH93" s="627"/>
      <c r="AAI93" s="627"/>
      <c r="AAJ93" s="627"/>
      <c r="AAK93" s="627"/>
      <c r="AAL93" s="627"/>
      <c r="AAM93" s="627"/>
      <c r="AAN93" s="627"/>
      <c r="AAO93" s="627"/>
      <c r="AAP93" s="627"/>
      <c r="AAQ93" s="627"/>
      <c r="AAR93" s="627"/>
      <c r="AAS93" s="627"/>
      <c r="AAT93" s="627"/>
      <c r="AAU93" s="627"/>
      <c r="AAV93" s="627"/>
      <c r="AAW93" s="627"/>
      <c r="AAX93" s="627"/>
      <c r="AAY93" s="627"/>
      <c r="AAZ93" s="627"/>
      <c r="ABA93" s="627"/>
      <c r="ABB93" s="627"/>
      <c r="ABC93" s="627"/>
      <c r="ABD93" s="627"/>
      <c r="ABE93" s="627"/>
      <c r="ABF93" s="627"/>
      <c r="ABG93" s="627"/>
      <c r="ABH93" s="627"/>
      <c r="ABI93" s="627"/>
      <c r="ABJ93" s="627"/>
      <c r="ABK93" s="627"/>
      <c r="ABL93" s="627"/>
      <c r="ABM93" s="627"/>
      <c r="ABN93" s="627"/>
      <c r="ABO93" s="627"/>
      <c r="ABP93" s="627"/>
      <c r="ABQ93" s="627"/>
      <c r="ABR93" s="627"/>
      <c r="ABS93" s="627"/>
      <c r="ABT93" s="627"/>
      <c r="ABU93" s="627"/>
      <c r="ABV93" s="627"/>
      <c r="ABW93" s="627"/>
      <c r="ABX93" s="627"/>
      <c r="ABY93" s="627"/>
      <c r="ABZ93" s="627"/>
      <c r="ACA93" s="627"/>
      <c r="ACB93" s="627"/>
      <c r="ACC93" s="627"/>
      <c r="ACD93" s="627"/>
      <c r="ACE93" s="627"/>
      <c r="ACF93" s="627"/>
      <c r="ACG93" s="627"/>
      <c r="ACH93" s="627"/>
      <c r="ACI93" s="627"/>
      <c r="ACJ93" s="627"/>
      <c r="ACK93" s="627"/>
      <c r="ACL93" s="627"/>
      <c r="ACM93" s="627"/>
      <c r="ACN93" s="627"/>
      <c r="ACO93" s="627"/>
      <c r="ACP93" s="627"/>
      <c r="ACQ93" s="627"/>
      <c r="ACR93" s="627"/>
      <c r="ACS93" s="627"/>
      <c r="ACT93" s="627"/>
      <c r="ACU93" s="627"/>
      <c r="ACV93" s="627"/>
      <c r="ACW93" s="627"/>
      <c r="ACX93" s="627"/>
      <c r="ACY93" s="627"/>
      <c r="ACZ93" s="627"/>
      <c r="ADA93" s="627"/>
      <c r="ADB93" s="627"/>
      <c r="ADC93" s="627"/>
      <c r="ADD93" s="627"/>
      <c r="ADE93" s="627"/>
      <c r="ADF93" s="627"/>
      <c r="ADG93" s="627"/>
      <c r="ADH93" s="627"/>
      <c r="ADI93" s="627"/>
      <c r="ADJ93" s="627"/>
      <c r="ADK93" s="627"/>
      <c r="ADL93" s="627"/>
      <c r="ADM93" s="627"/>
      <c r="ADN93" s="627"/>
      <c r="ADO93" s="627"/>
      <c r="ADP93" s="627"/>
      <c r="ADQ93" s="627"/>
      <c r="ADR93" s="627"/>
      <c r="ADS93" s="627"/>
      <c r="ADT93" s="627"/>
      <c r="ADU93" s="627"/>
      <c r="ADV93" s="627"/>
      <c r="ADW93" s="627"/>
      <c r="ADX93" s="627"/>
      <c r="ADY93" s="627"/>
      <c r="ADZ93" s="627"/>
      <c r="AEA93" s="627"/>
      <c r="AEB93" s="627"/>
      <c r="AEC93" s="627"/>
      <c r="AED93" s="627"/>
      <c r="AEE93" s="627"/>
      <c r="AEF93" s="627"/>
      <c r="AEG93" s="627"/>
      <c r="AEH93" s="627"/>
      <c r="AEI93" s="627"/>
      <c r="AEJ93" s="627"/>
      <c r="AEK93" s="627"/>
      <c r="AEL93" s="627"/>
      <c r="AEM93" s="627"/>
      <c r="AEN93" s="627"/>
      <c r="AEO93" s="627"/>
      <c r="AEP93" s="627"/>
      <c r="AEQ93" s="627"/>
      <c r="AER93" s="627"/>
      <c r="AES93" s="627"/>
      <c r="AET93" s="627"/>
      <c r="AEU93" s="627"/>
      <c r="AEV93" s="627"/>
      <c r="AEW93" s="627"/>
      <c r="AEX93" s="627"/>
      <c r="AEY93" s="627"/>
      <c r="AEZ93" s="627"/>
      <c r="AFA93" s="627"/>
      <c r="AFB93" s="627"/>
      <c r="AFC93" s="627"/>
      <c r="AFD93" s="627"/>
      <c r="AFE93" s="627"/>
      <c r="AFF93" s="627"/>
      <c r="AFG93" s="627"/>
      <c r="AFH93" s="627"/>
      <c r="AFI93" s="627"/>
      <c r="AFJ93" s="627"/>
      <c r="AFK93" s="627"/>
      <c r="AFL93" s="627"/>
      <c r="AFM93" s="627"/>
      <c r="AFN93" s="627"/>
      <c r="AFO93" s="627"/>
      <c r="AFP93" s="627"/>
      <c r="AFQ93" s="627"/>
      <c r="AFR93" s="627"/>
      <c r="AFS93" s="627"/>
      <c r="AFT93" s="627"/>
      <c r="AFU93" s="627"/>
      <c r="AFV93" s="627"/>
      <c r="AFW93" s="627"/>
      <c r="AFX93" s="627"/>
      <c r="AFY93" s="627"/>
      <c r="AFZ93" s="627"/>
      <c r="AGA93" s="627"/>
      <c r="AGB93" s="627"/>
      <c r="AGC93" s="627"/>
      <c r="AGD93" s="627"/>
      <c r="AGE93" s="627"/>
      <c r="AGF93" s="627"/>
      <c r="AGG93" s="627"/>
      <c r="AGH93" s="627"/>
      <c r="AGI93" s="627"/>
      <c r="AGJ93" s="627"/>
      <c r="AGK93" s="627"/>
      <c r="AGL93" s="627"/>
      <c r="AGM93" s="627"/>
      <c r="AGN93" s="627"/>
      <c r="AGO93" s="627"/>
      <c r="AGP93" s="627"/>
      <c r="AGQ93" s="627"/>
      <c r="AGR93" s="627"/>
      <c r="AGS93" s="627"/>
      <c r="AGT93" s="627"/>
      <c r="AGU93" s="627"/>
      <c r="AGV93" s="627"/>
      <c r="AGW93" s="627"/>
      <c r="AGX93" s="627"/>
      <c r="AGY93" s="627"/>
      <c r="AGZ93" s="627"/>
      <c r="AHA93" s="627"/>
      <c r="AHB93" s="627"/>
      <c r="AHC93" s="627"/>
      <c r="AHD93" s="627"/>
      <c r="AHE93" s="627"/>
      <c r="AHF93" s="627"/>
      <c r="AHG93" s="627"/>
      <c r="AHH93" s="627"/>
      <c r="AHI93" s="627"/>
      <c r="AHJ93" s="627"/>
      <c r="AHK93" s="627"/>
      <c r="AHL93" s="627"/>
      <c r="AHM93" s="627"/>
      <c r="AHN93" s="627"/>
      <c r="AHO93" s="627"/>
      <c r="AHP93" s="627"/>
      <c r="AHQ93" s="627"/>
      <c r="AHR93" s="627"/>
      <c r="AHS93" s="627"/>
      <c r="AHT93" s="627"/>
      <c r="AHU93" s="627"/>
      <c r="AHV93" s="627"/>
      <c r="AHW93" s="627"/>
      <c r="AHX93" s="627"/>
      <c r="AHY93" s="627"/>
      <c r="AHZ93" s="627"/>
      <c r="AIA93" s="627"/>
      <c r="AIB93" s="627"/>
      <c r="AIC93" s="627"/>
      <c r="AID93" s="627"/>
      <c r="AIE93" s="627"/>
      <c r="AIF93" s="627"/>
      <c r="AIG93" s="627"/>
      <c r="AIH93" s="627"/>
      <c r="AII93" s="627"/>
      <c r="AIJ93" s="627"/>
      <c r="AIK93" s="627"/>
      <c r="AIL93" s="627"/>
      <c r="AIM93" s="627"/>
      <c r="AIN93" s="627"/>
      <c r="AIO93" s="627"/>
      <c r="AIP93" s="627"/>
      <c r="AIQ93" s="627"/>
      <c r="AIR93" s="627"/>
      <c r="AIS93" s="627"/>
      <c r="AIT93" s="627"/>
      <c r="AIU93" s="627"/>
      <c r="AIV93" s="627"/>
      <c r="AIW93" s="627"/>
      <c r="AIX93" s="627"/>
      <c r="AIY93" s="627"/>
      <c r="AIZ93" s="627"/>
      <c r="AJA93" s="627"/>
      <c r="AJB93" s="627"/>
      <c r="AJC93" s="627"/>
      <c r="AJD93" s="627"/>
      <c r="AJE93" s="627"/>
      <c r="AJF93" s="627"/>
      <c r="AJG93" s="627"/>
      <c r="AJH93" s="627"/>
      <c r="AJI93" s="627"/>
      <c r="AJJ93" s="627"/>
      <c r="AJK93" s="627"/>
      <c r="AJL93" s="627"/>
      <c r="AJM93" s="627"/>
      <c r="AJN93" s="627"/>
      <c r="AJO93" s="627"/>
      <c r="AJP93" s="627"/>
      <c r="AJQ93" s="627"/>
      <c r="AJR93" s="627"/>
      <c r="AJS93" s="627"/>
      <c r="AJT93" s="627"/>
      <c r="AJU93" s="627"/>
      <c r="AJV93" s="627"/>
      <c r="AJW93" s="627"/>
      <c r="AJX93" s="627"/>
      <c r="AJY93" s="627"/>
      <c r="AJZ93" s="627"/>
      <c r="AKA93" s="627"/>
      <c r="AKB93" s="627"/>
      <c r="AKC93" s="627"/>
      <c r="AKD93" s="627"/>
      <c r="AKE93" s="627"/>
      <c r="AKF93" s="627"/>
      <c r="AKG93" s="627"/>
      <c r="AKH93" s="627"/>
      <c r="AKI93" s="627"/>
      <c r="AKJ93" s="627"/>
      <c r="AKK93" s="627"/>
      <c r="AKL93" s="627"/>
      <c r="AKM93" s="627"/>
      <c r="AKN93" s="627"/>
      <c r="AKO93" s="627"/>
      <c r="AKP93" s="627"/>
      <c r="AKQ93" s="627"/>
      <c r="AKR93" s="627"/>
      <c r="AKS93" s="627"/>
      <c r="AKT93" s="627"/>
      <c r="AKU93" s="627"/>
      <c r="AKV93" s="627"/>
      <c r="AKW93" s="627"/>
      <c r="AKX93" s="627"/>
      <c r="AKY93" s="627"/>
      <c r="AKZ93" s="627"/>
      <c r="ALA93" s="627"/>
      <c r="ALB93" s="627"/>
      <c r="ALC93" s="627"/>
      <c r="ALD93" s="627"/>
      <c r="ALE93" s="627"/>
      <c r="ALF93" s="627"/>
      <c r="ALG93" s="627"/>
      <c r="ALH93" s="627"/>
      <c r="ALI93" s="627"/>
      <c r="ALJ93" s="627"/>
      <c r="ALK93" s="627"/>
      <c r="ALL93" s="627"/>
      <c r="ALM93" s="627"/>
      <c r="ALN93" s="627"/>
      <c r="ALO93" s="627"/>
      <c r="ALP93" s="627"/>
      <c r="ALQ93" s="627"/>
      <c r="ALR93" s="627"/>
      <c r="ALS93" s="627"/>
      <c r="ALT93" s="627"/>
      <c r="ALU93" s="627"/>
      <c r="ALV93" s="627"/>
      <c r="ALW93" s="627"/>
      <c r="ALX93" s="627"/>
      <c r="ALY93" s="627"/>
      <c r="ALZ93" s="627"/>
      <c r="AMA93" s="627"/>
      <c r="AMB93" s="627"/>
      <c r="AMC93" s="627"/>
      <c r="AMD93" s="627"/>
      <c r="AME93" s="627"/>
      <c r="AMF93" s="627"/>
    </row>
    <row r="94" spans="1:1020" s="485" customFormat="1" ht="12.75" customHeight="1" x14ac:dyDescent="0.15">
      <c r="A94" s="627"/>
      <c r="B94" s="627"/>
      <c r="C94" s="627"/>
      <c r="D94" s="627"/>
      <c r="E94" s="627"/>
      <c r="F94" s="627"/>
      <c r="G94" s="627"/>
      <c r="H94" s="627"/>
      <c r="I94" s="627"/>
      <c r="J94" s="627"/>
      <c r="K94" s="627"/>
      <c r="L94" s="627"/>
      <c r="M94" s="627"/>
      <c r="N94" s="627"/>
      <c r="O94" s="627"/>
      <c r="P94" s="627"/>
      <c r="Q94" s="627"/>
      <c r="R94" s="627"/>
      <c r="S94" s="627"/>
      <c r="T94" s="627"/>
      <c r="U94" s="627"/>
      <c r="V94" s="627"/>
      <c r="W94" s="627"/>
      <c r="X94" s="627"/>
      <c r="Y94" s="627"/>
      <c r="Z94" s="627"/>
      <c r="AA94" s="627"/>
      <c r="AB94" s="627"/>
      <c r="AC94" s="627"/>
      <c r="AD94" s="627"/>
      <c r="AE94" s="627"/>
      <c r="AF94" s="627"/>
      <c r="AG94" s="627"/>
      <c r="AH94" s="627"/>
      <c r="AI94" s="627"/>
      <c r="AJ94" s="627"/>
      <c r="AK94" s="627"/>
      <c r="AL94" s="627"/>
      <c r="AM94" s="627"/>
      <c r="AN94" s="627"/>
      <c r="AO94" s="627"/>
      <c r="AP94" s="627" t="s">
        <v>790</v>
      </c>
      <c r="AQ94" s="627"/>
      <c r="AR94" s="627"/>
      <c r="AS94" s="627"/>
      <c r="AT94" s="627"/>
      <c r="AU94" s="627"/>
      <c r="AV94" s="627"/>
      <c r="AW94" s="627"/>
      <c r="AX94" s="627"/>
      <c r="AY94" s="627"/>
      <c r="AZ94" s="627"/>
      <c r="BA94" s="629" t="s">
        <v>1247</v>
      </c>
      <c r="BB94" s="627"/>
      <c r="BC94" s="627"/>
      <c r="BD94" s="627"/>
      <c r="BE94" s="627"/>
      <c r="BG94" s="486"/>
      <c r="BH94" s="436"/>
      <c r="BI94" s="436"/>
      <c r="BJ94" s="436"/>
      <c r="BK94" s="436"/>
      <c r="BL94" s="436"/>
      <c r="BM94" s="436"/>
      <c r="BN94" s="436"/>
      <c r="BO94" s="436"/>
      <c r="BP94" s="436"/>
      <c r="BQ94" s="436"/>
      <c r="BR94" s="436"/>
      <c r="BS94" s="436"/>
      <c r="BT94" s="436"/>
      <c r="BU94" s="436"/>
      <c r="BV94" s="627"/>
      <c r="BW94" s="627"/>
      <c r="BX94" s="627"/>
      <c r="BY94" s="627"/>
      <c r="BZ94" s="627"/>
      <c r="CA94" s="627"/>
      <c r="CB94" s="627"/>
      <c r="CC94" s="627"/>
      <c r="CD94" s="627"/>
      <c r="CE94" s="627"/>
      <c r="CF94" s="627"/>
      <c r="CG94" s="627"/>
      <c r="CH94" s="627"/>
      <c r="CI94" s="627"/>
      <c r="CJ94" s="627"/>
      <c r="CK94" s="627"/>
      <c r="CL94" s="627"/>
      <c r="CM94" s="627"/>
      <c r="CN94" s="627"/>
      <c r="CO94" s="627"/>
      <c r="CP94" s="627"/>
      <c r="CQ94" s="627"/>
      <c r="CR94" s="627"/>
      <c r="CS94" s="627"/>
      <c r="CT94" s="627"/>
      <c r="CU94" s="627"/>
      <c r="CV94" s="627"/>
      <c r="CW94" s="627"/>
      <c r="CX94" s="627"/>
      <c r="CY94" s="627"/>
      <c r="CZ94" s="627"/>
      <c r="DA94" s="627"/>
      <c r="DB94" s="627"/>
      <c r="DC94" s="627"/>
      <c r="DD94" s="627"/>
      <c r="DE94" s="627"/>
      <c r="DF94" s="627"/>
      <c r="DG94" s="627"/>
      <c r="DH94" s="627"/>
      <c r="DI94" s="627"/>
      <c r="DJ94" s="627"/>
      <c r="DK94" s="627"/>
      <c r="DL94" s="627"/>
      <c r="DM94" s="627"/>
      <c r="DN94" s="627"/>
      <c r="DO94" s="627"/>
      <c r="DP94" s="627"/>
      <c r="DQ94" s="627"/>
      <c r="DR94" s="627"/>
      <c r="DS94" s="627"/>
      <c r="DT94" s="627"/>
      <c r="DU94" s="627"/>
      <c r="DV94" s="627"/>
      <c r="DW94" s="627"/>
      <c r="DX94" s="627"/>
      <c r="DY94" s="627"/>
      <c r="DZ94" s="627"/>
      <c r="EA94" s="627"/>
      <c r="EB94" s="627"/>
      <c r="EC94" s="627"/>
      <c r="ED94" s="627"/>
      <c r="EE94" s="627"/>
      <c r="EF94" s="627"/>
      <c r="EG94" s="627"/>
      <c r="EH94" s="627"/>
      <c r="EI94" s="627"/>
      <c r="EJ94" s="627"/>
      <c r="EK94" s="627"/>
      <c r="EL94" s="627"/>
      <c r="EM94" s="627"/>
      <c r="EN94" s="627"/>
      <c r="EO94" s="627"/>
      <c r="EP94" s="627"/>
      <c r="EQ94" s="627"/>
      <c r="ER94" s="627"/>
      <c r="ES94" s="627"/>
      <c r="ET94" s="627"/>
      <c r="EU94" s="627"/>
      <c r="EV94" s="627"/>
      <c r="EW94" s="627"/>
      <c r="EX94" s="627"/>
      <c r="EY94" s="627"/>
      <c r="EZ94" s="627"/>
      <c r="FA94" s="627"/>
      <c r="FB94" s="627"/>
      <c r="FC94" s="627"/>
      <c r="FD94" s="627"/>
      <c r="FE94" s="627"/>
      <c r="FF94" s="627"/>
      <c r="FG94" s="627"/>
      <c r="FH94" s="627"/>
      <c r="FI94" s="627"/>
      <c r="FJ94" s="627"/>
      <c r="FK94" s="627"/>
      <c r="FL94" s="627"/>
      <c r="FM94" s="627"/>
      <c r="FN94" s="627"/>
      <c r="FO94" s="627"/>
      <c r="FP94" s="627"/>
      <c r="FQ94" s="627"/>
      <c r="FR94" s="627"/>
      <c r="FS94" s="627"/>
      <c r="FT94" s="627"/>
      <c r="FU94" s="627"/>
      <c r="FV94" s="627"/>
      <c r="FW94" s="627"/>
      <c r="FX94" s="627"/>
      <c r="FY94" s="627"/>
      <c r="FZ94" s="627"/>
      <c r="GA94" s="627"/>
      <c r="GB94" s="627"/>
      <c r="GC94" s="627"/>
      <c r="GD94" s="627"/>
      <c r="GE94" s="627"/>
      <c r="GF94" s="627"/>
      <c r="GG94" s="627"/>
      <c r="GH94" s="627"/>
      <c r="GI94" s="627"/>
      <c r="GJ94" s="627"/>
      <c r="GK94" s="627"/>
      <c r="GL94" s="627"/>
      <c r="GM94" s="627"/>
      <c r="GN94" s="627"/>
      <c r="GO94" s="627"/>
      <c r="GP94" s="627"/>
      <c r="GQ94" s="627"/>
      <c r="GR94" s="627"/>
      <c r="GS94" s="627"/>
      <c r="GT94" s="627"/>
      <c r="GU94" s="627"/>
      <c r="GV94" s="627"/>
      <c r="GW94" s="627"/>
      <c r="GX94" s="627"/>
      <c r="GY94" s="627"/>
      <c r="GZ94" s="627"/>
      <c r="HA94" s="627"/>
      <c r="HB94" s="627"/>
      <c r="HC94" s="627"/>
      <c r="HD94" s="627"/>
      <c r="HE94" s="627"/>
      <c r="HF94" s="627"/>
      <c r="HG94" s="627"/>
      <c r="HH94" s="627"/>
      <c r="HI94" s="627"/>
      <c r="HJ94" s="627"/>
      <c r="HK94" s="627"/>
      <c r="HL94" s="627"/>
      <c r="HM94" s="627"/>
      <c r="HN94" s="627"/>
      <c r="HO94" s="627"/>
      <c r="HP94" s="627"/>
      <c r="HQ94" s="627"/>
      <c r="HR94" s="627"/>
      <c r="HS94" s="627"/>
      <c r="HT94" s="627"/>
      <c r="HU94" s="627"/>
      <c r="HV94" s="627"/>
      <c r="HW94" s="627"/>
      <c r="HX94" s="627"/>
      <c r="HY94" s="627"/>
      <c r="HZ94" s="627"/>
      <c r="IA94" s="627"/>
      <c r="IB94" s="627"/>
      <c r="IC94" s="627"/>
      <c r="ID94" s="627"/>
      <c r="IE94" s="627"/>
      <c r="IF94" s="627"/>
      <c r="IG94" s="627"/>
      <c r="IH94" s="627"/>
      <c r="II94" s="627"/>
      <c r="IJ94" s="627"/>
      <c r="IK94" s="627"/>
      <c r="IL94" s="627"/>
      <c r="IM94" s="627"/>
      <c r="IN94" s="627"/>
      <c r="IO94" s="627"/>
      <c r="IP94" s="627"/>
      <c r="IQ94" s="627"/>
      <c r="IR94" s="627"/>
      <c r="IS94" s="627"/>
      <c r="IT94" s="627"/>
      <c r="IU94" s="627"/>
      <c r="IV94" s="627"/>
      <c r="IW94" s="627"/>
      <c r="IX94" s="627"/>
      <c r="IY94" s="627"/>
      <c r="IZ94" s="627"/>
      <c r="JA94" s="627"/>
      <c r="JB94" s="627"/>
      <c r="JC94" s="627"/>
      <c r="JD94" s="627"/>
      <c r="JE94" s="627"/>
      <c r="JF94" s="627"/>
      <c r="JG94" s="627"/>
      <c r="JH94" s="627"/>
      <c r="JI94" s="627"/>
      <c r="JJ94" s="627"/>
      <c r="JK94" s="627"/>
      <c r="JL94" s="627"/>
      <c r="JM94" s="627"/>
      <c r="JN94" s="627"/>
      <c r="JO94" s="627"/>
      <c r="JP94" s="627"/>
      <c r="JQ94" s="627"/>
      <c r="JR94" s="627"/>
      <c r="JS94" s="627"/>
      <c r="JT94" s="627"/>
      <c r="JU94" s="627"/>
      <c r="JV94" s="627"/>
      <c r="JW94" s="627"/>
      <c r="JX94" s="627"/>
      <c r="JY94" s="627"/>
      <c r="JZ94" s="627"/>
      <c r="KA94" s="627"/>
      <c r="KB94" s="627"/>
      <c r="KC94" s="627"/>
      <c r="KD94" s="627"/>
      <c r="KE94" s="627"/>
      <c r="KF94" s="627"/>
      <c r="KG94" s="627"/>
      <c r="KH94" s="627"/>
      <c r="KI94" s="627"/>
      <c r="KJ94" s="627"/>
      <c r="KK94" s="627"/>
      <c r="KL94" s="627"/>
      <c r="KM94" s="627"/>
      <c r="KN94" s="627"/>
      <c r="KO94" s="627"/>
      <c r="KP94" s="627"/>
      <c r="KQ94" s="627"/>
      <c r="KR94" s="627"/>
      <c r="KS94" s="627"/>
      <c r="KT94" s="627"/>
      <c r="KU94" s="627"/>
      <c r="KV94" s="627"/>
      <c r="KW94" s="627"/>
      <c r="KX94" s="627"/>
      <c r="KY94" s="627"/>
      <c r="KZ94" s="627"/>
      <c r="LA94" s="627"/>
      <c r="LB94" s="627"/>
      <c r="LC94" s="627"/>
      <c r="LD94" s="627"/>
      <c r="LE94" s="627"/>
      <c r="LF94" s="627"/>
      <c r="LG94" s="627"/>
      <c r="LH94" s="627"/>
      <c r="LI94" s="627"/>
      <c r="LJ94" s="627"/>
      <c r="LK94" s="627"/>
      <c r="LL94" s="627"/>
      <c r="LM94" s="627"/>
      <c r="LN94" s="627"/>
      <c r="LO94" s="627"/>
      <c r="LP94" s="627"/>
      <c r="LQ94" s="627"/>
      <c r="LR94" s="627"/>
      <c r="LS94" s="627"/>
      <c r="LT94" s="627"/>
      <c r="LU94" s="627"/>
      <c r="LV94" s="627"/>
      <c r="LW94" s="627"/>
      <c r="LX94" s="627"/>
      <c r="LY94" s="627"/>
      <c r="LZ94" s="627"/>
      <c r="MA94" s="627"/>
      <c r="MB94" s="627"/>
      <c r="MC94" s="627"/>
      <c r="MD94" s="627"/>
      <c r="ME94" s="627"/>
      <c r="MF94" s="627"/>
      <c r="MG94" s="627"/>
      <c r="MH94" s="627"/>
      <c r="MI94" s="627"/>
      <c r="MJ94" s="627"/>
      <c r="MK94" s="627"/>
      <c r="ML94" s="627"/>
      <c r="MM94" s="627"/>
      <c r="MN94" s="627"/>
      <c r="MO94" s="627"/>
      <c r="MP94" s="627"/>
      <c r="MQ94" s="627"/>
      <c r="MR94" s="627"/>
      <c r="MS94" s="627"/>
      <c r="MT94" s="627"/>
      <c r="MU94" s="627"/>
      <c r="MV94" s="627"/>
      <c r="MW94" s="627"/>
      <c r="MX94" s="627"/>
      <c r="MY94" s="627"/>
      <c r="MZ94" s="627"/>
      <c r="NA94" s="627"/>
      <c r="NB94" s="627"/>
      <c r="NC94" s="627"/>
      <c r="ND94" s="627"/>
      <c r="NE94" s="627"/>
      <c r="NF94" s="627"/>
      <c r="NG94" s="627"/>
      <c r="NH94" s="627"/>
      <c r="NI94" s="627"/>
      <c r="NJ94" s="627"/>
      <c r="NK94" s="627"/>
      <c r="NL94" s="627"/>
      <c r="NM94" s="627"/>
      <c r="NN94" s="627"/>
      <c r="NO94" s="627"/>
      <c r="NP94" s="627"/>
      <c r="NQ94" s="627"/>
      <c r="NR94" s="627"/>
      <c r="NS94" s="627"/>
      <c r="NT94" s="627"/>
      <c r="NU94" s="627"/>
      <c r="NV94" s="627"/>
      <c r="NW94" s="627"/>
      <c r="NX94" s="627"/>
      <c r="NY94" s="627"/>
      <c r="NZ94" s="627"/>
      <c r="OA94" s="627"/>
      <c r="OB94" s="627"/>
      <c r="OC94" s="627"/>
      <c r="OD94" s="627"/>
      <c r="OE94" s="627"/>
      <c r="OF94" s="627"/>
      <c r="OG94" s="627"/>
      <c r="OH94" s="627"/>
      <c r="OI94" s="627"/>
      <c r="OJ94" s="627"/>
      <c r="OK94" s="627"/>
      <c r="OL94" s="627"/>
      <c r="OM94" s="627"/>
      <c r="ON94" s="627"/>
      <c r="OO94" s="627"/>
      <c r="OP94" s="627"/>
      <c r="OQ94" s="627"/>
      <c r="OR94" s="627"/>
      <c r="OS94" s="627"/>
      <c r="OT94" s="627"/>
      <c r="OU94" s="627"/>
      <c r="OV94" s="627"/>
      <c r="OW94" s="627"/>
      <c r="OX94" s="627"/>
      <c r="OY94" s="627"/>
      <c r="OZ94" s="627"/>
      <c r="PA94" s="627"/>
      <c r="PB94" s="627"/>
      <c r="PC94" s="627"/>
      <c r="PD94" s="627"/>
      <c r="PE94" s="627"/>
      <c r="PF94" s="627"/>
      <c r="PG94" s="627"/>
      <c r="PH94" s="627"/>
      <c r="PI94" s="627"/>
      <c r="PJ94" s="627"/>
      <c r="PK94" s="627"/>
      <c r="PL94" s="627"/>
      <c r="PM94" s="627"/>
      <c r="PN94" s="627"/>
      <c r="PO94" s="627"/>
      <c r="PP94" s="627"/>
      <c r="PQ94" s="627"/>
      <c r="PR94" s="627"/>
      <c r="PS94" s="627"/>
      <c r="PT94" s="627"/>
      <c r="PU94" s="627"/>
      <c r="PV94" s="627"/>
      <c r="PW94" s="627"/>
      <c r="PX94" s="627"/>
      <c r="PY94" s="627"/>
      <c r="PZ94" s="627"/>
      <c r="QA94" s="627"/>
      <c r="QB94" s="627"/>
      <c r="QC94" s="627"/>
      <c r="QD94" s="627"/>
      <c r="QE94" s="627"/>
      <c r="QF94" s="627"/>
      <c r="QG94" s="627"/>
      <c r="QH94" s="627"/>
      <c r="QI94" s="627"/>
      <c r="QJ94" s="627"/>
      <c r="QK94" s="627"/>
      <c r="QL94" s="627"/>
      <c r="QM94" s="627"/>
      <c r="QN94" s="627"/>
      <c r="QO94" s="627"/>
      <c r="QP94" s="627"/>
      <c r="QQ94" s="627"/>
      <c r="QR94" s="627"/>
      <c r="QS94" s="627"/>
      <c r="QT94" s="627"/>
      <c r="QU94" s="627"/>
      <c r="QV94" s="627"/>
      <c r="QW94" s="627"/>
      <c r="QX94" s="627"/>
      <c r="QY94" s="627"/>
      <c r="QZ94" s="627"/>
      <c r="RA94" s="627"/>
      <c r="RB94" s="627"/>
      <c r="RC94" s="627"/>
      <c r="RD94" s="627"/>
      <c r="RE94" s="627"/>
      <c r="RF94" s="627"/>
      <c r="RG94" s="627"/>
      <c r="RH94" s="627"/>
      <c r="RI94" s="627"/>
      <c r="RJ94" s="627"/>
      <c r="RK94" s="627"/>
      <c r="RL94" s="627"/>
      <c r="RM94" s="627"/>
      <c r="RN94" s="627"/>
      <c r="RO94" s="627"/>
      <c r="RP94" s="627"/>
      <c r="RQ94" s="627"/>
      <c r="RR94" s="627"/>
      <c r="RS94" s="627"/>
      <c r="RT94" s="627"/>
      <c r="RU94" s="627"/>
      <c r="RV94" s="627"/>
      <c r="RW94" s="627"/>
      <c r="RX94" s="627"/>
      <c r="RY94" s="627"/>
      <c r="RZ94" s="627"/>
      <c r="SA94" s="627"/>
      <c r="SB94" s="627"/>
      <c r="SC94" s="627"/>
      <c r="SD94" s="627"/>
      <c r="SE94" s="627"/>
      <c r="SF94" s="627"/>
      <c r="SG94" s="627"/>
      <c r="SH94" s="627"/>
      <c r="SI94" s="627"/>
      <c r="SJ94" s="627"/>
      <c r="SK94" s="627"/>
      <c r="SL94" s="627"/>
      <c r="SM94" s="627"/>
      <c r="SN94" s="627"/>
      <c r="SO94" s="627"/>
      <c r="SP94" s="627"/>
      <c r="SQ94" s="627"/>
      <c r="SR94" s="627"/>
      <c r="SS94" s="627"/>
      <c r="ST94" s="627"/>
      <c r="SU94" s="627"/>
      <c r="SV94" s="627"/>
      <c r="SW94" s="627"/>
      <c r="SX94" s="627"/>
      <c r="SY94" s="627"/>
      <c r="SZ94" s="627"/>
      <c r="TA94" s="627"/>
      <c r="TB94" s="627"/>
      <c r="TC94" s="627"/>
      <c r="TD94" s="627"/>
      <c r="TE94" s="627"/>
      <c r="TF94" s="627"/>
      <c r="TG94" s="627"/>
      <c r="TH94" s="627"/>
      <c r="TI94" s="627"/>
      <c r="TJ94" s="627"/>
      <c r="TK94" s="627"/>
      <c r="TL94" s="627"/>
      <c r="TM94" s="627"/>
      <c r="TN94" s="627"/>
      <c r="TO94" s="627"/>
      <c r="TP94" s="627"/>
      <c r="TQ94" s="627"/>
      <c r="TR94" s="627"/>
      <c r="TS94" s="627"/>
      <c r="TT94" s="627"/>
      <c r="TU94" s="627"/>
      <c r="TV94" s="627"/>
      <c r="TW94" s="627"/>
      <c r="TX94" s="627"/>
      <c r="TY94" s="627"/>
      <c r="TZ94" s="627"/>
      <c r="UA94" s="627"/>
      <c r="UB94" s="627"/>
      <c r="UC94" s="627"/>
      <c r="UD94" s="627"/>
      <c r="UE94" s="627"/>
      <c r="UF94" s="627"/>
      <c r="UG94" s="627"/>
      <c r="UH94" s="627"/>
      <c r="UI94" s="627"/>
      <c r="UJ94" s="627"/>
      <c r="UK94" s="627"/>
      <c r="UL94" s="627"/>
      <c r="UM94" s="627"/>
      <c r="UN94" s="627"/>
      <c r="UO94" s="627"/>
      <c r="UP94" s="627"/>
      <c r="UQ94" s="627"/>
      <c r="UR94" s="627"/>
      <c r="US94" s="627"/>
      <c r="UT94" s="627"/>
      <c r="UU94" s="627"/>
      <c r="UV94" s="627"/>
      <c r="UW94" s="627"/>
      <c r="UX94" s="627"/>
      <c r="UY94" s="627"/>
      <c r="UZ94" s="627"/>
      <c r="VA94" s="627"/>
      <c r="VB94" s="627"/>
      <c r="VC94" s="627"/>
      <c r="VD94" s="627"/>
      <c r="VE94" s="627"/>
      <c r="VF94" s="627"/>
      <c r="VG94" s="627"/>
      <c r="VH94" s="627"/>
      <c r="VI94" s="627"/>
      <c r="VJ94" s="627"/>
      <c r="VK94" s="627"/>
      <c r="VL94" s="627"/>
      <c r="VM94" s="627"/>
      <c r="VN94" s="627"/>
      <c r="VO94" s="627"/>
      <c r="VP94" s="627"/>
      <c r="VQ94" s="627"/>
      <c r="VR94" s="627"/>
      <c r="VS94" s="627"/>
      <c r="VT94" s="627"/>
      <c r="VU94" s="627"/>
      <c r="VV94" s="627"/>
      <c r="VW94" s="627"/>
      <c r="VX94" s="627"/>
      <c r="VY94" s="627"/>
      <c r="VZ94" s="627"/>
      <c r="WA94" s="627"/>
      <c r="WB94" s="627"/>
      <c r="WC94" s="627"/>
      <c r="WD94" s="627"/>
      <c r="WE94" s="627"/>
      <c r="WF94" s="627"/>
      <c r="WG94" s="627"/>
      <c r="WH94" s="627"/>
      <c r="WI94" s="627"/>
      <c r="WJ94" s="627"/>
      <c r="WK94" s="627"/>
      <c r="WL94" s="627"/>
      <c r="WM94" s="627"/>
      <c r="WN94" s="627"/>
      <c r="WO94" s="627"/>
      <c r="WP94" s="627"/>
      <c r="WQ94" s="627"/>
      <c r="WR94" s="627"/>
      <c r="WS94" s="627"/>
      <c r="WT94" s="627"/>
      <c r="WU94" s="627"/>
      <c r="WV94" s="627"/>
      <c r="WW94" s="627"/>
      <c r="WX94" s="627"/>
      <c r="WY94" s="627"/>
      <c r="WZ94" s="627"/>
      <c r="XA94" s="627"/>
      <c r="XB94" s="627"/>
      <c r="XC94" s="627"/>
      <c r="XD94" s="627"/>
      <c r="XE94" s="627"/>
      <c r="XF94" s="627"/>
      <c r="XG94" s="627"/>
      <c r="XH94" s="627"/>
      <c r="XI94" s="627"/>
      <c r="XJ94" s="627"/>
      <c r="XK94" s="627"/>
      <c r="XL94" s="627"/>
      <c r="XM94" s="627"/>
      <c r="XN94" s="627"/>
      <c r="XO94" s="627"/>
      <c r="XP94" s="627"/>
      <c r="XQ94" s="627"/>
      <c r="XR94" s="627"/>
      <c r="XS94" s="627"/>
      <c r="XT94" s="627"/>
      <c r="XU94" s="627"/>
      <c r="XV94" s="627"/>
      <c r="XW94" s="627"/>
      <c r="XX94" s="627"/>
      <c r="XY94" s="627"/>
      <c r="XZ94" s="627"/>
      <c r="YA94" s="627"/>
      <c r="YB94" s="627"/>
      <c r="YC94" s="627"/>
      <c r="YD94" s="627"/>
      <c r="YE94" s="627"/>
      <c r="YF94" s="627"/>
      <c r="YG94" s="627"/>
      <c r="YH94" s="627"/>
      <c r="YI94" s="627"/>
      <c r="YJ94" s="627"/>
      <c r="YK94" s="627"/>
      <c r="YL94" s="627"/>
      <c r="YM94" s="627"/>
      <c r="YN94" s="627"/>
      <c r="YO94" s="627"/>
      <c r="YP94" s="627"/>
      <c r="YQ94" s="627"/>
      <c r="YR94" s="627"/>
      <c r="YS94" s="627"/>
      <c r="YT94" s="627"/>
      <c r="YU94" s="627"/>
      <c r="YV94" s="627"/>
      <c r="YW94" s="627"/>
      <c r="YX94" s="627"/>
      <c r="YY94" s="627"/>
      <c r="YZ94" s="627"/>
      <c r="ZA94" s="627"/>
      <c r="ZB94" s="627"/>
      <c r="ZC94" s="627"/>
      <c r="ZD94" s="627"/>
      <c r="ZE94" s="627"/>
      <c r="ZF94" s="627"/>
      <c r="ZG94" s="627"/>
      <c r="ZH94" s="627"/>
      <c r="ZI94" s="627"/>
      <c r="ZJ94" s="627"/>
      <c r="ZK94" s="627"/>
      <c r="ZL94" s="627"/>
      <c r="ZM94" s="627"/>
      <c r="ZN94" s="627"/>
      <c r="ZO94" s="627"/>
      <c r="ZP94" s="627"/>
      <c r="ZQ94" s="627"/>
      <c r="ZR94" s="627"/>
      <c r="ZS94" s="627"/>
      <c r="ZT94" s="627"/>
      <c r="ZU94" s="627"/>
      <c r="ZV94" s="627"/>
      <c r="ZW94" s="627"/>
      <c r="ZX94" s="627"/>
      <c r="ZY94" s="627"/>
      <c r="ZZ94" s="627"/>
      <c r="AAA94" s="627"/>
      <c r="AAB94" s="627"/>
      <c r="AAC94" s="627"/>
      <c r="AAD94" s="627"/>
      <c r="AAE94" s="627"/>
      <c r="AAF94" s="627"/>
      <c r="AAG94" s="627"/>
      <c r="AAH94" s="627"/>
      <c r="AAI94" s="627"/>
      <c r="AAJ94" s="627"/>
      <c r="AAK94" s="627"/>
      <c r="AAL94" s="627"/>
      <c r="AAM94" s="627"/>
      <c r="AAN94" s="627"/>
      <c r="AAO94" s="627"/>
      <c r="AAP94" s="627"/>
      <c r="AAQ94" s="627"/>
      <c r="AAR94" s="627"/>
      <c r="AAS94" s="627"/>
      <c r="AAT94" s="627"/>
      <c r="AAU94" s="627"/>
      <c r="AAV94" s="627"/>
      <c r="AAW94" s="627"/>
      <c r="AAX94" s="627"/>
      <c r="AAY94" s="627"/>
      <c r="AAZ94" s="627"/>
      <c r="ABA94" s="627"/>
      <c r="ABB94" s="627"/>
      <c r="ABC94" s="627"/>
      <c r="ABD94" s="627"/>
      <c r="ABE94" s="627"/>
      <c r="ABF94" s="627"/>
      <c r="ABG94" s="627"/>
      <c r="ABH94" s="627"/>
      <c r="ABI94" s="627"/>
      <c r="ABJ94" s="627"/>
      <c r="ABK94" s="627"/>
      <c r="ABL94" s="627"/>
      <c r="ABM94" s="627"/>
      <c r="ABN94" s="627"/>
      <c r="ABO94" s="627"/>
      <c r="ABP94" s="627"/>
      <c r="ABQ94" s="627"/>
      <c r="ABR94" s="627"/>
      <c r="ABS94" s="627"/>
      <c r="ABT94" s="627"/>
      <c r="ABU94" s="627"/>
      <c r="ABV94" s="627"/>
      <c r="ABW94" s="627"/>
      <c r="ABX94" s="627"/>
      <c r="ABY94" s="627"/>
      <c r="ABZ94" s="627"/>
      <c r="ACA94" s="627"/>
      <c r="ACB94" s="627"/>
      <c r="ACC94" s="627"/>
      <c r="ACD94" s="627"/>
      <c r="ACE94" s="627"/>
      <c r="ACF94" s="627"/>
      <c r="ACG94" s="627"/>
      <c r="ACH94" s="627"/>
      <c r="ACI94" s="627"/>
      <c r="ACJ94" s="627"/>
      <c r="ACK94" s="627"/>
      <c r="ACL94" s="627"/>
      <c r="ACM94" s="627"/>
      <c r="ACN94" s="627"/>
      <c r="ACO94" s="627"/>
      <c r="ACP94" s="627"/>
      <c r="ACQ94" s="627"/>
      <c r="ACR94" s="627"/>
      <c r="ACS94" s="627"/>
      <c r="ACT94" s="627"/>
      <c r="ACU94" s="627"/>
      <c r="ACV94" s="627"/>
      <c r="ACW94" s="627"/>
      <c r="ACX94" s="627"/>
      <c r="ACY94" s="627"/>
      <c r="ACZ94" s="627"/>
      <c r="ADA94" s="627"/>
      <c r="ADB94" s="627"/>
      <c r="ADC94" s="627"/>
      <c r="ADD94" s="627"/>
      <c r="ADE94" s="627"/>
      <c r="ADF94" s="627"/>
      <c r="ADG94" s="627"/>
      <c r="ADH94" s="627"/>
      <c r="ADI94" s="627"/>
      <c r="ADJ94" s="627"/>
      <c r="ADK94" s="627"/>
      <c r="ADL94" s="627"/>
      <c r="ADM94" s="627"/>
      <c r="ADN94" s="627"/>
      <c r="ADO94" s="627"/>
      <c r="ADP94" s="627"/>
      <c r="ADQ94" s="627"/>
      <c r="ADR94" s="627"/>
      <c r="ADS94" s="627"/>
      <c r="ADT94" s="627"/>
      <c r="ADU94" s="627"/>
      <c r="ADV94" s="627"/>
      <c r="ADW94" s="627"/>
      <c r="ADX94" s="627"/>
      <c r="ADY94" s="627"/>
      <c r="ADZ94" s="627"/>
      <c r="AEA94" s="627"/>
      <c r="AEB94" s="627"/>
      <c r="AEC94" s="627"/>
      <c r="AED94" s="627"/>
      <c r="AEE94" s="627"/>
      <c r="AEF94" s="627"/>
      <c r="AEG94" s="627"/>
      <c r="AEH94" s="627"/>
      <c r="AEI94" s="627"/>
      <c r="AEJ94" s="627"/>
      <c r="AEK94" s="627"/>
      <c r="AEL94" s="627"/>
      <c r="AEM94" s="627"/>
      <c r="AEN94" s="627"/>
      <c r="AEO94" s="627"/>
      <c r="AEP94" s="627"/>
      <c r="AEQ94" s="627"/>
      <c r="AER94" s="627"/>
      <c r="AES94" s="627"/>
      <c r="AET94" s="627"/>
      <c r="AEU94" s="627"/>
      <c r="AEV94" s="627"/>
      <c r="AEW94" s="627"/>
      <c r="AEX94" s="627"/>
      <c r="AEY94" s="627"/>
      <c r="AEZ94" s="627"/>
      <c r="AFA94" s="627"/>
      <c r="AFB94" s="627"/>
      <c r="AFC94" s="627"/>
      <c r="AFD94" s="627"/>
      <c r="AFE94" s="627"/>
      <c r="AFF94" s="627"/>
      <c r="AFG94" s="627"/>
      <c r="AFH94" s="627"/>
      <c r="AFI94" s="627"/>
      <c r="AFJ94" s="627"/>
      <c r="AFK94" s="627"/>
      <c r="AFL94" s="627"/>
      <c r="AFM94" s="627"/>
      <c r="AFN94" s="627"/>
      <c r="AFO94" s="627"/>
      <c r="AFP94" s="627"/>
      <c r="AFQ94" s="627"/>
      <c r="AFR94" s="627"/>
      <c r="AFS94" s="627"/>
      <c r="AFT94" s="627"/>
      <c r="AFU94" s="627"/>
      <c r="AFV94" s="627"/>
      <c r="AFW94" s="627"/>
      <c r="AFX94" s="627"/>
      <c r="AFY94" s="627"/>
      <c r="AFZ94" s="627"/>
      <c r="AGA94" s="627"/>
      <c r="AGB94" s="627"/>
      <c r="AGC94" s="627"/>
      <c r="AGD94" s="627"/>
      <c r="AGE94" s="627"/>
      <c r="AGF94" s="627"/>
      <c r="AGG94" s="627"/>
      <c r="AGH94" s="627"/>
      <c r="AGI94" s="627"/>
      <c r="AGJ94" s="627"/>
      <c r="AGK94" s="627"/>
      <c r="AGL94" s="627"/>
      <c r="AGM94" s="627"/>
      <c r="AGN94" s="627"/>
      <c r="AGO94" s="627"/>
      <c r="AGP94" s="627"/>
      <c r="AGQ94" s="627"/>
      <c r="AGR94" s="627"/>
      <c r="AGS94" s="627"/>
      <c r="AGT94" s="627"/>
      <c r="AGU94" s="627"/>
      <c r="AGV94" s="627"/>
      <c r="AGW94" s="627"/>
      <c r="AGX94" s="627"/>
      <c r="AGY94" s="627"/>
      <c r="AGZ94" s="627"/>
      <c r="AHA94" s="627"/>
      <c r="AHB94" s="627"/>
      <c r="AHC94" s="627"/>
      <c r="AHD94" s="627"/>
      <c r="AHE94" s="627"/>
      <c r="AHF94" s="627"/>
      <c r="AHG94" s="627"/>
      <c r="AHH94" s="627"/>
      <c r="AHI94" s="627"/>
      <c r="AHJ94" s="627"/>
      <c r="AHK94" s="627"/>
      <c r="AHL94" s="627"/>
      <c r="AHM94" s="627"/>
      <c r="AHN94" s="627"/>
      <c r="AHO94" s="627"/>
      <c r="AHP94" s="627"/>
      <c r="AHQ94" s="627"/>
      <c r="AHR94" s="627"/>
      <c r="AHS94" s="627"/>
      <c r="AHT94" s="627"/>
      <c r="AHU94" s="627"/>
      <c r="AHV94" s="627"/>
      <c r="AHW94" s="627"/>
      <c r="AHX94" s="627"/>
      <c r="AHY94" s="627"/>
      <c r="AHZ94" s="627"/>
      <c r="AIA94" s="627"/>
      <c r="AIB94" s="627"/>
      <c r="AIC94" s="627"/>
      <c r="AID94" s="627"/>
      <c r="AIE94" s="627"/>
      <c r="AIF94" s="627"/>
      <c r="AIG94" s="627"/>
      <c r="AIH94" s="627"/>
      <c r="AII94" s="627"/>
      <c r="AIJ94" s="627"/>
      <c r="AIK94" s="627"/>
      <c r="AIL94" s="627"/>
      <c r="AIM94" s="627"/>
      <c r="AIN94" s="627"/>
      <c r="AIO94" s="627"/>
      <c r="AIP94" s="627"/>
      <c r="AIQ94" s="627"/>
      <c r="AIR94" s="627"/>
      <c r="AIS94" s="627"/>
      <c r="AIT94" s="627"/>
      <c r="AIU94" s="627"/>
      <c r="AIV94" s="627"/>
      <c r="AIW94" s="627"/>
      <c r="AIX94" s="627"/>
      <c r="AIY94" s="627"/>
      <c r="AIZ94" s="627"/>
      <c r="AJA94" s="627"/>
      <c r="AJB94" s="627"/>
      <c r="AJC94" s="627"/>
      <c r="AJD94" s="627"/>
      <c r="AJE94" s="627"/>
      <c r="AJF94" s="627"/>
      <c r="AJG94" s="627"/>
      <c r="AJH94" s="627"/>
      <c r="AJI94" s="627"/>
      <c r="AJJ94" s="627"/>
      <c r="AJK94" s="627"/>
      <c r="AJL94" s="627"/>
      <c r="AJM94" s="627"/>
      <c r="AJN94" s="627"/>
      <c r="AJO94" s="627"/>
      <c r="AJP94" s="627"/>
      <c r="AJQ94" s="627"/>
      <c r="AJR94" s="627"/>
      <c r="AJS94" s="627"/>
      <c r="AJT94" s="627"/>
      <c r="AJU94" s="627"/>
      <c r="AJV94" s="627"/>
      <c r="AJW94" s="627"/>
      <c r="AJX94" s="627"/>
      <c r="AJY94" s="627"/>
      <c r="AJZ94" s="627"/>
      <c r="AKA94" s="627"/>
      <c r="AKB94" s="627"/>
      <c r="AKC94" s="627"/>
      <c r="AKD94" s="627"/>
      <c r="AKE94" s="627"/>
      <c r="AKF94" s="627"/>
      <c r="AKG94" s="627"/>
      <c r="AKH94" s="627"/>
      <c r="AKI94" s="627"/>
      <c r="AKJ94" s="627"/>
      <c r="AKK94" s="627"/>
      <c r="AKL94" s="627"/>
      <c r="AKM94" s="627"/>
      <c r="AKN94" s="627"/>
      <c r="AKO94" s="627"/>
      <c r="AKP94" s="627"/>
      <c r="AKQ94" s="627"/>
      <c r="AKR94" s="627"/>
      <c r="AKS94" s="627"/>
      <c r="AKT94" s="627"/>
      <c r="AKU94" s="627"/>
      <c r="AKV94" s="627"/>
      <c r="AKW94" s="627"/>
      <c r="AKX94" s="627"/>
      <c r="AKY94" s="627"/>
      <c r="AKZ94" s="627"/>
      <c r="ALA94" s="627"/>
      <c r="ALB94" s="627"/>
      <c r="ALC94" s="627"/>
      <c r="ALD94" s="627"/>
      <c r="ALE94" s="627"/>
      <c r="ALF94" s="627"/>
      <c r="ALG94" s="627"/>
      <c r="ALH94" s="627"/>
      <c r="ALI94" s="627"/>
      <c r="ALJ94" s="627"/>
      <c r="ALK94" s="627"/>
      <c r="ALL94" s="627"/>
      <c r="ALM94" s="627"/>
      <c r="ALN94" s="627"/>
      <c r="ALO94" s="627"/>
      <c r="ALP94" s="627"/>
      <c r="ALQ94" s="627"/>
      <c r="ALR94" s="627"/>
      <c r="ALS94" s="627"/>
      <c r="ALT94" s="627"/>
      <c r="ALU94" s="627"/>
      <c r="ALV94" s="627"/>
      <c r="ALW94" s="627"/>
      <c r="ALX94" s="627"/>
      <c r="ALY94" s="627"/>
      <c r="ALZ94" s="627"/>
      <c r="AMA94" s="627"/>
      <c r="AMB94" s="627"/>
      <c r="AMC94" s="627"/>
      <c r="AMD94" s="627"/>
      <c r="AME94" s="627"/>
      <c r="AMF94" s="627"/>
    </row>
    <row r="95" spans="1:1020" s="485" customFormat="1" ht="26.85" customHeight="1" x14ac:dyDescent="0.15">
      <c r="A95" s="627"/>
      <c r="B95" s="627"/>
      <c r="C95" s="627"/>
      <c r="D95" s="627"/>
      <c r="E95" s="627"/>
      <c r="F95" s="627"/>
      <c r="G95" s="627"/>
      <c r="H95" s="627"/>
      <c r="I95" s="627"/>
      <c r="J95" s="627"/>
      <c r="K95" s="627"/>
      <c r="L95" s="627"/>
      <c r="M95" s="627"/>
      <c r="N95" s="627"/>
      <c r="O95" s="627"/>
      <c r="P95" s="627"/>
      <c r="Q95" s="627"/>
      <c r="R95" s="627"/>
      <c r="S95" s="627"/>
      <c r="T95" s="627"/>
      <c r="U95" s="627"/>
      <c r="V95" s="627"/>
      <c r="W95" s="627"/>
      <c r="X95" s="627"/>
      <c r="Y95" s="627"/>
      <c r="Z95" s="627"/>
      <c r="AA95" s="627"/>
      <c r="AB95" s="627"/>
      <c r="AC95" s="627"/>
      <c r="AD95" s="627"/>
      <c r="AE95" s="627"/>
      <c r="AF95" s="627"/>
      <c r="AG95" s="627"/>
      <c r="AH95" s="627"/>
      <c r="AI95" s="627"/>
      <c r="AJ95" s="627"/>
      <c r="AK95" s="627"/>
      <c r="AL95" s="627"/>
      <c r="AM95" s="627"/>
      <c r="AN95" s="627"/>
      <c r="AO95" s="627"/>
      <c r="AP95" s="627" t="s">
        <v>789</v>
      </c>
      <c r="AQ95" s="627"/>
      <c r="AR95" s="627"/>
      <c r="AS95" s="627"/>
      <c r="AT95" s="627"/>
      <c r="AU95" s="627"/>
      <c r="AV95" s="627"/>
      <c r="AW95" s="627"/>
      <c r="AX95" s="627"/>
      <c r="AY95" s="627"/>
      <c r="AZ95" s="627"/>
      <c r="BA95" s="629" t="s">
        <v>1248</v>
      </c>
      <c r="BB95" s="627"/>
      <c r="BC95" s="627"/>
      <c r="BD95" s="627"/>
      <c r="BE95" s="627"/>
      <c r="BG95" s="486"/>
      <c r="BH95" s="436"/>
      <c r="BI95" s="436"/>
      <c r="BJ95" s="436"/>
      <c r="BK95" s="436"/>
      <c r="BL95" s="436"/>
      <c r="BM95" s="436"/>
      <c r="BN95" s="436"/>
      <c r="BO95" s="436"/>
      <c r="BP95" s="436"/>
      <c r="BQ95" s="436"/>
      <c r="BR95" s="436"/>
      <c r="BS95" s="436"/>
      <c r="BT95" s="436"/>
      <c r="BU95" s="436"/>
      <c r="BV95" s="627"/>
      <c r="BW95" s="627"/>
      <c r="BX95" s="627"/>
      <c r="BY95" s="627"/>
      <c r="BZ95" s="627"/>
      <c r="CA95" s="627"/>
      <c r="CB95" s="627"/>
      <c r="CC95" s="627"/>
      <c r="CD95" s="627"/>
      <c r="CE95" s="627"/>
      <c r="CF95" s="627"/>
      <c r="CG95" s="627"/>
      <c r="CH95" s="627"/>
      <c r="CI95" s="627"/>
      <c r="CJ95" s="627"/>
      <c r="CK95" s="627"/>
      <c r="CL95" s="627"/>
      <c r="CM95" s="627"/>
      <c r="CN95" s="627"/>
      <c r="CO95" s="627"/>
      <c r="CP95" s="627"/>
      <c r="CQ95" s="627"/>
      <c r="CR95" s="627"/>
      <c r="CS95" s="627"/>
      <c r="CT95" s="627"/>
      <c r="CU95" s="627"/>
      <c r="CV95" s="627"/>
      <c r="CW95" s="627"/>
      <c r="CX95" s="627"/>
      <c r="CY95" s="627"/>
      <c r="CZ95" s="627"/>
      <c r="DA95" s="627"/>
      <c r="DB95" s="627"/>
      <c r="DC95" s="627"/>
      <c r="DD95" s="627"/>
      <c r="DE95" s="627"/>
      <c r="DF95" s="627"/>
      <c r="DG95" s="627"/>
      <c r="DH95" s="627"/>
      <c r="DI95" s="627"/>
      <c r="DJ95" s="627"/>
      <c r="DK95" s="627"/>
      <c r="DL95" s="627"/>
      <c r="DM95" s="627"/>
      <c r="DN95" s="627"/>
      <c r="DO95" s="627"/>
      <c r="DP95" s="627"/>
      <c r="DQ95" s="627"/>
      <c r="DR95" s="627"/>
      <c r="DS95" s="627"/>
      <c r="DT95" s="627"/>
      <c r="DU95" s="627"/>
      <c r="DV95" s="627"/>
      <c r="DW95" s="627"/>
      <c r="DX95" s="627"/>
      <c r="DY95" s="627"/>
      <c r="DZ95" s="627"/>
      <c r="EA95" s="627"/>
      <c r="EB95" s="627"/>
      <c r="EC95" s="627"/>
      <c r="ED95" s="627"/>
      <c r="EE95" s="627"/>
      <c r="EF95" s="627"/>
      <c r="EG95" s="627"/>
      <c r="EH95" s="627"/>
      <c r="EI95" s="627"/>
      <c r="EJ95" s="627"/>
      <c r="EK95" s="627"/>
      <c r="EL95" s="627"/>
      <c r="EM95" s="627"/>
      <c r="EN95" s="627"/>
      <c r="EO95" s="627"/>
      <c r="EP95" s="627"/>
      <c r="EQ95" s="627"/>
      <c r="ER95" s="627"/>
      <c r="ES95" s="627"/>
      <c r="ET95" s="627"/>
      <c r="EU95" s="627"/>
      <c r="EV95" s="627"/>
      <c r="EW95" s="627"/>
      <c r="EX95" s="627"/>
      <c r="EY95" s="627"/>
      <c r="EZ95" s="627"/>
      <c r="FA95" s="627"/>
      <c r="FB95" s="627"/>
      <c r="FC95" s="627"/>
      <c r="FD95" s="627"/>
      <c r="FE95" s="627"/>
      <c r="FF95" s="627"/>
      <c r="FG95" s="627"/>
      <c r="FH95" s="627"/>
      <c r="FI95" s="627"/>
      <c r="FJ95" s="627"/>
      <c r="FK95" s="627"/>
      <c r="FL95" s="627"/>
      <c r="FM95" s="627"/>
      <c r="FN95" s="627"/>
      <c r="FO95" s="627"/>
      <c r="FP95" s="627"/>
      <c r="FQ95" s="627"/>
      <c r="FR95" s="627"/>
      <c r="FS95" s="627"/>
      <c r="FT95" s="627"/>
      <c r="FU95" s="627"/>
      <c r="FV95" s="627"/>
      <c r="FW95" s="627"/>
      <c r="FX95" s="627"/>
      <c r="FY95" s="627"/>
      <c r="FZ95" s="627"/>
      <c r="GA95" s="627"/>
      <c r="GB95" s="627"/>
      <c r="GC95" s="627"/>
      <c r="GD95" s="627"/>
      <c r="GE95" s="627"/>
      <c r="GF95" s="627"/>
      <c r="GG95" s="627"/>
      <c r="GH95" s="627"/>
      <c r="GI95" s="627"/>
      <c r="GJ95" s="627"/>
      <c r="GK95" s="627"/>
      <c r="GL95" s="627"/>
      <c r="GM95" s="627"/>
      <c r="GN95" s="627"/>
      <c r="GO95" s="627"/>
      <c r="GP95" s="627"/>
      <c r="GQ95" s="627"/>
      <c r="GR95" s="627"/>
      <c r="GS95" s="627"/>
      <c r="GT95" s="627"/>
      <c r="GU95" s="627"/>
      <c r="GV95" s="627"/>
      <c r="GW95" s="627"/>
      <c r="GX95" s="627"/>
      <c r="GY95" s="627"/>
      <c r="GZ95" s="627"/>
      <c r="HA95" s="627"/>
      <c r="HB95" s="627"/>
      <c r="HC95" s="627"/>
      <c r="HD95" s="627"/>
      <c r="HE95" s="627"/>
      <c r="HF95" s="627"/>
      <c r="HG95" s="627"/>
      <c r="HH95" s="627"/>
      <c r="HI95" s="627"/>
      <c r="HJ95" s="627"/>
      <c r="HK95" s="627"/>
      <c r="HL95" s="627"/>
      <c r="HM95" s="627"/>
      <c r="HN95" s="627"/>
      <c r="HO95" s="627"/>
      <c r="HP95" s="627"/>
      <c r="HQ95" s="627"/>
      <c r="HR95" s="627"/>
      <c r="HS95" s="627"/>
      <c r="HT95" s="627"/>
      <c r="HU95" s="627"/>
      <c r="HV95" s="627"/>
      <c r="HW95" s="627"/>
      <c r="HX95" s="627"/>
      <c r="HY95" s="627"/>
      <c r="HZ95" s="627"/>
      <c r="IA95" s="627"/>
      <c r="IB95" s="627"/>
      <c r="IC95" s="627"/>
      <c r="ID95" s="627"/>
      <c r="IE95" s="627"/>
      <c r="IF95" s="627"/>
      <c r="IG95" s="627"/>
      <c r="IH95" s="627"/>
      <c r="II95" s="627"/>
      <c r="IJ95" s="627"/>
      <c r="IK95" s="627"/>
      <c r="IL95" s="627"/>
      <c r="IM95" s="627"/>
      <c r="IN95" s="627"/>
      <c r="IO95" s="627"/>
      <c r="IP95" s="627"/>
      <c r="IQ95" s="627"/>
      <c r="IR95" s="627"/>
      <c r="IS95" s="627"/>
      <c r="IT95" s="627"/>
      <c r="IU95" s="627"/>
      <c r="IV95" s="627"/>
      <c r="IW95" s="627"/>
      <c r="IX95" s="627"/>
      <c r="IY95" s="627"/>
      <c r="IZ95" s="627"/>
      <c r="JA95" s="627"/>
      <c r="JB95" s="627"/>
      <c r="JC95" s="627"/>
      <c r="JD95" s="627"/>
      <c r="JE95" s="627"/>
      <c r="JF95" s="627"/>
      <c r="JG95" s="627"/>
      <c r="JH95" s="627"/>
      <c r="JI95" s="627"/>
      <c r="JJ95" s="627"/>
      <c r="JK95" s="627"/>
      <c r="JL95" s="627"/>
      <c r="JM95" s="627"/>
      <c r="JN95" s="627"/>
      <c r="JO95" s="627"/>
      <c r="JP95" s="627"/>
      <c r="JQ95" s="627"/>
      <c r="JR95" s="627"/>
      <c r="JS95" s="627"/>
      <c r="JT95" s="627"/>
      <c r="JU95" s="627"/>
      <c r="JV95" s="627"/>
      <c r="JW95" s="627"/>
      <c r="JX95" s="627"/>
      <c r="JY95" s="627"/>
      <c r="JZ95" s="627"/>
      <c r="KA95" s="627"/>
      <c r="KB95" s="627"/>
      <c r="KC95" s="627"/>
      <c r="KD95" s="627"/>
      <c r="KE95" s="627"/>
      <c r="KF95" s="627"/>
      <c r="KG95" s="627"/>
      <c r="KH95" s="627"/>
      <c r="KI95" s="627"/>
      <c r="KJ95" s="627"/>
      <c r="KK95" s="627"/>
      <c r="KL95" s="627"/>
      <c r="KM95" s="627"/>
      <c r="KN95" s="627"/>
      <c r="KO95" s="627"/>
      <c r="KP95" s="627"/>
      <c r="KQ95" s="627"/>
      <c r="KR95" s="627"/>
      <c r="KS95" s="627"/>
      <c r="KT95" s="627"/>
      <c r="KU95" s="627"/>
      <c r="KV95" s="627"/>
      <c r="KW95" s="627"/>
      <c r="KX95" s="627"/>
      <c r="KY95" s="627"/>
      <c r="KZ95" s="627"/>
      <c r="LA95" s="627"/>
      <c r="LB95" s="627"/>
      <c r="LC95" s="627"/>
      <c r="LD95" s="627"/>
      <c r="LE95" s="627"/>
      <c r="LF95" s="627"/>
      <c r="LG95" s="627"/>
      <c r="LH95" s="627"/>
      <c r="LI95" s="627"/>
      <c r="LJ95" s="627"/>
      <c r="LK95" s="627"/>
      <c r="LL95" s="627"/>
      <c r="LM95" s="627"/>
      <c r="LN95" s="627"/>
      <c r="LO95" s="627"/>
      <c r="LP95" s="627"/>
      <c r="LQ95" s="627"/>
      <c r="LR95" s="627"/>
      <c r="LS95" s="627"/>
      <c r="LT95" s="627"/>
      <c r="LU95" s="627"/>
      <c r="LV95" s="627"/>
      <c r="LW95" s="627"/>
      <c r="LX95" s="627"/>
      <c r="LY95" s="627"/>
      <c r="LZ95" s="627"/>
      <c r="MA95" s="627"/>
      <c r="MB95" s="627"/>
      <c r="MC95" s="627"/>
      <c r="MD95" s="627"/>
      <c r="ME95" s="627"/>
      <c r="MF95" s="627"/>
      <c r="MG95" s="627"/>
      <c r="MH95" s="627"/>
      <c r="MI95" s="627"/>
      <c r="MJ95" s="627"/>
      <c r="MK95" s="627"/>
      <c r="ML95" s="627"/>
      <c r="MM95" s="627"/>
      <c r="MN95" s="627"/>
      <c r="MO95" s="627"/>
      <c r="MP95" s="627"/>
      <c r="MQ95" s="627"/>
      <c r="MR95" s="627"/>
      <c r="MS95" s="627"/>
      <c r="MT95" s="627"/>
      <c r="MU95" s="627"/>
      <c r="MV95" s="627"/>
      <c r="MW95" s="627"/>
      <c r="MX95" s="627"/>
      <c r="MY95" s="627"/>
      <c r="MZ95" s="627"/>
      <c r="NA95" s="627"/>
      <c r="NB95" s="627"/>
      <c r="NC95" s="627"/>
      <c r="ND95" s="627"/>
      <c r="NE95" s="627"/>
      <c r="NF95" s="627"/>
      <c r="NG95" s="627"/>
      <c r="NH95" s="627"/>
      <c r="NI95" s="627"/>
      <c r="NJ95" s="627"/>
      <c r="NK95" s="627"/>
      <c r="NL95" s="627"/>
      <c r="NM95" s="627"/>
      <c r="NN95" s="627"/>
      <c r="NO95" s="627"/>
      <c r="NP95" s="627"/>
      <c r="NQ95" s="627"/>
      <c r="NR95" s="627"/>
      <c r="NS95" s="627"/>
      <c r="NT95" s="627"/>
      <c r="NU95" s="627"/>
      <c r="NV95" s="627"/>
      <c r="NW95" s="627"/>
      <c r="NX95" s="627"/>
      <c r="NY95" s="627"/>
      <c r="NZ95" s="627"/>
      <c r="OA95" s="627"/>
      <c r="OB95" s="627"/>
      <c r="OC95" s="627"/>
      <c r="OD95" s="627"/>
      <c r="OE95" s="627"/>
      <c r="OF95" s="627"/>
      <c r="OG95" s="627"/>
      <c r="OH95" s="627"/>
      <c r="OI95" s="627"/>
      <c r="OJ95" s="627"/>
      <c r="OK95" s="627"/>
      <c r="OL95" s="627"/>
      <c r="OM95" s="627"/>
      <c r="ON95" s="627"/>
      <c r="OO95" s="627"/>
      <c r="OP95" s="627"/>
      <c r="OQ95" s="627"/>
      <c r="OR95" s="627"/>
      <c r="OS95" s="627"/>
      <c r="OT95" s="627"/>
      <c r="OU95" s="627"/>
      <c r="OV95" s="627"/>
      <c r="OW95" s="627"/>
      <c r="OX95" s="627"/>
      <c r="OY95" s="627"/>
      <c r="OZ95" s="627"/>
      <c r="PA95" s="627"/>
      <c r="PB95" s="627"/>
      <c r="PC95" s="627"/>
      <c r="PD95" s="627"/>
      <c r="PE95" s="627"/>
      <c r="PF95" s="627"/>
      <c r="PG95" s="627"/>
      <c r="PH95" s="627"/>
      <c r="PI95" s="627"/>
      <c r="PJ95" s="627"/>
      <c r="PK95" s="627"/>
      <c r="PL95" s="627"/>
      <c r="PM95" s="627"/>
      <c r="PN95" s="627"/>
      <c r="PO95" s="627"/>
      <c r="PP95" s="627"/>
      <c r="PQ95" s="627"/>
      <c r="PR95" s="627"/>
      <c r="PS95" s="627"/>
      <c r="PT95" s="627"/>
      <c r="PU95" s="627"/>
      <c r="PV95" s="627"/>
      <c r="PW95" s="627"/>
      <c r="PX95" s="627"/>
      <c r="PY95" s="627"/>
      <c r="PZ95" s="627"/>
      <c r="QA95" s="627"/>
      <c r="QB95" s="627"/>
      <c r="QC95" s="627"/>
      <c r="QD95" s="627"/>
      <c r="QE95" s="627"/>
      <c r="QF95" s="627"/>
      <c r="QG95" s="627"/>
      <c r="QH95" s="627"/>
      <c r="QI95" s="627"/>
      <c r="QJ95" s="627"/>
      <c r="QK95" s="627"/>
      <c r="QL95" s="627"/>
      <c r="QM95" s="627"/>
      <c r="QN95" s="627"/>
      <c r="QO95" s="627"/>
      <c r="QP95" s="627"/>
      <c r="QQ95" s="627"/>
      <c r="QR95" s="627"/>
      <c r="QS95" s="627"/>
      <c r="QT95" s="627"/>
      <c r="QU95" s="627"/>
      <c r="QV95" s="627"/>
      <c r="QW95" s="627"/>
      <c r="QX95" s="627"/>
      <c r="QY95" s="627"/>
      <c r="QZ95" s="627"/>
      <c r="RA95" s="627"/>
      <c r="RB95" s="627"/>
      <c r="RC95" s="627"/>
      <c r="RD95" s="627"/>
      <c r="RE95" s="627"/>
      <c r="RF95" s="627"/>
      <c r="RG95" s="627"/>
      <c r="RH95" s="627"/>
      <c r="RI95" s="627"/>
      <c r="RJ95" s="627"/>
      <c r="RK95" s="627"/>
      <c r="RL95" s="627"/>
      <c r="RM95" s="627"/>
      <c r="RN95" s="627"/>
      <c r="RO95" s="627"/>
      <c r="RP95" s="627"/>
      <c r="RQ95" s="627"/>
      <c r="RR95" s="627"/>
      <c r="RS95" s="627"/>
      <c r="RT95" s="627"/>
      <c r="RU95" s="627"/>
      <c r="RV95" s="627"/>
      <c r="RW95" s="627"/>
      <c r="RX95" s="627"/>
      <c r="RY95" s="627"/>
      <c r="RZ95" s="627"/>
      <c r="SA95" s="627"/>
      <c r="SB95" s="627"/>
      <c r="SC95" s="627"/>
      <c r="SD95" s="627"/>
      <c r="SE95" s="627"/>
      <c r="SF95" s="627"/>
      <c r="SG95" s="627"/>
      <c r="SH95" s="627"/>
      <c r="SI95" s="627"/>
      <c r="SJ95" s="627"/>
      <c r="SK95" s="627"/>
      <c r="SL95" s="627"/>
      <c r="SM95" s="627"/>
      <c r="SN95" s="627"/>
      <c r="SO95" s="627"/>
      <c r="SP95" s="627"/>
      <c r="SQ95" s="627"/>
      <c r="SR95" s="627"/>
      <c r="SS95" s="627"/>
      <c r="ST95" s="627"/>
      <c r="SU95" s="627"/>
      <c r="SV95" s="627"/>
      <c r="SW95" s="627"/>
      <c r="SX95" s="627"/>
      <c r="SY95" s="627"/>
      <c r="SZ95" s="627"/>
      <c r="TA95" s="627"/>
      <c r="TB95" s="627"/>
      <c r="TC95" s="627"/>
      <c r="TD95" s="627"/>
      <c r="TE95" s="627"/>
      <c r="TF95" s="627"/>
      <c r="TG95" s="627"/>
      <c r="TH95" s="627"/>
      <c r="TI95" s="627"/>
      <c r="TJ95" s="627"/>
      <c r="TK95" s="627"/>
      <c r="TL95" s="627"/>
      <c r="TM95" s="627"/>
      <c r="TN95" s="627"/>
      <c r="TO95" s="627"/>
      <c r="TP95" s="627"/>
      <c r="TQ95" s="627"/>
      <c r="TR95" s="627"/>
      <c r="TS95" s="627"/>
      <c r="TT95" s="627"/>
      <c r="TU95" s="627"/>
      <c r="TV95" s="627"/>
      <c r="TW95" s="627"/>
      <c r="TX95" s="627"/>
      <c r="TY95" s="627"/>
      <c r="TZ95" s="627"/>
      <c r="UA95" s="627"/>
      <c r="UB95" s="627"/>
      <c r="UC95" s="627"/>
      <c r="UD95" s="627"/>
      <c r="UE95" s="627"/>
      <c r="UF95" s="627"/>
      <c r="UG95" s="627"/>
      <c r="UH95" s="627"/>
      <c r="UI95" s="627"/>
      <c r="UJ95" s="627"/>
      <c r="UK95" s="627"/>
      <c r="UL95" s="627"/>
      <c r="UM95" s="627"/>
      <c r="UN95" s="627"/>
      <c r="UO95" s="627"/>
      <c r="UP95" s="627"/>
      <c r="UQ95" s="627"/>
      <c r="UR95" s="627"/>
      <c r="US95" s="627"/>
      <c r="UT95" s="627"/>
      <c r="UU95" s="627"/>
      <c r="UV95" s="627"/>
      <c r="UW95" s="627"/>
      <c r="UX95" s="627"/>
      <c r="UY95" s="627"/>
      <c r="UZ95" s="627"/>
      <c r="VA95" s="627"/>
      <c r="VB95" s="627"/>
      <c r="VC95" s="627"/>
      <c r="VD95" s="627"/>
      <c r="VE95" s="627"/>
      <c r="VF95" s="627"/>
      <c r="VG95" s="627"/>
      <c r="VH95" s="627"/>
      <c r="VI95" s="627"/>
      <c r="VJ95" s="627"/>
      <c r="VK95" s="627"/>
      <c r="VL95" s="627"/>
      <c r="VM95" s="627"/>
      <c r="VN95" s="627"/>
      <c r="VO95" s="627"/>
      <c r="VP95" s="627"/>
      <c r="VQ95" s="627"/>
      <c r="VR95" s="627"/>
      <c r="VS95" s="627"/>
      <c r="VT95" s="627"/>
      <c r="VU95" s="627"/>
      <c r="VV95" s="627"/>
      <c r="VW95" s="627"/>
      <c r="VX95" s="627"/>
      <c r="VY95" s="627"/>
      <c r="VZ95" s="627"/>
      <c r="WA95" s="627"/>
      <c r="WB95" s="627"/>
      <c r="WC95" s="627"/>
      <c r="WD95" s="627"/>
      <c r="WE95" s="627"/>
      <c r="WF95" s="627"/>
      <c r="WG95" s="627"/>
      <c r="WH95" s="627"/>
      <c r="WI95" s="627"/>
      <c r="WJ95" s="627"/>
      <c r="WK95" s="627"/>
      <c r="WL95" s="627"/>
      <c r="WM95" s="627"/>
      <c r="WN95" s="627"/>
      <c r="WO95" s="627"/>
      <c r="WP95" s="627"/>
      <c r="WQ95" s="627"/>
      <c r="WR95" s="627"/>
      <c r="WS95" s="627"/>
      <c r="WT95" s="627"/>
      <c r="WU95" s="627"/>
      <c r="WV95" s="627"/>
      <c r="WW95" s="627"/>
      <c r="WX95" s="627"/>
      <c r="WY95" s="627"/>
      <c r="WZ95" s="627"/>
      <c r="XA95" s="627"/>
      <c r="XB95" s="627"/>
      <c r="XC95" s="627"/>
      <c r="XD95" s="627"/>
      <c r="XE95" s="627"/>
      <c r="XF95" s="627"/>
      <c r="XG95" s="627"/>
      <c r="XH95" s="627"/>
      <c r="XI95" s="627"/>
      <c r="XJ95" s="627"/>
      <c r="XK95" s="627"/>
      <c r="XL95" s="627"/>
      <c r="XM95" s="627"/>
      <c r="XN95" s="627"/>
      <c r="XO95" s="627"/>
      <c r="XP95" s="627"/>
      <c r="XQ95" s="627"/>
      <c r="XR95" s="627"/>
      <c r="XS95" s="627"/>
      <c r="XT95" s="627"/>
      <c r="XU95" s="627"/>
      <c r="XV95" s="627"/>
      <c r="XW95" s="627"/>
      <c r="XX95" s="627"/>
      <c r="XY95" s="627"/>
      <c r="XZ95" s="627"/>
      <c r="YA95" s="627"/>
      <c r="YB95" s="627"/>
      <c r="YC95" s="627"/>
      <c r="YD95" s="627"/>
      <c r="YE95" s="627"/>
      <c r="YF95" s="627"/>
      <c r="YG95" s="627"/>
      <c r="YH95" s="627"/>
      <c r="YI95" s="627"/>
      <c r="YJ95" s="627"/>
      <c r="YK95" s="627"/>
      <c r="YL95" s="627"/>
      <c r="YM95" s="627"/>
      <c r="YN95" s="627"/>
      <c r="YO95" s="627"/>
      <c r="YP95" s="627"/>
      <c r="YQ95" s="627"/>
      <c r="YR95" s="627"/>
      <c r="YS95" s="627"/>
      <c r="YT95" s="627"/>
      <c r="YU95" s="627"/>
      <c r="YV95" s="627"/>
      <c r="YW95" s="627"/>
      <c r="YX95" s="627"/>
      <c r="YY95" s="627"/>
      <c r="YZ95" s="627"/>
      <c r="ZA95" s="627"/>
      <c r="ZB95" s="627"/>
      <c r="ZC95" s="627"/>
      <c r="ZD95" s="627"/>
      <c r="ZE95" s="627"/>
      <c r="ZF95" s="627"/>
      <c r="ZG95" s="627"/>
      <c r="ZH95" s="627"/>
      <c r="ZI95" s="627"/>
      <c r="ZJ95" s="627"/>
      <c r="ZK95" s="627"/>
      <c r="ZL95" s="627"/>
      <c r="ZM95" s="627"/>
      <c r="ZN95" s="627"/>
      <c r="ZO95" s="627"/>
      <c r="ZP95" s="627"/>
      <c r="ZQ95" s="627"/>
      <c r="ZR95" s="627"/>
      <c r="ZS95" s="627"/>
      <c r="ZT95" s="627"/>
      <c r="ZU95" s="627"/>
      <c r="ZV95" s="627"/>
      <c r="ZW95" s="627"/>
      <c r="ZX95" s="627"/>
      <c r="ZY95" s="627"/>
      <c r="ZZ95" s="627"/>
      <c r="AAA95" s="627"/>
      <c r="AAB95" s="627"/>
      <c r="AAC95" s="627"/>
      <c r="AAD95" s="627"/>
      <c r="AAE95" s="627"/>
      <c r="AAF95" s="627"/>
      <c r="AAG95" s="627"/>
      <c r="AAH95" s="627"/>
      <c r="AAI95" s="627"/>
      <c r="AAJ95" s="627"/>
      <c r="AAK95" s="627"/>
      <c r="AAL95" s="627"/>
      <c r="AAM95" s="627"/>
      <c r="AAN95" s="627"/>
      <c r="AAO95" s="627"/>
      <c r="AAP95" s="627"/>
      <c r="AAQ95" s="627"/>
      <c r="AAR95" s="627"/>
      <c r="AAS95" s="627"/>
      <c r="AAT95" s="627"/>
      <c r="AAU95" s="627"/>
      <c r="AAV95" s="627"/>
      <c r="AAW95" s="627"/>
      <c r="AAX95" s="627"/>
      <c r="AAY95" s="627"/>
      <c r="AAZ95" s="627"/>
      <c r="ABA95" s="627"/>
      <c r="ABB95" s="627"/>
      <c r="ABC95" s="627"/>
      <c r="ABD95" s="627"/>
      <c r="ABE95" s="627"/>
      <c r="ABF95" s="627"/>
      <c r="ABG95" s="627"/>
      <c r="ABH95" s="627"/>
      <c r="ABI95" s="627"/>
      <c r="ABJ95" s="627"/>
      <c r="ABK95" s="627"/>
      <c r="ABL95" s="627"/>
      <c r="ABM95" s="627"/>
      <c r="ABN95" s="627"/>
      <c r="ABO95" s="627"/>
      <c r="ABP95" s="627"/>
      <c r="ABQ95" s="627"/>
      <c r="ABR95" s="627"/>
      <c r="ABS95" s="627"/>
      <c r="ABT95" s="627"/>
      <c r="ABU95" s="627"/>
      <c r="ABV95" s="627"/>
      <c r="ABW95" s="627"/>
      <c r="ABX95" s="627"/>
      <c r="ABY95" s="627"/>
      <c r="ABZ95" s="627"/>
      <c r="ACA95" s="627"/>
      <c r="ACB95" s="627"/>
      <c r="ACC95" s="627"/>
      <c r="ACD95" s="627"/>
      <c r="ACE95" s="627"/>
      <c r="ACF95" s="627"/>
      <c r="ACG95" s="627"/>
      <c r="ACH95" s="627"/>
      <c r="ACI95" s="627"/>
      <c r="ACJ95" s="627"/>
      <c r="ACK95" s="627"/>
      <c r="ACL95" s="627"/>
      <c r="ACM95" s="627"/>
      <c r="ACN95" s="627"/>
      <c r="ACO95" s="627"/>
      <c r="ACP95" s="627"/>
      <c r="ACQ95" s="627"/>
      <c r="ACR95" s="627"/>
      <c r="ACS95" s="627"/>
      <c r="ACT95" s="627"/>
      <c r="ACU95" s="627"/>
      <c r="ACV95" s="627"/>
      <c r="ACW95" s="627"/>
      <c r="ACX95" s="627"/>
      <c r="ACY95" s="627"/>
      <c r="ACZ95" s="627"/>
      <c r="ADA95" s="627"/>
      <c r="ADB95" s="627"/>
      <c r="ADC95" s="627"/>
      <c r="ADD95" s="627"/>
      <c r="ADE95" s="627"/>
      <c r="ADF95" s="627"/>
      <c r="ADG95" s="627"/>
      <c r="ADH95" s="627"/>
      <c r="ADI95" s="627"/>
      <c r="ADJ95" s="627"/>
      <c r="ADK95" s="627"/>
      <c r="ADL95" s="627"/>
      <c r="ADM95" s="627"/>
      <c r="ADN95" s="627"/>
      <c r="ADO95" s="627"/>
      <c r="ADP95" s="627"/>
      <c r="ADQ95" s="627"/>
      <c r="ADR95" s="627"/>
      <c r="ADS95" s="627"/>
      <c r="ADT95" s="627"/>
      <c r="ADU95" s="627"/>
      <c r="ADV95" s="627"/>
      <c r="ADW95" s="627"/>
      <c r="ADX95" s="627"/>
      <c r="ADY95" s="627"/>
      <c r="ADZ95" s="627"/>
      <c r="AEA95" s="627"/>
      <c r="AEB95" s="627"/>
      <c r="AEC95" s="627"/>
      <c r="AED95" s="627"/>
      <c r="AEE95" s="627"/>
      <c r="AEF95" s="627"/>
      <c r="AEG95" s="627"/>
      <c r="AEH95" s="627"/>
      <c r="AEI95" s="627"/>
      <c r="AEJ95" s="627"/>
      <c r="AEK95" s="627"/>
      <c r="AEL95" s="627"/>
      <c r="AEM95" s="627"/>
      <c r="AEN95" s="627"/>
      <c r="AEO95" s="627"/>
      <c r="AEP95" s="627"/>
      <c r="AEQ95" s="627"/>
      <c r="AER95" s="627"/>
      <c r="AES95" s="627"/>
      <c r="AET95" s="627"/>
      <c r="AEU95" s="627"/>
      <c r="AEV95" s="627"/>
      <c r="AEW95" s="627"/>
      <c r="AEX95" s="627"/>
      <c r="AEY95" s="627"/>
      <c r="AEZ95" s="627"/>
      <c r="AFA95" s="627"/>
      <c r="AFB95" s="627"/>
      <c r="AFC95" s="627"/>
      <c r="AFD95" s="627"/>
      <c r="AFE95" s="627"/>
      <c r="AFF95" s="627"/>
      <c r="AFG95" s="627"/>
      <c r="AFH95" s="627"/>
      <c r="AFI95" s="627"/>
      <c r="AFJ95" s="627"/>
      <c r="AFK95" s="627"/>
      <c r="AFL95" s="627"/>
      <c r="AFM95" s="627"/>
      <c r="AFN95" s="627"/>
      <c r="AFO95" s="627"/>
      <c r="AFP95" s="627"/>
      <c r="AFQ95" s="627"/>
      <c r="AFR95" s="627"/>
      <c r="AFS95" s="627"/>
      <c r="AFT95" s="627"/>
      <c r="AFU95" s="627"/>
      <c r="AFV95" s="627"/>
      <c r="AFW95" s="627"/>
      <c r="AFX95" s="627"/>
      <c r="AFY95" s="627"/>
      <c r="AFZ95" s="627"/>
      <c r="AGA95" s="627"/>
      <c r="AGB95" s="627"/>
      <c r="AGC95" s="627"/>
      <c r="AGD95" s="627"/>
      <c r="AGE95" s="627"/>
      <c r="AGF95" s="627"/>
      <c r="AGG95" s="627"/>
      <c r="AGH95" s="627"/>
      <c r="AGI95" s="627"/>
      <c r="AGJ95" s="627"/>
      <c r="AGK95" s="627"/>
      <c r="AGL95" s="627"/>
      <c r="AGM95" s="627"/>
      <c r="AGN95" s="627"/>
      <c r="AGO95" s="627"/>
      <c r="AGP95" s="627"/>
      <c r="AGQ95" s="627"/>
      <c r="AGR95" s="627"/>
      <c r="AGS95" s="627"/>
      <c r="AGT95" s="627"/>
      <c r="AGU95" s="627"/>
      <c r="AGV95" s="627"/>
      <c r="AGW95" s="627"/>
      <c r="AGX95" s="627"/>
      <c r="AGY95" s="627"/>
      <c r="AGZ95" s="627"/>
      <c r="AHA95" s="627"/>
      <c r="AHB95" s="627"/>
      <c r="AHC95" s="627"/>
      <c r="AHD95" s="627"/>
      <c r="AHE95" s="627"/>
      <c r="AHF95" s="627"/>
      <c r="AHG95" s="627"/>
      <c r="AHH95" s="627"/>
      <c r="AHI95" s="627"/>
      <c r="AHJ95" s="627"/>
      <c r="AHK95" s="627"/>
      <c r="AHL95" s="627"/>
      <c r="AHM95" s="627"/>
      <c r="AHN95" s="627"/>
      <c r="AHO95" s="627"/>
      <c r="AHP95" s="627"/>
      <c r="AHQ95" s="627"/>
      <c r="AHR95" s="627"/>
      <c r="AHS95" s="627"/>
      <c r="AHT95" s="627"/>
      <c r="AHU95" s="627"/>
      <c r="AHV95" s="627"/>
      <c r="AHW95" s="627"/>
      <c r="AHX95" s="627"/>
      <c r="AHY95" s="627"/>
      <c r="AHZ95" s="627"/>
      <c r="AIA95" s="627"/>
      <c r="AIB95" s="627"/>
      <c r="AIC95" s="627"/>
      <c r="AID95" s="627"/>
      <c r="AIE95" s="627"/>
      <c r="AIF95" s="627"/>
      <c r="AIG95" s="627"/>
      <c r="AIH95" s="627"/>
      <c r="AII95" s="627"/>
      <c r="AIJ95" s="627"/>
      <c r="AIK95" s="627"/>
      <c r="AIL95" s="627"/>
      <c r="AIM95" s="627"/>
      <c r="AIN95" s="627"/>
      <c r="AIO95" s="627"/>
      <c r="AIP95" s="627"/>
      <c r="AIQ95" s="627"/>
      <c r="AIR95" s="627"/>
      <c r="AIS95" s="627"/>
      <c r="AIT95" s="627"/>
      <c r="AIU95" s="627"/>
      <c r="AIV95" s="627"/>
      <c r="AIW95" s="627"/>
      <c r="AIX95" s="627"/>
      <c r="AIY95" s="627"/>
      <c r="AIZ95" s="627"/>
      <c r="AJA95" s="627"/>
      <c r="AJB95" s="627"/>
      <c r="AJC95" s="627"/>
      <c r="AJD95" s="627"/>
      <c r="AJE95" s="627"/>
      <c r="AJF95" s="627"/>
      <c r="AJG95" s="627"/>
      <c r="AJH95" s="627"/>
      <c r="AJI95" s="627"/>
      <c r="AJJ95" s="627"/>
      <c r="AJK95" s="627"/>
      <c r="AJL95" s="627"/>
      <c r="AJM95" s="627"/>
      <c r="AJN95" s="627"/>
      <c r="AJO95" s="627"/>
      <c r="AJP95" s="627"/>
      <c r="AJQ95" s="627"/>
      <c r="AJR95" s="627"/>
      <c r="AJS95" s="627"/>
      <c r="AJT95" s="627"/>
      <c r="AJU95" s="627"/>
      <c r="AJV95" s="627"/>
      <c r="AJW95" s="627"/>
      <c r="AJX95" s="627"/>
      <c r="AJY95" s="627"/>
      <c r="AJZ95" s="627"/>
      <c r="AKA95" s="627"/>
      <c r="AKB95" s="627"/>
      <c r="AKC95" s="627"/>
      <c r="AKD95" s="627"/>
      <c r="AKE95" s="627"/>
      <c r="AKF95" s="627"/>
      <c r="AKG95" s="627"/>
      <c r="AKH95" s="627"/>
      <c r="AKI95" s="627"/>
      <c r="AKJ95" s="627"/>
      <c r="AKK95" s="627"/>
      <c r="AKL95" s="627"/>
      <c r="AKM95" s="627"/>
      <c r="AKN95" s="627"/>
      <c r="AKO95" s="627"/>
      <c r="AKP95" s="627"/>
      <c r="AKQ95" s="627"/>
      <c r="AKR95" s="627"/>
      <c r="AKS95" s="627"/>
      <c r="AKT95" s="627"/>
      <c r="AKU95" s="627"/>
      <c r="AKV95" s="627"/>
      <c r="AKW95" s="627"/>
      <c r="AKX95" s="627"/>
      <c r="AKY95" s="627"/>
      <c r="AKZ95" s="627"/>
      <c r="ALA95" s="627"/>
      <c r="ALB95" s="627"/>
      <c r="ALC95" s="627"/>
      <c r="ALD95" s="627"/>
      <c r="ALE95" s="627"/>
      <c r="ALF95" s="627"/>
      <c r="ALG95" s="627"/>
      <c r="ALH95" s="627"/>
      <c r="ALI95" s="627"/>
      <c r="ALJ95" s="627"/>
      <c r="ALK95" s="627"/>
      <c r="ALL95" s="627"/>
      <c r="ALM95" s="627"/>
      <c r="ALN95" s="627"/>
      <c r="ALO95" s="627"/>
      <c r="ALP95" s="627"/>
      <c r="ALQ95" s="627"/>
      <c r="ALR95" s="627"/>
      <c r="ALS95" s="627"/>
      <c r="ALT95" s="627"/>
      <c r="ALU95" s="627"/>
      <c r="ALV95" s="627"/>
      <c r="ALW95" s="627"/>
      <c r="ALX95" s="627"/>
      <c r="ALY95" s="627"/>
      <c r="ALZ95" s="627"/>
      <c r="AMA95" s="627"/>
      <c r="AMB95" s="627"/>
      <c r="AMC95" s="627"/>
      <c r="AMD95" s="627"/>
      <c r="AME95" s="627"/>
      <c r="AMF95" s="627"/>
    </row>
    <row r="96" spans="1:1020" s="485" customFormat="1" ht="12.75" customHeight="1" x14ac:dyDescent="0.15">
      <c r="A96" s="627"/>
      <c r="B96" s="627"/>
      <c r="C96" s="627"/>
      <c r="D96" s="627"/>
      <c r="E96" s="627"/>
      <c r="F96" s="627"/>
      <c r="G96" s="627"/>
      <c r="H96" s="627"/>
      <c r="I96" s="627"/>
      <c r="J96" s="627"/>
      <c r="K96" s="627"/>
      <c r="L96" s="627"/>
      <c r="M96" s="627"/>
      <c r="N96" s="627"/>
      <c r="O96" s="627"/>
      <c r="P96" s="627"/>
      <c r="Q96" s="627"/>
      <c r="R96" s="627"/>
      <c r="S96" s="627"/>
      <c r="T96" s="627"/>
      <c r="U96" s="627"/>
      <c r="V96" s="627"/>
      <c r="W96" s="627"/>
      <c r="X96" s="627"/>
      <c r="Y96" s="627"/>
      <c r="Z96" s="627"/>
      <c r="AA96" s="627"/>
      <c r="AB96" s="627"/>
      <c r="AC96" s="627"/>
      <c r="AD96" s="627"/>
      <c r="AE96" s="627"/>
      <c r="AF96" s="627"/>
      <c r="AG96" s="627"/>
      <c r="AH96" s="627"/>
      <c r="AI96" s="627"/>
      <c r="AJ96" s="627"/>
      <c r="AK96" s="627"/>
      <c r="AL96" s="627"/>
      <c r="AM96" s="627"/>
      <c r="AN96" s="627"/>
      <c r="AO96" s="627"/>
      <c r="AP96" s="627" t="s">
        <v>788</v>
      </c>
      <c r="AQ96" s="627"/>
      <c r="AR96" s="627"/>
      <c r="AS96" s="627"/>
      <c r="AT96" s="627"/>
      <c r="AU96" s="627"/>
      <c r="AV96" s="627"/>
      <c r="AW96" s="627"/>
      <c r="AX96" s="627"/>
      <c r="AY96" s="627"/>
      <c r="AZ96" s="627"/>
      <c r="BA96" s="629" t="s">
        <v>1249</v>
      </c>
      <c r="BB96" s="627"/>
      <c r="BC96" s="627"/>
      <c r="BD96" s="627"/>
      <c r="BE96" s="627"/>
      <c r="BG96" s="486"/>
      <c r="BH96" s="436"/>
      <c r="BI96" s="436"/>
      <c r="BJ96" s="436"/>
      <c r="BK96" s="436"/>
      <c r="BL96" s="436"/>
      <c r="BM96" s="436"/>
      <c r="BN96" s="436"/>
      <c r="BO96" s="436"/>
      <c r="BP96" s="436"/>
      <c r="BQ96" s="436"/>
      <c r="BR96" s="436"/>
      <c r="BS96" s="436"/>
      <c r="BT96" s="436"/>
      <c r="BU96" s="436"/>
      <c r="BV96" s="627"/>
      <c r="BW96" s="627"/>
      <c r="BX96" s="627"/>
      <c r="BY96" s="627"/>
      <c r="BZ96" s="627"/>
      <c r="CA96" s="627"/>
      <c r="CB96" s="627"/>
      <c r="CC96" s="627"/>
      <c r="CD96" s="627"/>
      <c r="CE96" s="627"/>
      <c r="CF96" s="627"/>
      <c r="CG96" s="627"/>
      <c r="CH96" s="627"/>
      <c r="CI96" s="627"/>
      <c r="CJ96" s="627"/>
      <c r="CK96" s="627"/>
      <c r="CL96" s="627"/>
      <c r="CM96" s="627"/>
      <c r="CN96" s="627"/>
      <c r="CO96" s="627"/>
      <c r="CP96" s="627"/>
      <c r="CQ96" s="627"/>
      <c r="CR96" s="627"/>
      <c r="CS96" s="627"/>
      <c r="CT96" s="627"/>
      <c r="CU96" s="627"/>
      <c r="CV96" s="627"/>
      <c r="CW96" s="627"/>
      <c r="CX96" s="627"/>
      <c r="CY96" s="627"/>
      <c r="CZ96" s="627"/>
      <c r="DA96" s="627"/>
      <c r="DB96" s="627"/>
      <c r="DC96" s="627"/>
      <c r="DD96" s="627"/>
      <c r="DE96" s="627"/>
      <c r="DF96" s="627"/>
      <c r="DG96" s="627"/>
      <c r="DH96" s="627"/>
      <c r="DI96" s="627"/>
      <c r="DJ96" s="627"/>
      <c r="DK96" s="627"/>
      <c r="DL96" s="627"/>
      <c r="DM96" s="627"/>
      <c r="DN96" s="627"/>
      <c r="DO96" s="627"/>
      <c r="DP96" s="627"/>
      <c r="DQ96" s="627"/>
      <c r="DR96" s="627"/>
      <c r="DS96" s="627"/>
      <c r="DT96" s="627"/>
      <c r="DU96" s="627"/>
      <c r="DV96" s="627"/>
      <c r="DW96" s="627"/>
      <c r="DX96" s="627"/>
      <c r="DY96" s="627"/>
      <c r="DZ96" s="627"/>
      <c r="EA96" s="627"/>
      <c r="EB96" s="627"/>
      <c r="EC96" s="627"/>
      <c r="ED96" s="627"/>
      <c r="EE96" s="627"/>
      <c r="EF96" s="627"/>
      <c r="EG96" s="627"/>
      <c r="EH96" s="627"/>
      <c r="EI96" s="627"/>
      <c r="EJ96" s="627"/>
      <c r="EK96" s="627"/>
      <c r="EL96" s="627"/>
      <c r="EM96" s="627"/>
      <c r="EN96" s="627"/>
      <c r="EO96" s="627"/>
      <c r="EP96" s="627"/>
      <c r="EQ96" s="627"/>
      <c r="ER96" s="627"/>
      <c r="ES96" s="627"/>
      <c r="ET96" s="627"/>
      <c r="EU96" s="627"/>
      <c r="EV96" s="627"/>
      <c r="EW96" s="627"/>
      <c r="EX96" s="627"/>
      <c r="EY96" s="627"/>
      <c r="EZ96" s="627"/>
      <c r="FA96" s="627"/>
      <c r="FB96" s="627"/>
      <c r="FC96" s="627"/>
      <c r="FD96" s="627"/>
      <c r="FE96" s="627"/>
      <c r="FF96" s="627"/>
      <c r="FG96" s="627"/>
      <c r="FH96" s="627"/>
      <c r="FI96" s="627"/>
      <c r="FJ96" s="627"/>
      <c r="FK96" s="627"/>
      <c r="FL96" s="627"/>
      <c r="FM96" s="627"/>
      <c r="FN96" s="627"/>
      <c r="FO96" s="627"/>
      <c r="FP96" s="627"/>
      <c r="FQ96" s="627"/>
      <c r="FR96" s="627"/>
      <c r="FS96" s="627"/>
      <c r="FT96" s="627"/>
      <c r="FU96" s="627"/>
      <c r="FV96" s="627"/>
      <c r="FW96" s="627"/>
      <c r="FX96" s="627"/>
      <c r="FY96" s="627"/>
      <c r="FZ96" s="627"/>
      <c r="GA96" s="627"/>
      <c r="GB96" s="627"/>
      <c r="GC96" s="627"/>
      <c r="GD96" s="627"/>
      <c r="GE96" s="627"/>
      <c r="GF96" s="627"/>
      <c r="GG96" s="627"/>
      <c r="GH96" s="627"/>
      <c r="GI96" s="627"/>
      <c r="GJ96" s="627"/>
      <c r="GK96" s="627"/>
      <c r="GL96" s="627"/>
      <c r="GM96" s="627"/>
      <c r="GN96" s="627"/>
      <c r="GO96" s="627"/>
      <c r="GP96" s="627"/>
      <c r="GQ96" s="627"/>
      <c r="GR96" s="627"/>
      <c r="GS96" s="627"/>
      <c r="GT96" s="627"/>
      <c r="GU96" s="627"/>
      <c r="GV96" s="627"/>
      <c r="GW96" s="627"/>
      <c r="GX96" s="627"/>
      <c r="GY96" s="627"/>
      <c r="GZ96" s="627"/>
      <c r="HA96" s="627"/>
      <c r="HB96" s="627"/>
      <c r="HC96" s="627"/>
      <c r="HD96" s="627"/>
      <c r="HE96" s="627"/>
      <c r="HF96" s="627"/>
      <c r="HG96" s="627"/>
      <c r="HH96" s="627"/>
      <c r="HI96" s="627"/>
      <c r="HJ96" s="627"/>
      <c r="HK96" s="627"/>
      <c r="HL96" s="627"/>
      <c r="HM96" s="627"/>
      <c r="HN96" s="627"/>
      <c r="HO96" s="627"/>
      <c r="HP96" s="627"/>
      <c r="HQ96" s="627"/>
      <c r="HR96" s="627"/>
      <c r="HS96" s="627"/>
      <c r="HT96" s="627"/>
      <c r="HU96" s="627"/>
      <c r="HV96" s="627"/>
      <c r="HW96" s="627"/>
      <c r="HX96" s="627"/>
      <c r="HY96" s="627"/>
      <c r="HZ96" s="627"/>
      <c r="IA96" s="627"/>
      <c r="IB96" s="627"/>
      <c r="IC96" s="627"/>
      <c r="ID96" s="627"/>
      <c r="IE96" s="627"/>
      <c r="IF96" s="627"/>
      <c r="IG96" s="627"/>
      <c r="IH96" s="627"/>
      <c r="II96" s="627"/>
      <c r="IJ96" s="627"/>
      <c r="IK96" s="627"/>
      <c r="IL96" s="627"/>
      <c r="IM96" s="627"/>
      <c r="IN96" s="627"/>
      <c r="IO96" s="627"/>
      <c r="IP96" s="627"/>
      <c r="IQ96" s="627"/>
      <c r="IR96" s="627"/>
      <c r="IS96" s="627"/>
      <c r="IT96" s="627"/>
      <c r="IU96" s="627"/>
      <c r="IV96" s="627"/>
      <c r="IW96" s="627"/>
      <c r="IX96" s="627"/>
      <c r="IY96" s="627"/>
      <c r="IZ96" s="627"/>
      <c r="JA96" s="627"/>
      <c r="JB96" s="627"/>
      <c r="JC96" s="627"/>
      <c r="JD96" s="627"/>
      <c r="JE96" s="627"/>
      <c r="JF96" s="627"/>
      <c r="JG96" s="627"/>
      <c r="JH96" s="627"/>
      <c r="JI96" s="627"/>
      <c r="JJ96" s="627"/>
      <c r="JK96" s="627"/>
      <c r="JL96" s="627"/>
      <c r="JM96" s="627"/>
      <c r="JN96" s="627"/>
      <c r="JO96" s="627"/>
      <c r="JP96" s="627"/>
      <c r="JQ96" s="627"/>
      <c r="JR96" s="627"/>
      <c r="JS96" s="627"/>
      <c r="JT96" s="627"/>
      <c r="JU96" s="627"/>
      <c r="JV96" s="627"/>
      <c r="JW96" s="627"/>
      <c r="JX96" s="627"/>
      <c r="JY96" s="627"/>
      <c r="JZ96" s="627"/>
      <c r="KA96" s="627"/>
      <c r="KB96" s="627"/>
      <c r="KC96" s="627"/>
      <c r="KD96" s="627"/>
      <c r="KE96" s="627"/>
      <c r="KF96" s="627"/>
      <c r="KG96" s="627"/>
      <c r="KH96" s="627"/>
      <c r="KI96" s="627"/>
      <c r="KJ96" s="627"/>
      <c r="KK96" s="627"/>
      <c r="KL96" s="627"/>
      <c r="KM96" s="627"/>
      <c r="KN96" s="627"/>
      <c r="KO96" s="627"/>
      <c r="KP96" s="627"/>
      <c r="KQ96" s="627"/>
      <c r="KR96" s="627"/>
      <c r="KS96" s="627"/>
      <c r="KT96" s="627"/>
      <c r="KU96" s="627"/>
      <c r="KV96" s="627"/>
      <c r="KW96" s="627"/>
      <c r="KX96" s="627"/>
      <c r="KY96" s="627"/>
      <c r="KZ96" s="627"/>
      <c r="LA96" s="627"/>
      <c r="LB96" s="627"/>
      <c r="LC96" s="627"/>
      <c r="LD96" s="627"/>
      <c r="LE96" s="627"/>
      <c r="LF96" s="627"/>
      <c r="LG96" s="627"/>
      <c r="LH96" s="627"/>
      <c r="LI96" s="627"/>
      <c r="LJ96" s="627"/>
      <c r="LK96" s="627"/>
      <c r="LL96" s="627"/>
      <c r="LM96" s="627"/>
      <c r="LN96" s="627"/>
      <c r="LO96" s="627"/>
      <c r="LP96" s="627"/>
      <c r="LQ96" s="627"/>
      <c r="LR96" s="627"/>
      <c r="LS96" s="627"/>
      <c r="LT96" s="627"/>
      <c r="LU96" s="627"/>
      <c r="LV96" s="627"/>
      <c r="LW96" s="627"/>
      <c r="LX96" s="627"/>
      <c r="LY96" s="627"/>
      <c r="LZ96" s="627"/>
      <c r="MA96" s="627"/>
      <c r="MB96" s="627"/>
      <c r="MC96" s="627"/>
      <c r="MD96" s="627"/>
      <c r="ME96" s="627"/>
      <c r="MF96" s="627"/>
      <c r="MG96" s="627"/>
      <c r="MH96" s="627"/>
      <c r="MI96" s="627"/>
      <c r="MJ96" s="627"/>
      <c r="MK96" s="627"/>
      <c r="ML96" s="627"/>
      <c r="MM96" s="627"/>
      <c r="MN96" s="627"/>
      <c r="MO96" s="627"/>
      <c r="MP96" s="627"/>
      <c r="MQ96" s="627"/>
      <c r="MR96" s="627"/>
      <c r="MS96" s="627"/>
      <c r="MT96" s="627"/>
      <c r="MU96" s="627"/>
      <c r="MV96" s="627"/>
      <c r="MW96" s="627"/>
      <c r="MX96" s="627"/>
      <c r="MY96" s="627"/>
      <c r="MZ96" s="627"/>
      <c r="NA96" s="627"/>
      <c r="NB96" s="627"/>
      <c r="NC96" s="627"/>
      <c r="ND96" s="627"/>
      <c r="NE96" s="627"/>
      <c r="NF96" s="627"/>
      <c r="NG96" s="627"/>
      <c r="NH96" s="627"/>
      <c r="NI96" s="627"/>
      <c r="NJ96" s="627"/>
      <c r="NK96" s="627"/>
      <c r="NL96" s="627"/>
      <c r="NM96" s="627"/>
      <c r="NN96" s="627"/>
      <c r="NO96" s="627"/>
      <c r="NP96" s="627"/>
      <c r="NQ96" s="627"/>
      <c r="NR96" s="627"/>
      <c r="NS96" s="627"/>
      <c r="NT96" s="627"/>
      <c r="NU96" s="627"/>
      <c r="NV96" s="627"/>
      <c r="NW96" s="627"/>
      <c r="NX96" s="627"/>
      <c r="NY96" s="627"/>
      <c r="NZ96" s="627"/>
      <c r="OA96" s="627"/>
      <c r="OB96" s="627"/>
      <c r="OC96" s="627"/>
      <c r="OD96" s="627"/>
      <c r="OE96" s="627"/>
      <c r="OF96" s="627"/>
      <c r="OG96" s="627"/>
      <c r="OH96" s="627"/>
      <c r="OI96" s="627"/>
      <c r="OJ96" s="627"/>
      <c r="OK96" s="627"/>
      <c r="OL96" s="627"/>
      <c r="OM96" s="627"/>
      <c r="ON96" s="627"/>
      <c r="OO96" s="627"/>
      <c r="OP96" s="627"/>
      <c r="OQ96" s="627"/>
      <c r="OR96" s="627"/>
      <c r="OS96" s="627"/>
      <c r="OT96" s="627"/>
      <c r="OU96" s="627"/>
      <c r="OV96" s="627"/>
      <c r="OW96" s="627"/>
      <c r="OX96" s="627"/>
      <c r="OY96" s="627"/>
      <c r="OZ96" s="627"/>
      <c r="PA96" s="627"/>
      <c r="PB96" s="627"/>
      <c r="PC96" s="627"/>
      <c r="PD96" s="627"/>
      <c r="PE96" s="627"/>
      <c r="PF96" s="627"/>
      <c r="PG96" s="627"/>
      <c r="PH96" s="627"/>
      <c r="PI96" s="627"/>
      <c r="PJ96" s="627"/>
      <c r="PK96" s="627"/>
      <c r="PL96" s="627"/>
      <c r="PM96" s="627"/>
      <c r="PN96" s="627"/>
      <c r="PO96" s="627"/>
      <c r="PP96" s="627"/>
      <c r="PQ96" s="627"/>
      <c r="PR96" s="627"/>
      <c r="PS96" s="627"/>
      <c r="PT96" s="627"/>
      <c r="PU96" s="627"/>
      <c r="PV96" s="627"/>
      <c r="PW96" s="627"/>
      <c r="PX96" s="627"/>
      <c r="PY96" s="627"/>
      <c r="PZ96" s="627"/>
      <c r="QA96" s="627"/>
      <c r="QB96" s="627"/>
      <c r="QC96" s="627"/>
      <c r="QD96" s="627"/>
      <c r="QE96" s="627"/>
      <c r="QF96" s="627"/>
      <c r="QG96" s="627"/>
      <c r="QH96" s="627"/>
      <c r="QI96" s="627"/>
      <c r="QJ96" s="627"/>
      <c r="QK96" s="627"/>
      <c r="QL96" s="627"/>
      <c r="QM96" s="627"/>
      <c r="QN96" s="627"/>
      <c r="QO96" s="627"/>
      <c r="QP96" s="627"/>
      <c r="QQ96" s="627"/>
      <c r="QR96" s="627"/>
      <c r="QS96" s="627"/>
      <c r="QT96" s="627"/>
      <c r="QU96" s="627"/>
      <c r="QV96" s="627"/>
      <c r="QW96" s="627"/>
      <c r="QX96" s="627"/>
      <c r="QY96" s="627"/>
      <c r="QZ96" s="627"/>
      <c r="RA96" s="627"/>
      <c r="RB96" s="627"/>
      <c r="RC96" s="627"/>
      <c r="RD96" s="627"/>
      <c r="RE96" s="627"/>
      <c r="RF96" s="627"/>
      <c r="RG96" s="627"/>
      <c r="RH96" s="627"/>
      <c r="RI96" s="627"/>
      <c r="RJ96" s="627"/>
      <c r="RK96" s="627"/>
      <c r="RL96" s="627"/>
      <c r="RM96" s="627"/>
      <c r="RN96" s="627"/>
      <c r="RO96" s="627"/>
      <c r="RP96" s="627"/>
      <c r="RQ96" s="627"/>
      <c r="RR96" s="627"/>
      <c r="RS96" s="627"/>
      <c r="RT96" s="627"/>
      <c r="RU96" s="627"/>
      <c r="RV96" s="627"/>
      <c r="RW96" s="627"/>
      <c r="RX96" s="627"/>
      <c r="RY96" s="627"/>
      <c r="RZ96" s="627"/>
      <c r="SA96" s="627"/>
      <c r="SB96" s="627"/>
      <c r="SC96" s="627"/>
      <c r="SD96" s="627"/>
      <c r="SE96" s="627"/>
      <c r="SF96" s="627"/>
      <c r="SG96" s="627"/>
      <c r="SH96" s="627"/>
      <c r="SI96" s="627"/>
      <c r="SJ96" s="627"/>
      <c r="SK96" s="627"/>
      <c r="SL96" s="627"/>
      <c r="SM96" s="627"/>
      <c r="SN96" s="627"/>
      <c r="SO96" s="627"/>
      <c r="SP96" s="627"/>
      <c r="SQ96" s="627"/>
      <c r="SR96" s="627"/>
      <c r="SS96" s="627"/>
      <c r="ST96" s="627"/>
      <c r="SU96" s="627"/>
      <c r="SV96" s="627"/>
      <c r="SW96" s="627"/>
      <c r="SX96" s="627"/>
      <c r="SY96" s="627"/>
      <c r="SZ96" s="627"/>
      <c r="TA96" s="627"/>
      <c r="TB96" s="627"/>
      <c r="TC96" s="627"/>
      <c r="TD96" s="627"/>
      <c r="TE96" s="627"/>
      <c r="TF96" s="627"/>
      <c r="TG96" s="627"/>
      <c r="TH96" s="627"/>
      <c r="TI96" s="627"/>
      <c r="TJ96" s="627"/>
      <c r="TK96" s="627"/>
      <c r="TL96" s="627"/>
      <c r="TM96" s="627"/>
      <c r="TN96" s="627"/>
      <c r="TO96" s="627"/>
      <c r="TP96" s="627"/>
      <c r="TQ96" s="627"/>
      <c r="TR96" s="627"/>
      <c r="TS96" s="627"/>
      <c r="TT96" s="627"/>
      <c r="TU96" s="627"/>
      <c r="TV96" s="627"/>
      <c r="TW96" s="627"/>
      <c r="TX96" s="627"/>
      <c r="TY96" s="627"/>
      <c r="TZ96" s="627"/>
      <c r="UA96" s="627"/>
      <c r="UB96" s="627"/>
      <c r="UC96" s="627"/>
      <c r="UD96" s="627"/>
      <c r="UE96" s="627"/>
      <c r="UF96" s="627"/>
      <c r="UG96" s="627"/>
      <c r="UH96" s="627"/>
      <c r="UI96" s="627"/>
      <c r="UJ96" s="627"/>
      <c r="UK96" s="627"/>
      <c r="UL96" s="627"/>
      <c r="UM96" s="627"/>
      <c r="UN96" s="627"/>
      <c r="UO96" s="627"/>
      <c r="UP96" s="627"/>
      <c r="UQ96" s="627"/>
      <c r="UR96" s="627"/>
      <c r="US96" s="627"/>
      <c r="UT96" s="627"/>
      <c r="UU96" s="627"/>
      <c r="UV96" s="627"/>
      <c r="UW96" s="627"/>
      <c r="UX96" s="627"/>
      <c r="UY96" s="627"/>
      <c r="UZ96" s="627"/>
      <c r="VA96" s="627"/>
      <c r="VB96" s="627"/>
      <c r="VC96" s="627"/>
      <c r="VD96" s="627"/>
      <c r="VE96" s="627"/>
      <c r="VF96" s="627"/>
      <c r="VG96" s="627"/>
      <c r="VH96" s="627"/>
      <c r="VI96" s="627"/>
      <c r="VJ96" s="627"/>
      <c r="VK96" s="627"/>
      <c r="VL96" s="627"/>
      <c r="VM96" s="627"/>
      <c r="VN96" s="627"/>
      <c r="VO96" s="627"/>
      <c r="VP96" s="627"/>
      <c r="VQ96" s="627"/>
      <c r="VR96" s="627"/>
      <c r="VS96" s="627"/>
      <c r="VT96" s="627"/>
      <c r="VU96" s="627"/>
      <c r="VV96" s="627"/>
      <c r="VW96" s="627"/>
      <c r="VX96" s="627"/>
      <c r="VY96" s="627"/>
      <c r="VZ96" s="627"/>
      <c r="WA96" s="627"/>
      <c r="WB96" s="627"/>
      <c r="WC96" s="627"/>
      <c r="WD96" s="627"/>
      <c r="WE96" s="627"/>
      <c r="WF96" s="627"/>
      <c r="WG96" s="627"/>
      <c r="WH96" s="627"/>
      <c r="WI96" s="627"/>
      <c r="WJ96" s="627"/>
      <c r="WK96" s="627"/>
      <c r="WL96" s="627"/>
      <c r="WM96" s="627"/>
      <c r="WN96" s="627"/>
      <c r="WO96" s="627"/>
      <c r="WP96" s="627"/>
      <c r="WQ96" s="627"/>
      <c r="WR96" s="627"/>
      <c r="WS96" s="627"/>
      <c r="WT96" s="627"/>
      <c r="WU96" s="627"/>
      <c r="WV96" s="627"/>
      <c r="WW96" s="627"/>
      <c r="WX96" s="627"/>
      <c r="WY96" s="627"/>
      <c r="WZ96" s="627"/>
      <c r="XA96" s="627"/>
      <c r="XB96" s="627"/>
      <c r="XC96" s="627"/>
      <c r="XD96" s="627"/>
      <c r="XE96" s="627"/>
      <c r="XF96" s="627"/>
      <c r="XG96" s="627"/>
      <c r="XH96" s="627"/>
      <c r="XI96" s="627"/>
      <c r="XJ96" s="627"/>
      <c r="XK96" s="627"/>
      <c r="XL96" s="627"/>
      <c r="XM96" s="627"/>
      <c r="XN96" s="627"/>
      <c r="XO96" s="627"/>
      <c r="XP96" s="627"/>
      <c r="XQ96" s="627"/>
      <c r="XR96" s="627"/>
      <c r="XS96" s="627"/>
      <c r="XT96" s="627"/>
      <c r="XU96" s="627"/>
      <c r="XV96" s="627"/>
      <c r="XW96" s="627"/>
      <c r="XX96" s="627"/>
      <c r="XY96" s="627"/>
      <c r="XZ96" s="627"/>
      <c r="YA96" s="627"/>
      <c r="YB96" s="627"/>
      <c r="YC96" s="627"/>
      <c r="YD96" s="627"/>
      <c r="YE96" s="627"/>
      <c r="YF96" s="627"/>
      <c r="YG96" s="627"/>
      <c r="YH96" s="627"/>
      <c r="YI96" s="627"/>
      <c r="YJ96" s="627"/>
      <c r="YK96" s="627"/>
      <c r="YL96" s="627"/>
      <c r="YM96" s="627"/>
      <c r="YN96" s="627"/>
      <c r="YO96" s="627"/>
      <c r="YP96" s="627"/>
      <c r="YQ96" s="627"/>
      <c r="YR96" s="627"/>
      <c r="YS96" s="627"/>
      <c r="YT96" s="627"/>
      <c r="YU96" s="627"/>
      <c r="YV96" s="627"/>
      <c r="YW96" s="627"/>
      <c r="YX96" s="627"/>
      <c r="YY96" s="627"/>
      <c r="YZ96" s="627"/>
      <c r="ZA96" s="627"/>
      <c r="ZB96" s="627"/>
      <c r="ZC96" s="627"/>
      <c r="ZD96" s="627"/>
      <c r="ZE96" s="627"/>
      <c r="ZF96" s="627"/>
      <c r="ZG96" s="627"/>
      <c r="ZH96" s="627"/>
      <c r="ZI96" s="627"/>
      <c r="ZJ96" s="627"/>
      <c r="ZK96" s="627"/>
      <c r="ZL96" s="627"/>
      <c r="ZM96" s="627"/>
      <c r="ZN96" s="627"/>
      <c r="ZO96" s="627"/>
      <c r="ZP96" s="627"/>
      <c r="ZQ96" s="627"/>
      <c r="ZR96" s="627"/>
      <c r="ZS96" s="627"/>
      <c r="ZT96" s="627"/>
      <c r="ZU96" s="627"/>
      <c r="ZV96" s="627"/>
      <c r="ZW96" s="627"/>
      <c r="ZX96" s="627"/>
      <c r="ZY96" s="627"/>
      <c r="ZZ96" s="627"/>
      <c r="AAA96" s="627"/>
      <c r="AAB96" s="627"/>
      <c r="AAC96" s="627"/>
      <c r="AAD96" s="627"/>
      <c r="AAE96" s="627"/>
      <c r="AAF96" s="627"/>
      <c r="AAG96" s="627"/>
      <c r="AAH96" s="627"/>
      <c r="AAI96" s="627"/>
      <c r="AAJ96" s="627"/>
      <c r="AAK96" s="627"/>
      <c r="AAL96" s="627"/>
      <c r="AAM96" s="627"/>
      <c r="AAN96" s="627"/>
      <c r="AAO96" s="627"/>
      <c r="AAP96" s="627"/>
      <c r="AAQ96" s="627"/>
      <c r="AAR96" s="627"/>
      <c r="AAS96" s="627"/>
      <c r="AAT96" s="627"/>
      <c r="AAU96" s="627"/>
      <c r="AAV96" s="627"/>
      <c r="AAW96" s="627"/>
      <c r="AAX96" s="627"/>
      <c r="AAY96" s="627"/>
      <c r="AAZ96" s="627"/>
      <c r="ABA96" s="627"/>
      <c r="ABB96" s="627"/>
      <c r="ABC96" s="627"/>
      <c r="ABD96" s="627"/>
      <c r="ABE96" s="627"/>
      <c r="ABF96" s="627"/>
      <c r="ABG96" s="627"/>
      <c r="ABH96" s="627"/>
      <c r="ABI96" s="627"/>
      <c r="ABJ96" s="627"/>
      <c r="ABK96" s="627"/>
      <c r="ABL96" s="627"/>
      <c r="ABM96" s="627"/>
      <c r="ABN96" s="627"/>
      <c r="ABO96" s="627"/>
      <c r="ABP96" s="627"/>
      <c r="ABQ96" s="627"/>
      <c r="ABR96" s="627"/>
      <c r="ABS96" s="627"/>
      <c r="ABT96" s="627"/>
      <c r="ABU96" s="627"/>
      <c r="ABV96" s="627"/>
      <c r="ABW96" s="627"/>
      <c r="ABX96" s="627"/>
      <c r="ABY96" s="627"/>
      <c r="ABZ96" s="627"/>
      <c r="ACA96" s="627"/>
      <c r="ACB96" s="627"/>
      <c r="ACC96" s="627"/>
      <c r="ACD96" s="627"/>
      <c r="ACE96" s="627"/>
      <c r="ACF96" s="627"/>
      <c r="ACG96" s="627"/>
      <c r="ACH96" s="627"/>
      <c r="ACI96" s="627"/>
      <c r="ACJ96" s="627"/>
      <c r="ACK96" s="627"/>
      <c r="ACL96" s="627"/>
      <c r="ACM96" s="627"/>
      <c r="ACN96" s="627"/>
      <c r="ACO96" s="627"/>
      <c r="ACP96" s="627"/>
      <c r="ACQ96" s="627"/>
      <c r="ACR96" s="627"/>
      <c r="ACS96" s="627"/>
      <c r="ACT96" s="627"/>
      <c r="ACU96" s="627"/>
      <c r="ACV96" s="627"/>
      <c r="ACW96" s="627"/>
      <c r="ACX96" s="627"/>
      <c r="ACY96" s="627"/>
      <c r="ACZ96" s="627"/>
      <c r="ADA96" s="627"/>
      <c r="ADB96" s="627"/>
      <c r="ADC96" s="627"/>
      <c r="ADD96" s="627"/>
      <c r="ADE96" s="627"/>
      <c r="ADF96" s="627"/>
      <c r="ADG96" s="627"/>
      <c r="ADH96" s="627"/>
      <c r="ADI96" s="627"/>
      <c r="ADJ96" s="627"/>
      <c r="ADK96" s="627"/>
      <c r="ADL96" s="627"/>
      <c r="ADM96" s="627"/>
      <c r="ADN96" s="627"/>
      <c r="ADO96" s="627"/>
      <c r="ADP96" s="627"/>
      <c r="ADQ96" s="627"/>
      <c r="ADR96" s="627"/>
      <c r="ADS96" s="627"/>
      <c r="ADT96" s="627"/>
      <c r="ADU96" s="627"/>
      <c r="ADV96" s="627"/>
      <c r="ADW96" s="627"/>
      <c r="ADX96" s="627"/>
      <c r="ADY96" s="627"/>
      <c r="ADZ96" s="627"/>
      <c r="AEA96" s="627"/>
      <c r="AEB96" s="627"/>
      <c r="AEC96" s="627"/>
      <c r="AED96" s="627"/>
      <c r="AEE96" s="627"/>
      <c r="AEF96" s="627"/>
      <c r="AEG96" s="627"/>
      <c r="AEH96" s="627"/>
      <c r="AEI96" s="627"/>
      <c r="AEJ96" s="627"/>
      <c r="AEK96" s="627"/>
      <c r="AEL96" s="627"/>
      <c r="AEM96" s="627"/>
      <c r="AEN96" s="627"/>
      <c r="AEO96" s="627"/>
      <c r="AEP96" s="627"/>
      <c r="AEQ96" s="627"/>
      <c r="AER96" s="627"/>
      <c r="AES96" s="627"/>
      <c r="AET96" s="627"/>
      <c r="AEU96" s="627"/>
      <c r="AEV96" s="627"/>
      <c r="AEW96" s="627"/>
      <c r="AEX96" s="627"/>
      <c r="AEY96" s="627"/>
      <c r="AEZ96" s="627"/>
      <c r="AFA96" s="627"/>
      <c r="AFB96" s="627"/>
      <c r="AFC96" s="627"/>
      <c r="AFD96" s="627"/>
      <c r="AFE96" s="627"/>
      <c r="AFF96" s="627"/>
      <c r="AFG96" s="627"/>
      <c r="AFH96" s="627"/>
      <c r="AFI96" s="627"/>
      <c r="AFJ96" s="627"/>
      <c r="AFK96" s="627"/>
      <c r="AFL96" s="627"/>
      <c r="AFM96" s="627"/>
      <c r="AFN96" s="627"/>
      <c r="AFO96" s="627"/>
      <c r="AFP96" s="627"/>
      <c r="AFQ96" s="627"/>
      <c r="AFR96" s="627"/>
      <c r="AFS96" s="627"/>
      <c r="AFT96" s="627"/>
      <c r="AFU96" s="627"/>
      <c r="AFV96" s="627"/>
      <c r="AFW96" s="627"/>
      <c r="AFX96" s="627"/>
      <c r="AFY96" s="627"/>
      <c r="AFZ96" s="627"/>
      <c r="AGA96" s="627"/>
      <c r="AGB96" s="627"/>
      <c r="AGC96" s="627"/>
      <c r="AGD96" s="627"/>
      <c r="AGE96" s="627"/>
      <c r="AGF96" s="627"/>
      <c r="AGG96" s="627"/>
      <c r="AGH96" s="627"/>
      <c r="AGI96" s="627"/>
      <c r="AGJ96" s="627"/>
      <c r="AGK96" s="627"/>
      <c r="AGL96" s="627"/>
      <c r="AGM96" s="627"/>
      <c r="AGN96" s="627"/>
      <c r="AGO96" s="627"/>
      <c r="AGP96" s="627"/>
      <c r="AGQ96" s="627"/>
      <c r="AGR96" s="627"/>
      <c r="AGS96" s="627"/>
      <c r="AGT96" s="627"/>
      <c r="AGU96" s="627"/>
      <c r="AGV96" s="627"/>
      <c r="AGW96" s="627"/>
      <c r="AGX96" s="627"/>
      <c r="AGY96" s="627"/>
      <c r="AGZ96" s="627"/>
      <c r="AHA96" s="627"/>
      <c r="AHB96" s="627"/>
      <c r="AHC96" s="627"/>
      <c r="AHD96" s="627"/>
      <c r="AHE96" s="627"/>
      <c r="AHF96" s="627"/>
      <c r="AHG96" s="627"/>
      <c r="AHH96" s="627"/>
      <c r="AHI96" s="627"/>
      <c r="AHJ96" s="627"/>
      <c r="AHK96" s="627"/>
      <c r="AHL96" s="627"/>
      <c r="AHM96" s="627"/>
      <c r="AHN96" s="627"/>
      <c r="AHO96" s="627"/>
      <c r="AHP96" s="627"/>
      <c r="AHQ96" s="627"/>
      <c r="AHR96" s="627"/>
      <c r="AHS96" s="627"/>
      <c r="AHT96" s="627"/>
      <c r="AHU96" s="627"/>
      <c r="AHV96" s="627"/>
      <c r="AHW96" s="627"/>
      <c r="AHX96" s="627"/>
      <c r="AHY96" s="627"/>
      <c r="AHZ96" s="627"/>
      <c r="AIA96" s="627"/>
      <c r="AIB96" s="627"/>
      <c r="AIC96" s="627"/>
      <c r="AID96" s="627"/>
      <c r="AIE96" s="627"/>
      <c r="AIF96" s="627"/>
      <c r="AIG96" s="627"/>
      <c r="AIH96" s="627"/>
      <c r="AII96" s="627"/>
      <c r="AIJ96" s="627"/>
      <c r="AIK96" s="627"/>
      <c r="AIL96" s="627"/>
      <c r="AIM96" s="627"/>
      <c r="AIN96" s="627"/>
      <c r="AIO96" s="627"/>
      <c r="AIP96" s="627"/>
      <c r="AIQ96" s="627"/>
      <c r="AIR96" s="627"/>
      <c r="AIS96" s="627"/>
      <c r="AIT96" s="627"/>
      <c r="AIU96" s="627"/>
      <c r="AIV96" s="627"/>
      <c r="AIW96" s="627"/>
      <c r="AIX96" s="627"/>
      <c r="AIY96" s="627"/>
      <c r="AIZ96" s="627"/>
      <c r="AJA96" s="627"/>
      <c r="AJB96" s="627"/>
      <c r="AJC96" s="627"/>
      <c r="AJD96" s="627"/>
      <c r="AJE96" s="627"/>
      <c r="AJF96" s="627"/>
      <c r="AJG96" s="627"/>
      <c r="AJH96" s="627"/>
      <c r="AJI96" s="627"/>
      <c r="AJJ96" s="627"/>
      <c r="AJK96" s="627"/>
      <c r="AJL96" s="627"/>
      <c r="AJM96" s="627"/>
      <c r="AJN96" s="627"/>
      <c r="AJO96" s="627"/>
      <c r="AJP96" s="627"/>
      <c r="AJQ96" s="627"/>
      <c r="AJR96" s="627"/>
      <c r="AJS96" s="627"/>
      <c r="AJT96" s="627"/>
      <c r="AJU96" s="627"/>
      <c r="AJV96" s="627"/>
      <c r="AJW96" s="627"/>
      <c r="AJX96" s="627"/>
      <c r="AJY96" s="627"/>
      <c r="AJZ96" s="627"/>
      <c r="AKA96" s="627"/>
      <c r="AKB96" s="627"/>
      <c r="AKC96" s="627"/>
      <c r="AKD96" s="627"/>
      <c r="AKE96" s="627"/>
      <c r="AKF96" s="627"/>
      <c r="AKG96" s="627"/>
      <c r="AKH96" s="627"/>
      <c r="AKI96" s="627"/>
      <c r="AKJ96" s="627"/>
      <c r="AKK96" s="627"/>
      <c r="AKL96" s="627"/>
      <c r="AKM96" s="627"/>
      <c r="AKN96" s="627"/>
      <c r="AKO96" s="627"/>
      <c r="AKP96" s="627"/>
      <c r="AKQ96" s="627"/>
      <c r="AKR96" s="627"/>
      <c r="AKS96" s="627"/>
      <c r="AKT96" s="627"/>
      <c r="AKU96" s="627"/>
      <c r="AKV96" s="627"/>
      <c r="AKW96" s="627"/>
      <c r="AKX96" s="627"/>
      <c r="AKY96" s="627"/>
      <c r="AKZ96" s="627"/>
      <c r="ALA96" s="627"/>
      <c r="ALB96" s="627"/>
      <c r="ALC96" s="627"/>
      <c r="ALD96" s="627"/>
      <c r="ALE96" s="627"/>
      <c r="ALF96" s="627"/>
      <c r="ALG96" s="627"/>
      <c r="ALH96" s="627"/>
      <c r="ALI96" s="627"/>
      <c r="ALJ96" s="627"/>
      <c r="ALK96" s="627"/>
      <c r="ALL96" s="627"/>
      <c r="ALM96" s="627"/>
      <c r="ALN96" s="627"/>
      <c r="ALO96" s="627"/>
      <c r="ALP96" s="627"/>
      <c r="ALQ96" s="627"/>
      <c r="ALR96" s="627"/>
      <c r="ALS96" s="627"/>
      <c r="ALT96" s="627"/>
      <c r="ALU96" s="627"/>
      <c r="ALV96" s="627"/>
      <c r="ALW96" s="627"/>
      <c r="ALX96" s="627"/>
      <c r="ALY96" s="627"/>
      <c r="ALZ96" s="627"/>
      <c r="AMA96" s="627"/>
      <c r="AMB96" s="627"/>
      <c r="AMC96" s="627"/>
      <c r="AMD96" s="627"/>
      <c r="AME96" s="627"/>
      <c r="AMF96" s="627"/>
    </row>
    <row r="97" spans="42:73" s="627" customFormat="1" ht="12.75" customHeight="1" x14ac:dyDescent="0.15">
      <c r="AP97" s="627" t="s">
        <v>787</v>
      </c>
      <c r="BA97" s="629" t="s">
        <v>1279</v>
      </c>
      <c r="BF97" s="485"/>
      <c r="BG97" s="486"/>
      <c r="BH97" s="436"/>
      <c r="BI97" s="436"/>
      <c r="BJ97" s="436"/>
      <c r="BK97" s="436"/>
      <c r="BL97" s="436"/>
      <c r="BM97" s="436"/>
      <c r="BN97" s="436"/>
      <c r="BO97" s="436"/>
      <c r="BP97" s="436"/>
      <c r="BQ97" s="436"/>
      <c r="BR97" s="436"/>
      <c r="BS97" s="436"/>
      <c r="BT97" s="436"/>
      <c r="BU97" s="436"/>
    </row>
    <row r="98" spans="42:73" s="627" customFormat="1" ht="12.75" customHeight="1" x14ac:dyDescent="0.15">
      <c r="AP98" s="627" t="s">
        <v>786</v>
      </c>
      <c r="BA98" s="629" t="s">
        <v>1250</v>
      </c>
      <c r="BF98" s="485"/>
      <c r="BG98" s="486"/>
      <c r="BH98" s="436"/>
      <c r="BI98" s="436"/>
      <c r="BJ98" s="436"/>
      <c r="BK98" s="436"/>
      <c r="BL98" s="436"/>
      <c r="BM98" s="436"/>
      <c r="BN98" s="436"/>
      <c r="BO98" s="436"/>
      <c r="BP98" s="436"/>
      <c r="BQ98" s="436"/>
      <c r="BR98" s="436"/>
      <c r="BS98" s="436"/>
      <c r="BT98" s="436"/>
      <c r="BU98" s="436"/>
    </row>
    <row r="99" spans="42:73" s="627" customFormat="1" ht="12.75" customHeight="1" x14ac:dyDescent="0.15">
      <c r="AP99" s="627" t="s">
        <v>785</v>
      </c>
      <c r="BA99" s="629" t="s">
        <v>1278</v>
      </c>
      <c r="BF99" s="485"/>
      <c r="BG99" s="486"/>
      <c r="BH99" s="436"/>
      <c r="BI99" s="436"/>
      <c r="BJ99" s="436"/>
      <c r="BK99" s="436"/>
      <c r="BL99" s="436"/>
      <c r="BM99" s="436"/>
      <c r="BN99" s="436"/>
      <c r="BO99" s="436"/>
      <c r="BP99" s="436"/>
      <c r="BQ99" s="436"/>
      <c r="BR99" s="436"/>
      <c r="BS99" s="436"/>
      <c r="BT99" s="436"/>
      <c r="BU99" s="436"/>
    </row>
    <row r="100" spans="42:73" s="627" customFormat="1" ht="12.75" customHeight="1" x14ac:dyDescent="0.15">
      <c r="AP100" s="627" t="s">
        <v>784</v>
      </c>
      <c r="BA100" s="629" t="s">
        <v>1277</v>
      </c>
      <c r="BF100" s="485"/>
      <c r="BG100" s="486"/>
      <c r="BH100" s="436"/>
      <c r="BI100" s="436"/>
      <c r="BJ100" s="436"/>
      <c r="BK100" s="436"/>
      <c r="BL100" s="436"/>
      <c r="BM100" s="436"/>
      <c r="BN100" s="436"/>
      <c r="BO100" s="436"/>
      <c r="BP100" s="436"/>
      <c r="BQ100" s="436"/>
      <c r="BR100" s="436"/>
      <c r="BS100" s="436"/>
      <c r="BT100" s="436"/>
      <c r="BU100" s="436"/>
    </row>
    <row r="101" spans="42:73" s="627" customFormat="1" ht="12.75" customHeight="1" x14ac:dyDescent="0.15">
      <c r="AP101" s="627" t="s">
        <v>783</v>
      </c>
      <c r="BA101" s="629" t="s">
        <v>1276</v>
      </c>
      <c r="BF101" s="485"/>
      <c r="BG101" s="486"/>
      <c r="BH101" s="436"/>
      <c r="BI101" s="436"/>
      <c r="BJ101" s="436"/>
      <c r="BK101" s="436"/>
      <c r="BL101" s="436"/>
      <c r="BM101" s="436"/>
      <c r="BN101" s="436"/>
      <c r="BO101" s="436"/>
      <c r="BP101" s="436"/>
      <c r="BQ101" s="436"/>
      <c r="BR101" s="436"/>
      <c r="BS101" s="436"/>
      <c r="BT101" s="436"/>
      <c r="BU101" s="436"/>
    </row>
    <row r="102" spans="42:73" s="627" customFormat="1" ht="12.75" customHeight="1" x14ac:dyDescent="0.15">
      <c r="AP102" s="627" t="s">
        <v>782</v>
      </c>
      <c r="BA102" s="629" t="s">
        <v>1275</v>
      </c>
      <c r="BF102" s="485"/>
      <c r="BG102" s="486"/>
      <c r="BH102" s="436"/>
      <c r="BI102" s="436"/>
      <c r="BJ102" s="436"/>
      <c r="BK102" s="436"/>
      <c r="BL102" s="436"/>
      <c r="BM102" s="436"/>
      <c r="BN102" s="436"/>
      <c r="BO102" s="436"/>
      <c r="BP102" s="436"/>
      <c r="BQ102" s="436"/>
      <c r="BR102" s="436"/>
      <c r="BS102" s="436"/>
      <c r="BT102" s="436"/>
      <c r="BU102" s="436"/>
    </row>
    <row r="103" spans="42:73" s="627" customFormat="1" ht="12.75" customHeight="1" x14ac:dyDescent="0.15">
      <c r="AP103" s="627" t="s">
        <v>781</v>
      </c>
      <c r="BA103" s="629" t="s">
        <v>1274</v>
      </c>
      <c r="BF103" s="485"/>
      <c r="BG103" s="486"/>
      <c r="BH103" s="436"/>
      <c r="BI103" s="436"/>
      <c r="BJ103" s="436"/>
      <c r="BK103" s="436"/>
      <c r="BL103" s="436"/>
      <c r="BM103" s="436"/>
      <c r="BN103" s="436"/>
      <c r="BO103" s="436"/>
      <c r="BP103" s="436"/>
      <c r="BQ103" s="436"/>
      <c r="BR103" s="436"/>
      <c r="BS103" s="436"/>
      <c r="BT103" s="436"/>
      <c r="BU103" s="436"/>
    </row>
    <row r="104" spans="42:73" s="627" customFormat="1" ht="12.75" customHeight="1" x14ac:dyDescent="0.15">
      <c r="AP104" s="627" t="s">
        <v>780</v>
      </c>
      <c r="BA104" s="629" t="s">
        <v>1273</v>
      </c>
      <c r="BF104" s="485"/>
      <c r="BG104" s="486"/>
      <c r="BH104" s="436"/>
      <c r="BI104" s="436"/>
      <c r="BJ104" s="436"/>
      <c r="BK104" s="436"/>
      <c r="BL104" s="436"/>
      <c r="BM104" s="436"/>
      <c r="BN104" s="436"/>
      <c r="BO104" s="436"/>
      <c r="BP104" s="436"/>
      <c r="BQ104" s="436"/>
      <c r="BR104" s="436"/>
      <c r="BS104" s="436"/>
      <c r="BT104" s="436"/>
      <c r="BU104" s="436"/>
    </row>
    <row r="105" spans="42:73" s="627" customFormat="1" ht="12.75" customHeight="1" x14ac:dyDescent="0.15">
      <c r="AP105" s="627" t="s">
        <v>779</v>
      </c>
      <c r="BA105" s="629" t="s">
        <v>1272</v>
      </c>
      <c r="BF105" s="485"/>
      <c r="BG105" s="486"/>
      <c r="BH105" s="436"/>
      <c r="BI105" s="436"/>
      <c r="BJ105" s="436"/>
      <c r="BK105" s="436"/>
      <c r="BL105" s="436"/>
      <c r="BM105" s="436"/>
      <c r="BN105" s="436"/>
      <c r="BO105" s="436"/>
      <c r="BP105" s="436"/>
      <c r="BQ105" s="436"/>
      <c r="BR105" s="436"/>
      <c r="BS105" s="436"/>
      <c r="BT105" s="436"/>
      <c r="BU105" s="436"/>
    </row>
    <row r="106" spans="42:73" s="627" customFormat="1" ht="12.75" customHeight="1" x14ac:dyDescent="0.15">
      <c r="AP106" s="627" t="s">
        <v>778</v>
      </c>
      <c r="BA106" s="629" t="s">
        <v>1271</v>
      </c>
      <c r="BF106" s="485"/>
      <c r="BG106" s="486"/>
      <c r="BH106" s="436"/>
      <c r="BI106" s="436"/>
      <c r="BJ106" s="436"/>
      <c r="BK106" s="436"/>
      <c r="BL106" s="436"/>
      <c r="BM106" s="436"/>
      <c r="BN106" s="436"/>
      <c r="BO106" s="436"/>
      <c r="BP106" s="436"/>
      <c r="BQ106" s="436"/>
      <c r="BR106" s="436"/>
      <c r="BS106" s="436"/>
      <c r="BT106" s="436"/>
      <c r="BU106" s="436"/>
    </row>
    <row r="107" spans="42:73" s="627" customFormat="1" ht="12.75" customHeight="1" x14ac:dyDescent="0.15">
      <c r="AP107" s="627" t="s">
        <v>777</v>
      </c>
      <c r="BA107" s="629" t="s">
        <v>1270</v>
      </c>
      <c r="BF107" s="485"/>
      <c r="BG107" s="486"/>
      <c r="BH107" s="436"/>
      <c r="BI107" s="436"/>
      <c r="BJ107" s="436"/>
      <c r="BK107" s="436"/>
      <c r="BL107" s="436"/>
      <c r="BM107" s="436"/>
      <c r="BN107" s="436"/>
      <c r="BO107" s="436"/>
      <c r="BP107" s="436"/>
      <c r="BQ107" s="436"/>
      <c r="BR107" s="436"/>
      <c r="BS107" s="436"/>
      <c r="BT107" s="436"/>
      <c r="BU107" s="436"/>
    </row>
    <row r="108" spans="42:73" s="627" customFormat="1" ht="12.75" customHeight="1" x14ac:dyDescent="0.15">
      <c r="AP108" s="627" t="s">
        <v>776</v>
      </c>
      <c r="BA108" s="629" t="s">
        <v>1269</v>
      </c>
      <c r="BF108" s="485"/>
      <c r="BG108" s="486"/>
      <c r="BH108" s="436"/>
      <c r="BI108" s="436"/>
      <c r="BJ108" s="436"/>
      <c r="BK108" s="436"/>
      <c r="BL108" s="436"/>
      <c r="BM108" s="436"/>
      <c r="BN108" s="436"/>
      <c r="BO108" s="436"/>
      <c r="BP108" s="436"/>
      <c r="BQ108" s="436"/>
      <c r="BR108" s="436"/>
      <c r="BS108" s="436"/>
      <c r="BT108" s="436"/>
      <c r="BU108" s="436"/>
    </row>
    <row r="109" spans="42:73" s="627" customFormat="1" ht="12.75" customHeight="1" x14ac:dyDescent="0.15">
      <c r="AP109" s="627" t="s">
        <v>775</v>
      </c>
      <c r="BA109" s="629" t="s">
        <v>1268</v>
      </c>
      <c r="BF109" s="485"/>
      <c r="BG109" s="486"/>
      <c r="BH109" s="436"/>
      <c r="BI109" s="436"/>
      <c r="BJ109" s="436"/>
      <c r="BK109" s="436"/>
      <c r="BL109" s="436"/>
      <c r="BM109" s="436"/>
      <c r="BN109" s="436"/>
      <c r="BO109" s="436"/>
      <c r="BP109" s="436"/>
      <c r="BQ109" s="436"/>
      <c r="BR109" s="436"/>
      <c r="BS109" s="436"/>
      <c r="BT109" s="436"/>
      <c r="BU109" s="436"/>
    </row>
    <row r="110" spans="42:73" s="627" customFormat="1" ht="12.75" customHeight="1" x14ac:dyDescent="0.15">
      <c r="AP110" s="627" t="s">
        <v>774</v>
      </c>
      <c r="BA110" s="629" t="s">
        <v>1267</v>
      </c>
      <c r="BF110" s="485"/>
      <c r="BG110" s="486"/>
      <c r="BH110" s="436"/>
      <c r="BI110" s="436"/>
      <c r="BJ110" s="436"/>
      <c r="BK110" s="436"/>
      <c r="BL110" s="436"/>
      <c r="BM110" s="436"/>
      <c r="BN110" s="436"/>
      <c r="BO110" s="436"/>
      <c r="BP110" s="436"/>
      <c r="BQ110" s="436"/>
      <c r="BR110" s="436"/>
      <c r="BS110" s="436"/>
      <c r="BT110" s="436"/>
      <c r="BU110" s="436"/>
    </row>
    <row r="111" spans="42:73" s="627" customFormat="1" ht="12.75" customHeight="1" x14ac:dyDescent="0.15">
      <c r="BA111" s="629" t="s">
        <v>1266</v>
      </c>
      <c r="BF111" s="485"/>
      <c r="BG111" s="486"/>
      <c r="BH111" s="436"/>
      <c r="BI111" s="436"/>
      <c r="BJ111" s="436"/>
      <c r="BK111" s="436"/>
      <c r="BL111" s="436"/>
      <c r="BM111" s="436"/>
      <c r="BN111" s="436"/>
      <c r="BO111" s="436"/>
      <c r="BP111" s="436"/>
      <c r="BQ111" s="436"/>
      <c r="BR111" s="436"/>
      <c r="BS111" s="436"/>
      <c r="BT111" s="436"/>
      <c r="BU111" s="436"/>
    </row>
    <row r="112" spans="42:73" s="627" customFormat="1" ht="12.75" customHeight="1" x14ac:dyDescent="0.15">
      <c r="BA112" s="629" t="s">
        <v>1265</v>
      </c>
      <c r="BF112" s="485"/>
      <c r="BG112" s="486"/>
      <c r="BH112" s="436"/>
      <c r="BI112" s="436"/>
      <c r="BJ112" s="436"/>
      <c r="BK112" s="436"/>
      <c r="BL112" s="436"/>
      <c r="BM112" s="436"/>
      <c r="BN112" s="436"/>
      <c r="BO112" s="436"/>
      <c r="BP112" s="436"/>
      <c r="BQ112" s="436"/>
      <c r="BR112" s="436"/>
      <c r="BS112" s="436"/>
      <c r="BT112" s="436"/>
      <c r="BU112" s="436"/>
    </row>
    <row r="113" spans="53:73" s="627" customFormat="1" ht="12.75" customHeight="1" x14ac:dyDescent="0.15">
      <c r="BA113" s="629" t="s">
        <v>1264</v>
      </c>
      <c r="BF113" s="485"/>
      <c r="BG113" s="486"/>
      <c r="BH113" s="436"/>
      <c r="BI113" s="436"/>
      <c r="BJ113" s="436"/>
      <c r="BK113" s="436"/>
      <c r="BL113" s="436"/>
      <c r="BM113" s="436"/>
      <c r="BN113" s="436"/>
      <c r="BO113" s="436"/>
      <c r="BP113" s="436"/>
      <c r="BQ113" s="436"/>
      <c r="BR113" s="436"/>
      <c r="BS113" s="436"/>
      <c r="BT113" s="436"/>
      <c r="BU113" s="436"/>
    </row>
    <row r="114" spans="53:73" s="627" customFormat="1" ht="12.75" customHeight="1" x14ac:dyDescent="0.15">
      <c r="BA114" s="629" t="s">
        <v>1263</v>
      </c>
      <c r="BF114" s="485"/>
      <c r="BG114" s="486"/>
      <c r="BH114" s="436"/>
      <c r="BI114" s="436"/>
      <c r="BJ114" s="436"/>
      <c r="BK114" s="436"/>
      <c r="BL114" s="436"/>
      <c r="BM114" s="436"/>
      <c r="BN114" s="436"/>
      <c r="BO114" s="436"/>
      <c r="BP114" s="436"/>
      <c r="BQ114" s="436"/>
      <c r="BR114" s="436"/>
      <c r="BS114" s="436"/>
      <c r="BT114" s="436"/>
      <c r="BU114" s="436"/>
    </row>
    <row r="115" spans="53:73" s="627" customFormat="1" ht="12.75" customHeight="1" x14ac:dyDescent="0.15">
      <c r="BA115" s="629" t="s">
        <v>1262</v>
      </c>
      <c r="BF115" s="485"/>
      <c r="BG115" s="486"/>
      <c r="BH115" s="436"/>
      <c r="BI115" s="436"/>
      <c r="BJ115" s="436"/>
      <c r="BK115" s="436"/>
      <c r="BL115" s="436"/>
      <c r="BM115" s="436"/>
      <c r="BN115" s="436"/>
      <c r="BO115" s="436"/>
      <c r="BP115" s="436"/>
      <c r="BQ115" s="436"/>
      <c r="BR115" s="436"/>
      <c r="BS115" s="436"/>
      <c r="BT115" s="436"/>
      <c r="BU115" s="436"/>
    </row>
    <row r="116" spans="53:73" s="627" customFormat="1" ht="12.75" customHeight="1" x14ac:dyDescent="0.15">
      <c r="BA116" s="629" t="s">
        <v>1261</v>
      </c>
      <c r="BF116" s="485"/>
      <c r="BG116" s="486"/>
      <c r="BH116" s="436"/>
      <c r="BI116" s="436"/>
      <c r="BJ116" s="436"/>
      <c r="BK116" s="436"/>
      <c r="BL116" s="436"/>
      <c r="BM116" s="436"/>
      <c r="BN116" s="436"/>
      <c r="BO116" s="436"/>
      <c r="BP116" s="436"/>
      <c r="BQ116" s="436"/>
      <c r="BR116" s="436"/>
      <c r="BS116" s="436"/>
      <c r="BT116" s="436"/>
      <c r="BU116" s="436"/>
    </row>
    <row r="117" spans="53:73" s="627" customFormat="1" ht="12.75" customHeight="1" x14ac:dyDescent="0.15">
      <c r="BA117" s="629" t="s">
        <v>1260</v>
      </c>
      <c r="BF117" s="485"/>
      <c r="BG117" s="486"/>
      <c r="BH117" s="436"/>
      <c r="BI117" s="436"/>
      <c r="BJ117" s="436"/>
      <c r="BK117" s="436"/>
      <c r="BL117" s="436"/>
      <c r="BM117" s="436"/>
      <c r="BN117" s="436"/>
      <c r="BO117" s="436"/>
      <c r="BP117" s="436"/>
      <c r="BQ117" s="436"/>
      <c r="BR117" s="436"/>
      <c r="BS117" s="436"/>
      <c r="BT117" s="436"/>
      <c r="BU117" s="436"/>
    </row>
    <row r="118" spans="53:73" s="627" customFormat="1" ht="12.75" customHeight="1" x14ac:dyDescent="0.15">
      <c r="BA118" s="629" t="s">
        <v>1259</v>
      </c>
      <c r="BF118" s="485"/>
      <c r="BG118" s="486"/>
      <c r="BH118" s="436"/>
      <c r="BI118" s="436"/>
      <c r="BJ118" s="436"/>
      <c r="BK118" s="436"/>
      <c r="BL118" s="436"/>
      <c r="BM118" s="436"/>
      <c r="BN118" s="436"/>
      <c r="BO118" s="436"/>
      <c r="BP118" s="436"/>
      <c r="BQ118" s="436"/>
      <c r="BR118" s="436"/>
      <c r="BS118" s="436"/>
      <c r="BT118" s="436"/>
      <c r="BU118" s="436"/>
    </row>
    <row r="119" spans="53:73" s="627" customFormat="1" ht="12.75" customHeight="1" x14ac:dyDescent="0.15">
      <c r="BA119" s="629" t="s">
        <v>1258</v>
      </c>
      <c r="BF119" s="485"/>
      <c r="BG119" s="486"/>
      <c r="BH119" s="436"/>
      <c r="BI119" s="436"/>
      <c r="BJ119" s="436"/>
      <c r="BK119" s="436"/>
      <c r="BL119" s="436"/>
      <c r="BM119" s="436"/>
      <c r="BN119" s="436"/>
      <c r="BO119" s="436"/>
      <c r="BP119" s="436"/>
      <c r="BQ119" s="436"/>
      <c r="BR119" s="436"/>
      <c r="BS119" s="436"/>
      <c r="BT119" s="436"/>
      <c r="BU119" s="436"/>
    </row>
    <row r="120" spans="53:73" s="627" customFormat="1" ht="12.75" customHeight="1" x14ac:dyDescent="0.15">
      <c r="BA120" s="629" t="s">
        <v>1251</v>
      </c>
      <c r="BF120" s="485"/>
      <c r="BG120" s="486"/>
      <c r="BH120" s="436"/>
      <c r="BI120" s="436"/>
      <c r="BJ120" s="436"/>
      <c r="BK120" s="436"/>
      <c r="BL120" s="436"/>
      <c r="BM120" s="436"/>
      <c r="BN120" s="436"/>
      <c r="BO120" s="436"/>
      <c r="BP120" s="436"/>
      <c r="BQ120" s="436"/>
      <c r="BR120" s="436"/>
      <c r="BS120" s="436"/>
      <c r="BT120" s="436"/>
      <c r="BU120" s="436"/>
    </row>
    <row r="121" spans="53:73" s="627" customFormat="1" ht="12.75" customHeight="1" x14ac:dyDescent="0.15">
      <c r="BA121" s="630" t="s">
        <v>1252</v>
      </c>
      <c r="BF121" s="485"/>
      <c r="BG121" s="486"/>
      <c r="BH121" s="436"/>
      <c r="BI121" s="436"/>
      <c r="BJ121" s="436"/>
      <c r="BK121" s="436"/>
      <c r="BL121" s="436"/>
      <c r="BM121" s="436"/>
      <c r="BN121" s="436"/>
      <c r="BO121" s="436"/>
      <c r="BP121" s="436"/>
      <c r="BQ121" s="436"/>
      <c r="BR121" s="436"/>
      <c r="BS121" s="436"/>
      <c r="BT121" s="436"/>
      <c r="BU121" s="436"/>
    </row>
    <row r="122" spans="53:73" s="627" customFormat="1" ht="12.75" customHeight="1" x14ac:dyDescent="0.15">
      <c r="BA122" s="630" t="s">
        <v>1253</v>
      </c>
      <c r="BF122" s="485"/>
      <c r="BG122" s="486"/>
      <c r="BH122" s="436"/>
      <c r="BI122" s="436"/>
      <c r="BJ122" s="436"/>
      <c r="BK122" s="436"/>
      <c r="BL122" s="436"/>
      <c r="BM122" s="436"/>
      <c r="BN122" s="436"/>
      <c r="BO122" s="436"/>
      <c r="BP122" s="436"/>
      <c r="BQ122" s="436"/>
      <c r="BR122" s="436"/>
      <c r="BS122" s="436"/>
      <c r="BT122" s="436"/>
      <c r="BU122" s="436"/>
    </row>
    <row r="123" spans="53:73" s="627" customFormat="1" ht="12.75" customHeight="1" x14ac:dyDescent="0.15">
      <c r="BA123" s="630" t="s">
        <v>1254</v>
      </c>
      <c r="BF123" s="485"/>
      <c r="BG123" s="486"/>
      <c r="BH123" s="436"/>
      <c r="BI123" s="436"/>
      <c r="BJ123" s="436"/>
      <c r="BK123" s="436"/>
      <c r="BL123" s="436"/>
      <c r="BM123" s="436"/>
      <c r="BN123" s="436"/>
      <c r="BO123" s="436"/>
      <c r="BP123" s="436"/>
      <c r="BQ123" s="436"/>
      <c r="BR123" s="436"/>
      <c r="BS123" s="436"/>
      <c r="BT123" s="436"/>
      <c r="BU123" s="436"/>
    </row>
    <row r="124" spans="53:73" s="627" customFormat="1" ht="12.75" customHeight="1" x14ac:dyDescent="0.15">
      <c r="BA124" s="629" t="s">
        <v>1255</v>
      </c>
      <c r="BF124" s="485"/>
      <c r="BG124" s="486"/>
      <c r="BH124" s="436"/>
      <c r="BI124" s="436"/>
      <c r="BJ124" s="436"/>
      <c r="BK124" s="436"/>
      <c r="BL124" s="436"/>
      <c r="BM124" s="436"/>
      <c r="BN124" s="436"/>
      <c r="BO124" s="436"/>
      <c r="BP124" s="436"/>
      <c r="BQ124" s="436"/>
      <c r="BR124" s="436"/>
      <c r="BS124" s="436"/>
      <c r="BT124" s="436"/>
      <c r="BU124" s="436"/>
    </row>
    <row r="125" spans="53:73" s="627" customFormat="1" ht="12.75" customHeight="1" x14ac:dyDescent="0.15">
      <c r="BA125" s="630" t="s">
        <v>1256</v>
      </c>
      <c r="BF125" s="485"/>
      <c r="BG125" s="486"/>
      <c r="BH125" s="436"/>
      <c r="BI125" s="436"/>
      <c r="BJ125" s="436"/>
      <c r="BK125" s="436"/>
      <c r="BL125" s="436"/>
      <c r="BM125" s="436"/>
      <c r="BN125" s="436"/>
      <c r="BO125" s="436"/>
      <c r="BP125" s="436"/>
      <c r="BQ125" s="436"/>
      <c r="BR125" s="436"/>
      <c r="BS125" s="436"/>
      <c r="BT125" s="436"/>
      <c r="BU125" s="436"/>
    </row>
    <row r="126" spans="53:73" s="627" customFormat="1" ht="12.75" customHeight="1" x14ac:dyDescent="0.15">
      <c r="BA126" s="629" t="s">
        <v>1257</v>
      </c>
      <c r="BF126" s="485"/>
      <c r="BG126" s="486"/>
      <c r="BH126" s="436"/>
      <c r="BI126" s="436"/>
      <c r="BJ126" s="436"/>
      <c r="BK126" s="436"/>
      <c r="BL126" s="436"/>
      <c r="BM126" s="436"/>
      <c r="BN126" s="436"/>
      <c r="BO126" s="436"/>
      <c r="BP126" s="436"/>
      <c r="BQ126" s="436"/>
      <c r="BR126" s="436"/>
      <c r="BS126" s="436"/>
      <c r="BT126" s="436"/>
      <c r="BU126" s="436"/>
    </row>
    <row r="127" spans="53:73" s="627" customFormat="1" ht="12.75" customHeight="1" x14ac:dyDescent="0.15">
      <c r="BA127" s="629" t="s">
        <v>1280</v>
      </c>
      <c r="BF127" s="485"/>
      <c r="BG127" s="486"/>
      <c r="BH127" s="436"/>
      <c r="BI127" s="436"/>
      <c r="BJ127" s="436"/>
      <c r="BK127" s="436"/>
      <c r="BL127" s="436"/>
      <c r="BM127" s="436"/>
      <c r="BN127" s="436"/>
      <c r="BO127" s="436"/>
      <c r="BP127" s="436"/>
      <c r="BQ127" s="436"/>
      <c r="BR127" s="436"/>
      <c r="BS127" s="436"/>
      <c r="BT127" s="436"/>
      <c r="BU127" s="436"/>
    </row>
    <row r="128" spans="53:73" s="627" customFormat="1" ht="12.75" customHeight="1" x14ac:dyDescent="0.15">
      <c r="BA128" s="629" t="s">
        <v>1281</v>
      </c>
      <c r="BF128" s="485"/>
      <c r="BG128" s="486"/>
      <c r="BH128" s="436"/>
      <c r="BI128" s="436"/>
      <c r="BJ128" s="436"/>
      <c r="BK128" s="436"/>
      <c r="BL128" s="436"/>
      <c r="BM128" s="436"/>
      <c r="BN128" s="436"/>
      <c r="BO128" s="436"/>
      <c r="BP128" s="436"/>
      <c r="BQ128" s="436"/>
      <c r="BR128" s="436"/>
      <c r="BS128" s="436"/>
      <c r="BT128" s="436"/>
      <c r="BU128" s="436"/>
    </row>
    <row r="129" spans="53:73" s="627" customFormat="1" ht="12.75" customHeight="1" x14ac:dyDescent="0.15">
      <c r="BA129" s="630" t="s">
        <v>1282</v>
      </c>
      <c r="BF129" s="485"/>
      <c r="BG129" s="486"/>
      <c r="BH129" s="436"/>
      <c r="BI129" s="436"/>
      <c r="BJ129" s="436"/>
      <c r="BK129" s="436"/>
      <c r="BL129" s="436"/>
      <c r="BM129" s="436"/>
      <c r="BN129" s="436"/>
      <c r="BO129" s="436"/>
      <c r="BP129" s="436"/>
      <c r="BQ129" s="436"/>
      <c r="BR129" s="436"/>
      <c r="BS129" s="436"/>
      <c r="BT129" s="436"/>
      <c r="BU129" s="436"/>
    </row>
    <row r="130" spans="53:73" s="627" customFormat="1" ht="12.75" customHeight="1" x14ac:dyDescent="0.15">
      <c r="BA130" s="629" t="s">
        <v>1283</v>
      </c>
      <c r="BF130" s="485"/>
      <c r="BG130" s="486"/>
      <c r="BH130" s="436"/>
      <c r="BI130" s="436"/>
      <c r="BJ130" s="436"/>
      <c r="BK130" s="436"/>
      <c r="BL130" s="436"/>
      <c r="BM130" s="436"/>
      <c r="BN130" s="436"/>
      <c r="BO130" s="436"/>
      <c r="BP130" s="436"/>
      <c r="BQ130" s="436"/>
      <c r="BR130" s="436"/>
      <c r="BS130" s="436"/>
      <c r="BT130" s="436"/>
      <c r="BU130" s="436"/>
    </row>
    <row r="131" spans="53:73" s="627" customFormat="1" ht="12.75" customHeight="1" x14ac:dyDescent="0.15">
      <c r="BA131" s="629" t="s">
        <v>1284</v>
      </c>
      <c r="BF131" s="485"/>
      <c r="BG131" s="486"/>
      <c r="BH131" s="436"/>
      <c r="BI131" s="436"/>
      <c r="BJ131" s="436"/>
      <c r="BK131" s="436"/>
      <c r="BL131" s="436"/>
      <c r="BM131" s="436"/>
      <c r="BN131" s="436"/>
      <c r="BO131" s="436"/>
      <c r="BP131" s="436"/>
      <c r="BQ131" s="436"/>
      <c r="BR131" s="436"/>
      <c r="BS131" s="436"/>
      <c r="BT131" s="436"/>
      <c r="BU131" s="436"/>
    </row>
    <row r="132" spans="53:73" s="627" customFormat="1" ht="12.75" customHeight="1" x14ac:dyDescent="0.15">
      <c r="BA132" s="629" t="s">
        <v>1285</v>
      </c>
      <c r="BF132" s="485"/>
      <c r="BG132" s="486"/>
      <c r="BH132" s="436"/>
      <c r="BI132" s="436"/>
      <c r="BJ132" s="436"/>
      <c r="BK132" s="436"/>
      <c r="BL132" s="436"/>
      <c r="BM132" s="436"/>
      <c r="BN132" s="436"/>
      <c r="BO132" s="436"/>
      <c r="BP132" s="436"/>
      <c r="BQ132" s="436"/>
      <c r="BR132" s="436"/>
      <c r="BS132" s="436"/>
      <c r="BT132" s="436"/>
      <c r="BU132" s="436"/>
    </row>
    <row r="133" spans="53:73" s="627" customFormat="1" ht="12.75" customHeight="1" x14ac:dyDescent="0.15">
      <c r="BA133" s="629" t="s">
        <v>1308</v>
      </c>
      <c r="BF133" s="485"/>
      <c r="BG133" s="486"/>
      <c r="BH133" s="436"/>
      <c r="BI133" s="436"/>
      <c r="BJ133" s="436"/>
      <c r="BK133" s="436"/>
      <c r="BL133" s="436"/>
      <c r="BM133" s="436"/>
      <c r="BN133" s="436"/>
      <c r="BO133" s="436"/>
      <c r="BP133" s="436"/>
      <c r="BQ133" s="436"/>
      <c r="BR133" s="436"/>
      <c r="BS133" s="436"/>
      <c r="BT133" s="436"/>
      <c r="BU133" s="436"/>
    </row>
    <row r="134" spans="53:73" s="627" customFormat="1" ht="12.75" customHeight="1" x14ac:dyDescent="0.15">
      <c r="BA134" s="629" t="s">
        <v>1307</v>
      </c>
      <c r="BF134" s="485"/>
      <c r="BG134" s="486"/>
      <c r="BH134" s="436"/>
      <c r="BI134" s="436"/>
      <c r="BJ134" s="436"/>
      <c r="BK134" s="436"/>
      <c r="BL134" s="436"/>
      <c r="BM134" s="436"/>
      <c r="BN134" s="436"/>
      <c r="BO134" s="436"/>
      <c r="BP134" s="436"/>
      <c r="BQ134" s="436"/>
      <c r="BR134" s="436"/>
      <c r="BS134" s="436"/>
      <c r="BT134" s="436"/>
      <c r="BU134" s="436"/>
    </row>
    <row r="135" spans="53:73" s="627" customFormat="1" ht="12.75" customHeight="1" x14ac:dyDescent="0.15">
      <c r="BA135" s="629" t="s">
        <v>1309</v>
      </c>
      <c r="BF135" s="485"/>
      <c r="BG135" s="486"/>
      <c r="BH135" s="436"/>
      <c r="BI135" s="436"/>
      <c r="BJ135" s="436"/>
      <c r="BK135" s="436"/>
      <c r="BL135" s="436"/>
      <c r="BM135" s="436"/>
      <c r="BN135" s="436"/>
      <c r="BO135" s="436"/>
      <c r="BP135" s="436"/>
      <c r="BQ135" s="436"/>
      <c r="BR135" s="436"/>
      <c r="BS135" s="436"/>
      <c r="BT135" s="436"/>
      <c r="BU135" s="436"/>
    </row>
    <row r="136" spans="53:73" s="627" customFormat="1" ht="12.75" customHeight="1" x14ac:dyDescent="0.15">
      <c r="BA136" s="629" t="s">
        <v>1306</v>
      </c>
      <c r="BF136" s="485"/>
      <c r="BG136" s="486"/>
      <c r="BH136" s="436"/>
      <c r="BI136" s="436"/>
      <c r="BJ136" s="436"/>
      <c r="BK136" s="436"/>
      <c r="BL136" s="436"/>
      <c r="BM136" s="436"/>
      <c r="BN136" s="436"/>
      <c r="BO136" s="436"/>
      <c r="BP136" s="436"/>
      <c r="BQ136" s="436"/>
      <c r="BR136" s="436"/>
      <c r="BS136" s="436"/>
      <c r="BT136" s="436"/>
      <c r="BU136" s="436"/>
    </row>
    <row r="137" spans="53:73" s="627" customFormat="1" ht="12.75" customHeight="1" x14ac:dyDescent="0.15">
      <c r="BA137" s="629" t="s">
        <v>1305</v>
      </c>
      <c r="BF137" s="485"/>
      <c r="BG137" s="486"/>
      <c r="BH137" s="436"/>
      <c r="BI137" s="436"/>
      <c r="BJ137" s="436"/>
      <c r="BK137" s="436"/>
      <c r="BL137" s="436"/>
      <c r="BM137" s="436"/>
      <c r="BN137" s="436"/>
      <c r="BO137" s="436"/>
      <c r="BP137" s="436"/>
      <c r="BQ137" s="436"/>
      <c r="BR137" s="436"/>
      <c r="BS137" s="436"/>
      <c r="BT137" s="436"/>
      <c r="BU137" s="436"/>
    </row>
    <row r="138" spans="53:73" s="627" customFormat="1" ht="12.75" customHeight="1" x14ac:dyDescent="0.15">
      <c r="BA138" s="629" t="s">
        <v>1304</v>
      </c>
      <c r="BF138" s="485"/>
      <c r="BG138" s="486"/>
      <c r="BH138" s="436"/>
      <c r="BI138" s="436"/>
      <c r="BJ138" s="436"/>
      <c r="BK138" s="436"/>
      <c r="BL138" s="436"/>
      <c r="BM138" s="436"/>
      <c r="BN138" s="436"/>
      <c r="BO138" s="436"/>
      <c r="BP138" s="436"/>
      <c r="BQ138" s="436"/>
      <c r="BR138" s="436"/>
      <c r="BS138" s="436"/>
      <c r="BT138" s="436"/>
      <c r="BU138" s="436"/>
    </row>
    <row r="139" spans="53:73" s="627" customFormat="1" ht="12.75" customHeight="1" x14ac:dyDescent="0.15">
      <c r="BA139" s="629" t="s">
        <v>1303</v>
      </c>
      <c r="BF139" s="485"/>
      <c r="BG139" s="486"/>
      <c r="BH139" s="436"/>
      <c r="BI139" s="436"/>
      <c r="BJ139" s="436"/>
      <c r="BK139" s="436"/>
      <c r="BL139" s="436"/>
      <c r="BM139" s="436"/>
      <c r="BN139" s="436"/>
      <c r="BO139" s="436"/>
      <c r="BP139" s="436"/>
      <c r="BQ139" s="436"/>
      <c r="BR139" s="436"/>
      <c r="BS139" s="436"/>
      <c r="BT139" s="436"/>
      <c r="BU139" s="436"/>
    </row>
    <row r="140" spans="53:73" s="627" customFormat="1" ht="12.75" customHeight="1" x14ac:dyDescent="0.15">
      <c r="BA140" s="629" t="s">
        <v>1302</v>
      </c>
      <c r="BF140" s="485"/>
      <c r="BG140" s="486"/>
      <c r="BH140" s="436"/>
      <c r="BI140" s="436"/>
      <c r="BJ140" s="436"/>
      <c r="BK140" s="436"/>
      <c r="BL140" s="436"/>
      <c r="BM140" s="436"/>
      <c r="BN140" s="436"/>
      <c r="BO140" s="436"/>
      <c r="BP140" s="436"/>
      <c r="BQ140" s="436"/>
      <c r="BR140" s="436"/>
      <c r="BS140" s="436"/>
      <c r="BT140" s="436"/>
      <c r="BU140" s="436"/>
    </row>
    <row r="141" spans="53:73" s="627" customFormat="1" ht="12.75" customHeight="1" x14ac:dyDescent="0.15">
      <c r="BA141" s="629" t="s">
        <v>1300</v>
      </c>
      <c r="BF141" s="485"/>
      <c r="BG141" s="486"/>
      <c r="BH141" s="436"/>
      <c r="BI141" s="436"/>
      <c r="BJ141" s="436"/>
      <c r="BK141" s="436"/>
      <c r="BL141" s="436"/>
      <c r="BM141" s="436"/>
      <c r="BN141" s="436"/>
      <c r="BO141" s="436"/>
      <c r="BP141" s="436"/>
      <c r="BQ141" s="436"/>
      <c r="BR141" s="436"/>
      <c r="BS141" s="436"/>
      <c r="BT141" s="436"/>
      <c r="BU141" s="436"/>
    </row>
    <row r="142" spans="53:73" s="627" customFormat="1" ht="12.75" customHeight="1" x14ac:dyDescent="0.15">
      <c r="BA142" s="629" t="s">
        <v>1301</v>
      </c>
      <c r="BF142" s="485"/>
      <c r="BG142" s="486"/>
      <c r="BH142" s="436"/>
      <c r="BI142" s="436"/>
      <c r="BJ142" s="436"/>
      <c r="BK142" s="436"/>
      <c r="BL142" s="436"/>
      <c r="BM142" s="436"/>
      <c r="BN142" s="436"/>
      <c r="BO142" s="436"/>
      <c r="BP142" s="436"/>
      <c r="BQ142" s="436"/>
      <c r="BR142" s="436"/>
      <c r="BS142" s="436"/>
      <c r="BT142" s="436"/>
      <c r="BU142" s="436"/>
    </row>
    <row r="143" spans="53:73" s="627" customFormat="1" ht="12.75" customHeight="1" x14ac:dyDescent="0.15">
      <c r="BA143" s="629" t="s">
        <v>1298</v>
      </c>
      <c r="BF143" s="485"/>
      <c r="BG143" s="486"/>
      <c r="BH143" s="436"/>
      <c r="BI143" s="436"/>
      <c r="BJ143" s="436"/>
      <c r="BK143" s="436"/>
      <c r="BL143" s="436"/>
      <c r="BM143" s="436"/>
      <c r="BN143" s="436"/>
      <c r="BO143" s="436"/>
      <c r="BP143" s="436"/>
      <c r="BQ143" s="436"/>
      <c r="BR143" s="436"/>
      <c r="BS143" s="436"/>
      <c r="BT143" s="436"/>
      <c r="BU143" s="436"/>
    </row>
    <row r="144" spans="53:73" s="627" customFormat="1" ht="12.75" customHeight="1" x14ac:dyDescent="0.15">
      <c r="BA144" s="629" t="s">
        <v>1299</v>
      </c>
      <c r="BF144" s="485"/>
      <c r="BG144" s="486"/>
      <c r="BH144" s="436"/>
      <c r="BI144" s="436"/>
      <c r="BJ144" s="436"/>
      <c r="BK144" s="436"/>
      <c r="BL144" s="436"/>
      <c r="BM144" s="436"/>
      <c r="BN144" s="436"/>
      <c r="BO144" s="436"/>
      <c r="BP144" s="436"/>
      <c r="BQ144" s="436"/>
      <c r="BR144" s="436"/>
      <c r="BS144" s="436"/>
      <c r="BT144" s="436"/>
      <c r="BU144" s="436"/>
    </row>
    <row r="145" spans="53:73" s="627" customFormat="1" ht="12.75" customHeight="1" x14ac:dyDescent="0.15">
      <c r="BA145" s="629" t="s">
        <v>1297</v>
      </c>
      <c r="BF145" s="485"/>
      <c r="BG145" s="486"/>
      <c r="BH145" s="436"/>
      <c r="BI145" s="436"/>
      <c r="BJ145" s="436"/>
      <c r="BK145" s="436"/>
      <c r="BL145" s="436"/>
      <c r="BM145" s="436"/>
      <c r="BN145" s="436"/>
      <c r="BO145" s="436"/>
      <c r="BP145" s="436"/>
      <c r="BQ145" s="436"/>
      <c r="BR145" s="436"/>
      <c r="BS145" s="436"/>
      <c r="BT145" s="436"/>
      <c r="BU145" s="436"/>
    </row>
    <row r="146" spans="53:73" s="627" customFormat="1" ht="12.75" customHeight="1" x14ac:dyDescent="0.15">
      <c r="BA146" s="629" t="s">
        <v>1296</v>
      </c>
      <c r="BF146" s="485"/>
      <c r="BG146" s="486"/>
      <c r="BH146" s="436"/>
      <c r="BI146" s="436"/>
      <c r="BJ146" s="436"/>
      <c r="BK146" s="436"/>
      <c r="BL146" s="436"/>
      <c r="BM146" s="436"/>
      <c r="BN146" s="436"/>
      <c r="BO146" s="436"/>
      <c r="BP146" s="436"/>
      <c r="BQ146" s="436"/>
      <c r="BR146" s="436"/>
      <c r="BS146" s="436"/>
      <c r="BT146" s="436"/>
      <c r="BU146" s="436"/>
    </row>
    <row r="147" spans="53:73" s="627" customFormat="1" ht="12.75" customHeight="1" x14ac:dyDescent="0.15">
      <c r="BA147" s="629" t="s">
        <v>1295</v>
      </c>
      <c r="BF147" s="485"/>
      <c r="BG147" s="486"/>
      <c r="BH147" s="436"/>
      <c r="BI147" s="436"/>
      <c r="BJ147" s="436"/>
      <c r="BK147" s="436"/>
      <c r="BL147" s="436"/>
      <c r="BM147" s="436"/>
      <c r="BN147" s="436"/>
      <c r="BO147" s="436"/>
      <c r="BP147" s="436"/>
      <c r="BQ147" s="436"/>
      <c r="BR147" s="436"/>
      <c r="BS147" s="436"/>
      <c r="BT147" s="436"/>
      <c r="BU147" s="436"/>
    </row>
    <row r="148" spans="53:73" s="627" customFormat="1" ht="12.75" customHeight="1" x14ac:dyDescent="0.15">
      <c r="BA148" s="629" t="s">
        <v>1294</v>
      </c>
      <c r="BF148" s="485"/>
      <c r="BG148" s="486"/>
      <c r="BH148" s="436"/>
      <c r="BI148" s="436"/>
      <c r="BJ148" s="436"/>
      <c r="BK148" s="436"/>
      <c r="BL148" s="436"/>
      <c r="BM148" s="436"/>
      <c r="BN148" s="436"/>
      <c r="BO148" s="436"/>
      <c r="BP148" s="436"/>
      <c r="BQ148" s="436"/>
      <c r="BR148" s="436"/>
      <c r="BS148" s="436"/>
      <c r="BT148" s="436"/>
      <c r="BU148" s="436"/>
    </row>
    <row r="149" spans="53:73" s="627" customFormat="1" ht="12.75" customHeight="1" x14ac:dyDescent="0.15">
      <c r="BA149" s="629" t="s">
        <v>1293</v>
      </c>
      <c r="BF149" s="485"/>
      <c r="BG149" s="486"/>
      <c r="BH149" s="436"/>
      <c r="BI149" s="436"/>
      <c r="BJ149" s="436"/>
      <c r="BK149" s="436"/>
      <c r="BL149" s="436"/>
      <c r="BM149" s="436"/>
      <c r="BN149" s="436"/>
      <c r="BO149" s="436"/>
      <c r="BP149" s="436"/>
      <c r="BQ149" s="436"/>
      <c r="BR149" s="436"/>
      <c r="BS149" s="436"/>
      <c r="BT149" s="436"/>
      <c r="BU149" s="436"/>
    </row>
    <row r="150" spans="53:73" s="627" customFormat="1" ht="12.75" customHeight="1" x14ac:dyDescent="0.15">
      <c r="BA150" s="629" t="s">
        <v>1292</v>
      </c>
      <c r="BF150" s="485"/>
      <c r="BG150" s="486"/>
      <c r="BH150" s="436"/>
      <c r="BI150" s="436"/>
      <c r="BJ150" s="436"/>
      <c r="BK150" s="436"/>
      <c r="BL150" s="436"/>
      <c r="BM150" s="436"/>
      <c r="BN150" s="436"/>
      <c r="BO150" s="436"/>
      <c r="BP150" s="436"/>
      <c r="BQ150" s="436"/>
      <c r="BR150" s="436"/>
      <c r="BS150" s="436"/>
      <c r="BT150" s="436"/>
      <c r="BU150" s="436"/>
    </row>
    <row r="151" spans="53:73" s="627" customFormat="1" ht="12.75" customHeight="1" x14ac:dyDescent="0.15">
      <c r="BA151" s="629" t="s">
        <v>1289</v>
      </c>
      <c r="BF151" s="485"/>
      <c r="BG151" s="486"/>
      <c r="BH151" s="436"/>
      <c r="BI151" s="436"/>
      <c r="BJ151" s="436"/>
      <c r="BK151" s="436"/>
      <c r="BL151" s="436"/>
      <c r="BM151" s="436"/>
      <c r="BN151" s="436"/>
      <c r="BO151" s="436"/>
      <c r="BP151" s="436"/>
      <c r="BQ151" s="436"/>
      <c r="BR151" s="436"/>
      <c r="BS151" s="436"/>
      <c r="BT151" s="436"/>
      <c r="BU151" s="436"/>
    </row>
    <row r="152" spans="53:73" s="627" customFormat="1" ht="12.75" customHeight="1" x14ac:dyDescent="0.15">
      <c r="BA152" s="629" t="s">
        <v>1288</v>
      </c>
      <c r="BF152" s="485"/>
      <c r="BG152" s="486"/>
      <c r="BH152" s="436"/>
      <c r="BI152" s="436"/>
      <c r="BJ152" s="436"/>
      <c r="BK152" s="436"/>
      <c r="BL152" s="436"/>
      <c r="BM152" s="436"/>
      <c r="BN152" s="436"/>
      <c r="BO152" s="436"/>
      <c r="BP152" s="436"/>
      <c r="BQ152" s="436"/>
      <c r="BR152" s="436"/>
      <c r="BS152" s="436"/>
      <c r="BT152" s="436"/>
      <c r="BU152" s="436"/>
    </row>
    <row r="153" spans="53:73" s="627" customFormat="1" ht="12.75" customHeight="1" x14ac:dyDescent="0.15">
      <c r="BA153" s="629" t="s">
        <v>1287</v>
      </c>
      <c r="BF153" s="485"/>
      <c r="BG153" s="486"/>
      <c r="BH153" s="436"/>
      <c r="BI153" s="436"/>
      <c r="BJ153" s="436"/>
      <c r="BK153" s="436"/>
      <c r="BL153" s="436"/>
      <c r="BM153" s="436"/>
      <c r="BN153" s="436"/>
      <c r="BO153" s="436"/>
      <c r="BP153" s="436"/>
      <c r="BQ153" s="436"/>
      <c r="BR153" s="436"/>
      <c r="BS153" s="436"/>
      <c r="BT153" s="436"/>
      <c r="BU153" s="436"/>
    </row>
    <row r="154" spans="53:73" s="627" customFormat="1" ht="12.75" customHeight="1" x14ac:dyDescent="0.15">
      <c r="BA154" s="629" t="s">
        <v>1290</v>
      </c>
      <c r="BF154" s="485"/>
      <c r="BG154" s="486"/>
      <c r="BH154" s="436"/>
      <c r="BI154" s="436"/>
      <c r="BJ154" s="436"/>
      <c r="BK154" s="436"/>
      <c r="BL154" s="436"/>
      <c r="BM154" s="436"/>
      <c r="BN154" s="436"/>
      <c r="BO154" s="436"/>
      <c r="BP154" s="436"/>
      <c r="BQ154" s="436"/>
      <c r="BR154" s="436"/>
      <c r="BS154" s="436"/>
      <c r="BT154" s="436"/>
      <c r="BU154" s="436"/>
    </row>
    <row r="155" spans="53:73" s="627" customFormat="1" ht="12.75" customHeight="1" x14ac:dyDescent="0.15">
      <c r="BA155" s="629" t="s">
        <v>1286</v>
      </c>
      <c r="BF155" s="485"/>
      <c r="BG155" s="486"/>
      <c r="BH155" s="436"/>
      <c r="BI155" s="436"/>
      <c r="BJ155" s="436"/>
      <c r="BK155" s="436"/>
      <c r="BL155" s="436"/>
      <c r="BM155" s="436"/>
      <c r="BN155" s="436"/>
      <c r="BO155" s="436"/>
      <c r="BP155" s="436"/>
      <c r="BQ155" s="436"/>
      <c r="BR155" s="436"/>
      <c r="BS155" s="436"/>
      <c r="BT155" s="436"/>
      <c r="BU155" s="436"/>
    </row>
    <row r="156" spans="53:73" ht="12.75" customHeight="1" x14ac:dyDescent="0.15">
      <c r="BA156" s="629" t="s">
        <v>1291</v>
      </c>
    </row>
    <row r="157" spans="53:73" ht="12.75" customHeight="1" x14ac:dyDescent="0.15">
      <c r="BA157" s="627" t="s">
        <v>427</v>
      </c>
    </row>
    <row r="158" spans="53:73" ht="12.75" customHeight="1" x14ac:dyDescent="0.15">
      <c r="BA158" s="627" t="s">
        <v>428</v>
      </c>
    </row>
    <row r="159" spans="53:73" ht="12.75" customHeight="1" x14ac:dyDescent="0.15">
      <c r="BA159" s="627" t="s">
        <v>429</v>
      </c>
    </row>
    <row r="160" spans="53:73" ht="12.75" customHeight="1" x14ac:dyDescent="0.15">
      <c r="BA160" s="627" t="s">
        <v>430</v>
      </c>
    </row>
    <row r="161" spans="53:53" ht="12.75" customHeight="1" x14ac:dyDescent="0.15">
      <c r="BA161" s="627" t="s">
        <v>431</v>
      </c>
    </row>
    <row r="162" spans="53:53" ht="12.75" customHeight="1" x14ac:dyDescent="0.15">
      <c r="BA162" s="627" t="s">
        <v>432</v>
      </c>
    </row>
    <row r="163" spans="53:53" ht="12.75" customHeight="1" x14ac:dyDescent="0.15">
      <c r="BA163" s="627" t="s">
        <v>433</v>
      </c>
    </row>
    <row r="164" spans="53:53" ht="12.75" customHeight="1" x14ac:dyDescent="0.15">
      <c r="BA164" s="627" t="s">
        <v>434</v>
      </c>
    </row>
  </sheetData>
  <sheetProtection selectLockedCells="1" selectUnlockedCells="1"/>
  <phoneticPr fontId="50"/>
  <pageMargins left="0.7" right="0.7" top="0.75" bottom="0.75" header="0.51180555555555551" footer="0.51180555555555551"/>
  <pageSetup orientation="portrait" horizontalDpi="300" verticalDpi="300"/>
  <headerFooter scaleWithDoc="0"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2"/>
  <dimension ref="A1:IU68"/>
  <sheetViews>
    <sheetView tabSelected="1" zoomScale="112" zoomScaleNormal="112" workbookViewId="0"/>
  </sheetViews>
  <sheetFormatPr defaultColWidth="10" defaultRowHeight="14.1" customHeight="1" x14ac:dyDescent="0.15"/>
  <cols>
    <col min="1" max="27" width="10" style="52" bestFit="1" customWidth="1"/>
    <col min="28" max="28" width="10" style="52" bestFit="1"/>
    <col min="29" max="16384" width="10" style="52"/>
  </cols>
  <sheetData>
    <row r="1" spans="1:51" ht="14.1" customHeight="1" thickBot="1" x14ac:dyDescent="0.2">
      <c r="A1" s="174"/>
      <c r="B1" s="175"/>
      <c r="C1" s="175"/>
      <c r="D1" s="175"/>
      <c r="E1" s="174"/>
      <c r="F1" s="175"/>
      <c r="G1" s="175"/>
      <c r="H1" s="175"/>
      <c r="I1" s="174"/>
      <c r="J1" s="175"/>
      <c r="K1" s="175"/>
      <c r="L1" s="175"/>
      <c r="M1" s="174"/>
      <c r="N1" s="176"/>
      <c r="O1" s="174"/>
      <c r="P1" s="174"/>
      <c r="Q1" s="174"/>
      <c r="R1" s="174"/>
      <c r="S1" s="196"/>
      <c r="T1" s="196"/>
      <c r="U1" s="196"/>
      <c r="V1" s="196"/>
      <c r="W1" s="196"/>
      <c r="X1" s="196"/>
      <c r="Y1" s="196"/>
      <c r="Z1" s="196"/>
      <c r="AA1" s="196"/>
      <c r="AB1" s="196"/>
      <c r="AC1" s="196"/>
      <c r="AD1" s="196"/>
      <c r="AE1" s="196"/>
      <c r="AF1" s="196"/>
      <c r="AG1" s="196"/>
      <c r="AH1" s="196"/>
      <c r="AI1" s="196"/>
      <c r="AJ1" s="196"/>
      <c r="AK1" s="196"/>
      <c r="AL1"/>
      <c r="AM1"/>
      <c r="AN1"/>
      <c r="AO1"/>
      <c r="AP1"/>
      <c r="AQ1"/>
      <c r="AR1"/>
      <c r="AS1"/>
      <c r="AT1"/>
      <c r="AU1"/>
      <c r="AV1"/>
      <c r="AW1"/>
      <c r="AX1" s="1"/>
    </row>
    <row r="2" spans="1:51" ht="14.1" customHeight="1" thickBot="1" x14ac:dyDescent="0.2">
      <c r="A2" s="174"/>
      <c r="B2" s="633" t="s">
        <v>435</v>
      </c>
      <c r="C2" s="634"/>
      <c r="D2" s="634"/>
      <c r="E2" s="634"/>
      <c r="F2" s="634"/>
      <c r="G2" s="634"/>
      <c r="H2" s="635"/>
      <c r="I2" s="423" t="s">
        <v>726</v>
      </c>
      <c r="J2" s="648" t="s">
        <v>453</v>
      </c>
      <c r="K2" s="634"/>
      <c r="L2" s="649"/>
      <c r="M2" s="174"/>
      <c r="N2" s="650" t="s">
        <v>454</v>
      </c>
      <c r="O2" s="650"/>
      <c r="P2" s="650"/>
      <c r="Q2" s="650"/>
      <c r="R2" s="174"/>
      <c r="S2" s="196"/>
      <c r="T2" s="651" t="s">
        <v>455</v>
      </c>
      <c r="U2" s="651"/>
      <c r="V2" s="651"/>
      <c r="W2" s="651"/>
      <c r="X2" s="651"/>
      <c r="Y2" s="651"/>
      <c r="Z2" s="651"/>
      <c r="AA2" s="651"/>
      <c r="AB2" s="196"/>
      <c r="AC2" s="196"/>
      <c r="AD2" s="196"/>
      <c r="AE2" s="196"/>
      <c r="AF2" s="196"/>
      <c r="AG2" s="196"/>
      <c r="AH2" s="196"/>
      <c r="AI2" s="196"/>
      <c r="AJ2" s="196"/>
      <c r="AK2" s="197"/>
      <c r="AL2"/>
      <c r="AM2"/>
      <c r="AN2"/>
      <c r="AO2"/>
      <c r="AP2"/>
      <c r="AQ2"/>
      <c r="AR2"/>
      <c r="AS2"/>
      <c r="AT2"/>
      <c r="AU2"/>
      <c r="AV2"/>
      <c r="AW2"/>
      <c r="AX2" s="1"/>
    </row>
    <row r="3" spans="1:51" ht="14.1" customHeight="1" thickBot="1" x14ac:dyDescent="0.2">
      <c r="A3" s="174"/>
      <c r="B3" s="636"/>
      <c r="C3" s="637"/>
      <c r="D3" s="637"/>
      <c r="E3" s="637"/>
      <c r="F3" s="637"/>
      <c r="G3" s="637"/>
      <c r="H3" s="638"/>
      <c r="I3" s="642" t="s">
        <v>727</v>
      </c>
      <c r="J3" s="653"/>
      <c r="K3" s="654"/>
      <c r="L3" s="655"/>
      <c r="M3" s="174"/>
      <c r="N3" s="644" t="s">
        <v>456</v>
      </c>
      <c r="O3" s="644"/>
      <c r="P3" s="652" t="s">
        <v>18</v>
      </c>
      <c r="Q3" s="652"/>
      <c r="R3" s="174"/>
      <c r="S3" s="197"/>
      <c r="T3" s="197"/>
      <c r="U3" s="197"/>
      <c r="V3" s="197"/>
      <c r="W3" s="197"/>
      <c r="X3" s="197"/>
      <c r="Y3" s="197"/>
      <c r="Z3" s="197"/>
      <c r="AA3" s="197"/>
      <c r="AB3" s="196"/>
      <c r="AC3" s="643" t="s">
        <v>457</v>
      </c>
      <c r="AD3" s="643"/>
      <c r="AE3" s="643"/>
      <c r="AF3" s="258" t="s">
        <v>458</v>
      </c>
      <c r="AG3" s="643" t="s">
        <v>457</v>
      </c>
      <c r="AH3" s="643"/>
      <c r="AI3" s="643"/>
      <c r="AJ3" s="258" t="s">
        <v>458</v>
      </c>
      <c r="AK3" s="197"/>
      <c r="AL3"/>
      <c r="AM3"/>
      <c r="AN3"/>
      <c r="AO3"/>
      <c r="AP3"/>
      <c r="AQ3"/>
      <c r="AR3"/>
      <c r="AS3"/>
      <c r="AT3"/>
      <c r="AU3"/>
      <c r="AV3"/>
      <c r="AW3"/>
      <c r="AX3" s="1"/>
    </row>
    <row r="4" spans="1:51" ht="14.1" customHeight="1" thickBot="1" x14ac:dyDescent="0.2">
      <c r="A4" s="174"/>
      <c r="B4" s="639"/>
      <c r="C4" s="640"/>
      <c r="D4" s="640"/>
      <c r="E4" s="640"/>
      <c r="F4" s="640"/>
      <c r="G4" s="640"/>
      <c r="H4" s="641"/>
      <c r="I4" s="642"/>
      <c r="J4" s="656"/>
      <c r="K4" s="657"/>
      <c r="L4" s="658"/>
      <c r="M4" s="174"/>
      <c r="N4" s="644" t="s">
        <v>459</v>
      </c>
      <c r="O4" s="644"/>
      <c r="P4" s="645" t="s">
        <v>18</v>
      </c>
      <c r="Q4" s="645"/>
      <c r="R4" s="174"/>
      <c r="S4" s="197"/>
      <c r="T4" s="192"/>
      <c r="U4" s="199" t="s">
        <v>460</v>
      </c>
      <c r="V4" s="195"/>
      <c r="W4" s="199" t="s">
        <v>461</v>
      </c>
      <c r="X4" s="194"/>
      <c r="Y4" s="199" t="s">
        <v>462</v>
      </c>
      <c r="Z4" s="193"/>
      <c r="AA4" s="199" t="s">
        <v>463</v>
      </c>
      <c r="AB4" s="196"/>
      <c r="AC4" s="646" t="s">
        <v>33</v>
      </c>
      <c r="AD4" s="646"/>
      <c r="AE4" s="259">
        <f>(AA10*2)</f>
        <v>8</v>
      </c>
      <c r="AF4" s="260" t="str">
        <f>IF(AA16&lt;18,IF(AA16&lt;14,IF(AA16&lt;10,IF(AA16&lt;5,IF(AA16&lt;3,"-2","-1"),0),"+1"),"+2"),"+3")</f>
        <v>-1</v>
      </c>
      <c r="AG4" s="647" t="s">
        <v>240</v>
      </c>
      <c r="AH4" s="647"/>
      <c r="AI4" s="261">
        <f>AA14+AA15</f>
        <v>8</v>
      </c>
      <c r="AJ4" s="260" t="str">
        <f>IF(AA16&lt;18,IF(AA16&lt;14,IF(AA16&lt;10,IF(AA16&lt;5,IF(AA16&lt;3,"-2","-1"),0),"+1"),"+2"),"+3")</f>
        <v>-1</v>
      </c>
      <c r="AK4" s="197"/>
      <c r="AL4"/>
      <c r="AM4"/>
      <c r="AN4"/>
      <c r="AO4"/>
      <c r="AP4"/>
      <c r="AQ4"/>
      <c r="AR4"/>
      <c r="AS4"/>
      <c r="AT4"/>
      <c r="AU4"/>
      <c r="AV4"/>
      <c r="AW4"/>
      <c r="AX4" s="1"/>
    </row>
    <row r="5" spans="1:51" ht="14.1" customHeight="1" thickBot="1" x14ac:dyDescent="0.2">
      <c r="A5" s="174"/>
      <c r="B5" s="668" t="s">
        <v>464</v>
      </c>
      <c r="C5" s="669"/>
      <c r="D5" s="670" t="s">
        <v>465</v>
      </c>
      <c r="E5" s="670"/>
      <c r="F5" s="670" t="s">
        <v>466</v>
      </c>
      <c r="G5" s="670"/>
      <c r="H5" s="670" t="s">
        <v>8</v>
      </c>
      <c r="I5" s="671"/>
      <c r="J5" s="672" t="s">
        <v>15</v>
      </c>
      <c r="K5" s="672"/>
      <c r="L5" s="673"/>
      <c r="M5" s="174"/>
      <c r="N5" s="674" t="s">
        <v>467</v>
      </c>
      <c r="O5" s="674"/>
      <c r="P5" s="659" t="s">
        <v>18</v>
      </c>
      <c r="Q5" s="659"/>
      <c r="R5" s="174"/>
      <c r="S5" s="197"/>
      <c r="T5" s="197"/>
      <c r="U5" s="197"/>
      <c r="V5" s="197"/>
      <c r="W5" s="197"/>
      <c r="X5" s="197"/>
      <c r="Y5" s="197"/>
      <c r="Z5" s="197"/>
      <c r="AA5" s="197"/>
      <c r="AB5" s="196"/>
      <c r="AC5" s="647" t="s">
        <v>87</v>
      </c>
      <c r="AD5" s="647"/>
      <c r="AE5" s="261">
        <f>AA10+AA11</f>
        <v>8</v>
      </c>
      <c r="AF5" s="260" t="str">
        <f>IF(AA16&lt;18,IF(AA16&lt;14,IF(AA16&lt;10,IF(AA16&lt;5,IF(AA16&lt;3,"-2","-1"),0),"+1"),"+2"),"+3")</f>
        <v>-1</v>
      </c>
      <c r="AG5" s="647" t="s">
        <v>264</v>
      </c>
      <c r="AH5" s="647"/>
      <c r="AI5" s="261">
        <f>(AA15*2)</f>
        <v>8</v>
      </c>
      <c r="AJ5" s="260" t="str">
        <f>IF(AA16&lt;18,IF(AA16&lt;14,IF(AA16&lt;10,IF(AA16&lt;5,IF(AA16&lt;3,"-2","-1"),0),"+1"),"+2"),"+3")</f>
        <v>-1</v>
      </c>
      <c r="AK5" s="197"/>
      <c r="AL5"/>
      <c r="AM5"/>
      <c r="AN5"/>
      <c r="AO5"/>
      <c r="AP5"/>
      <c r="AQ5"/>
      <c r="AR5"/>
      <c r="AS5"/>
      <c r="AT5"/>
      <c r="AU5"/>
      <c r="AV5"/>
      <c r="AW5"/>
      <c r="AX5" s="1"/>
    </row>
    <row r="6" spans="1:51" ht="14.1" customHeight="1" thickBot="1" x14ac:dyDescent="0.2">
      <c r="A6" s="174"/>
      <c r="B6" s="660"/>
      <c r="C6" s="661"/>
      <c r="D6" s="662"/>
      <c r="E6" s="662"/>
      <c r="F6" s="662"/>
      <c r="G6" s="662"/>
      <c r="H6" s="663" t="s">
        <v>18</v>
      </c>
      <c r="I6" s="663"/>
      <c r="J6" s="664" t="s">
        <v>18</v>
      </c>
      <c r="K6" s="664"/>
      <c r="L6" s="665"/>
      <c r="M6" s="174"/>
      <c r="N6" s="666" t="s">
        <v>468</v>
      </c>
      <c r="O6" s="666"/>
      <c r="P6" s="667" t="s">
        <v>18</v>
      </c>
      <c r="Q6" s="667"/>
      <c r="R6" s="174"/>
      <c r="S6" s="197"/>
      <c r="T6" s="682" t="s">
        <v>469</v>
      </c>
      <c r="U6" s="682"/>
      <c r="V6" s="197"/>
      <c r="W6" s="197"/>
      <c r="X6" s="197"/>
      <c r="Y6" s="197"/>
      <c r="Z6" s="197"/>
      <c r="AA6" s="197"/>
      <c r="AB6" s="196"/>
      <c r="AC6" s="647" t="s">
        <v>125</v>
      </c>
      <c r="AD6" s="647"/>
      <c r="AE6" s="261">
        <f>ROUNDDOWN((AA55/2),0)+AA12</f>
        <v>7</v>
      </c>
      <c r="AF6" s="260" t="str">
        <f>IF(AA16&lt;18,IF(AA16&lt;14,IF(AA16&lt;10,IF(AA16&lt;5,IF(AA16&lt;3,"-2","-1"),0),"+1"),"+2"),"+3")</f>
        <v>-1</v>
      </c>
      <c r="AG6" s="647" t="s">
        <v>283</v>
      </c>
      <c r="AH6" s="647"/>
      <c r="AI6" s="261">
        <f>AA14+AA12</f>
        <v>8</v>
      </c>
      <c r="AJ6" s="260" t="str">
        <f>IF(AA16&lt;18,IF(AA16&lt;14,IF(AA16&lt;10,IF(AA16&lt;5,IF(AA16&lt;3,"-2","-1"),0),"+1"),"+2"),"+3")</f>
        <v>-1</v>
      </c>
      <c r="AK6" s="197"/>
      <c r="AL6"/>
      <c r="AM6"/>
      <c r="AN6"/>
      <c r="AO6"/>
      <c r="AP6"/>
      <c r="AQ6"/>
      <c r="AR6"/>
      <c r="AS6"/>
      <c r="AT6"/>
      <c r="AU6"/>
      <c r="AV6"/>
      <c r="AW6"/>
      <c r="AX6" s="1"/>
    </row>
    <row r="7" spans="1:51" ht="14.1" customHeight="1" thickBot="1" x14ac:dyDescent="0.2">
      <c r="A7" s="174"/>
      <c r="B7" s="790" t="s">
        <v>470</v>
      </c>
      <c r="C7" s="729"/>
      <c r="D7" s="793"/>
      <c r="E7" s="793"/>
      <c r="F7" s="793"/>
      <c r="G7" s="793"/>
      <c r="H7" s="793"/>
      <c r="I7" s="793"/>
      <c r="J7" s="379" t="s">
        <v>5</v>
      </c>
      <c r="K7" s="683" t="s">
        <v>18</v>
      </c>
      <c r="L7" s="684"/>
      <c r="M7" s="174"/>
      <c r="N7" s="685" t="s">
        <v>18</v>
      </c>
      <c r="O7" s="685"/>
      <c r="P7" s="686" t="s">
        <v>18</v>
      </c>
      <c r="Q7" s="686"/>
      <c r="R7" s="174"/>
      <c r="S7" s="196"/>
      <c r="T7" s="687" t="s">
        <v>0</v>
      </c>
      <c r="U7" s="688"/>
      <c r="V7" s="689" t="str">
        <f>C10</f>
        <v>－</v>
      </c>
      <c r="W7" s="690"/>
      <c r="X7" s="687" t="s">
        <v>2</v>
      </c>
      <c r="Y7" s="688"/>
      <c r="Z7" s="691" t="str">
        <f>F10</f>
        <v>－</v>
      </c>
      <c r="AA7" s="692"/>
      <c r="AB7" s="196"/>
      <c r="AC7" s="647" t="s">
        <v>154</v>
      </c>
      <c r="AD7" s="647"/>
      <c r="AE7" s="261">
        <f>ROUNDDOWN((AA55/2),0)+AA15</f>
        <v>7</v>
      </c>
      <c r="AF7" s="260" t="str">
        <f>IF(AA16&lt;18,IF(AA16&lt;14,IF(AA16&lt;10,IF(AA16&lt;5,IF(AA16&lt;3,"-2","-1"),0),"+1"),"+2"),"+3")</f>
        <v>-1</v>
      </c>
      <c r="AG7" s="647" t="s">
        <v>302</v>
      </c>
      <c r="AH7" s="647"/>
      <c r="AI7" s="261">
        <f>ROUNDDOWN((AA55/2),0)+AA13</f>
        <v>7</v>
      </c>
      <c r="AJ7" s="260" t="str">
        <f>IF(AA16&lt;18,IF(AA16&lt;14,IF(AA16&lt;10,IF(AA16&lt;5,IF(AA16&lt;3,"-2","-1"),0),"+1"),"+2"),"+3")</f>
        <v>-1</v>
      </c>
      <c r="AK7" s="197"/>
      <c r="AL7"/>
      <c r="AM7"/>
      <c r="AN7"/>
      <c r="AO7"/>
      <c r="AP7"/>
      <c r="AQ7"/>
      <c r="AR7"/>
      <c r="AS7"/>
      <c r="AT7"/>
      <c r="AU7"/>
      <c r="AV7"/>
      <c r="AW7"/>
      <c r="AX7" s="1"/>
    </row>
    <row r="8" spans="1:51" ht="14.1" customHeight="1" thickBot="1" x14ac:dyDescent="0.2">
      <c r="A8" s="174"/>
      <c r="B8" s="791"/>
      <c r="C8" s="792"/>
      <c r="D8" s="794"/>
      <c r="E8" s="794"/>
      <c r="F8" s="794"/>
      <c r="G8" s="794"/>
      <c r="H8" s="794"/>
      <c r="I8" s="794"/>
      <c r="J8" s="424" t="s">
        <v>3</v>
      </c>
      <c r="K8" s="675" t="s">
        <v>18</v>
      </c>
      <c r="L8" s="676"/>
      <c r="M8" s="174"/>
      <c r="N8" s="677" t="s">
        <v>18</v>
      </c>
      <c r="O8" s="677"/>
      <c r="P8" s="678" t="s">
        <v>18</v>
      </c>
      <c r="Q8" s="678"/>
      <c r="R8" s="174"/>
      <c r="S8" s="196"/>
      <c r="T8" s="679" t="s">
        <v>471</v>
      </c>
      <c r="U8" s="680"/>
      <c r="V8" s="680"/>
      <c r="W8" s="680"/>
      <c r="X8" s="680"/>
      <c r="Y8" s="680"/>
      <c r="Z8" s="681"/>
      <c r="AA8" s="209" t="s">
        <v>472</v>
      </c>
      <c r="AB8" s="196"/>
      <c r="AC8" s="647" t="s">
        <v>185</v>
      </c>
      <c r="AD8" s="647"/>
      <c r="AE8" s="261">
        <f>(AA12*2)</f>
        <v>8</v>
      </c>
      <c r="AF8" s="260" t="str">
        <f>IF(AA16&lt;18,IF(AA16&lt;14,IF(AA16&lt;10,IF(AA16&lt;5,IF(AA16&lt;3,"-2","-1"),0),"+1"),"+2"),"+3")</f>
        <v>-1</v>
      </c>
      <c r="AG8" s="647" t="s">
        <v>324</v>
      </c>
      <c r="AH8" s="647"/>
      <c r="AI8" s="261">
        <f>ROUNDDOWN((AA55/2),0)+AA16</f>
        <v>7</v>
      </c>
      <c r="AJ8" s="260" t="str">
        <f>IF(AA16&lt;18,IF(AA16&lt;14,IF(AA16&lt;10,IF(AA16&lt;5,IF(AA16&lt;3,"-2","-1"),0),"+1"),"+2"),"+3")</f>
        <v>-1</v>
      </c>
      <c r="AK8" s="197"/>
      <c r="AL8"/>
      <c r="AM8"/>
      <c r="AN8"/>
      <c r="AO8"/>
      <c r="AP8"/>
      <c r="AQ8"/>
      <c r="AR8"/>
      <c r="AS8"/>
      <c r="AT8"/>
      <c r="AU8"/>
      <c r="AV8"/>
      <c r="AW8"/>
      <c r="AX8" s="1"/>
    </row>
    <row r="9" spans="1:51" ht="14.1" customHeight="1" thickBot="1" x14ac:dyDescent="0.2">
      <c r="A9" s="174"/>
      <c r="B9" s="174"/>
      <c r="C9" s="174"/>
      <c r="D9" s="174"/>
      <c r="E9" s="174"/>
      <c r="F9" s="174"/>
      <c r="G9" s="174"/>
      <c r="H9" s="174"/>
      <c r="I9" s="174"/>
      <c r="J9" s="174"/>
      <c r="K9" s="174"/>
      <c r="L9" s="174"/>
      <c r="M9" s="174"/>
      <c r="N9" s="174"/>
      <c r="O9" s="174"/>
      <c r="P9" s="174"/>
      <c r="Q9" s="174"/>
      <c r="R9" s="174"/>
      <c r="S9" s="196"/>
      <c r="T9" s="200"/>
      <c r="U9" s="201" t="s">
        <v>473</v>
      </c>
      <c r="V9" s="201" t="s">
        <v>474</v>
      </c>
      <c r="W9" s="206" t="s">
        <v>475</v>
      </c>
      <c r="X9" s="201" t="s">
        <v>1143</v>
      </c>
      <c r="Y9" s="201" t="s">
        <v>1313</v>
      </c>
      <c r="Z9" s="201" t="s">
        <v>1144</v>
      </c>
      <c r="AA9" s="210" t="s">
        <v>476</v>
      </c>
      <c r="AB9" s="196"/>
      <c r="AC9" s="696" t="s">
        <v>213</v>
      </c>
      <c r="AD9" s="696"/>
      <c r="AE9" s="262">
        <f>AA14+AA13</f>
        <v>8</v>
      </c>
      <c r="AF9" s="263" t="str">
        <f>IF(AA16&lt;18,IF(AA16&lt;14,IF(AA16&lt;10,IF(AA16&lt;5,IF(AA16&lt;3,"-2","-1"),0),"+1"),"+2"),"+3")</f>
        <v>-1</v>
      </c>
      <c r="AG9" s="696" t="s">
        <v>248</v>
      </c>
      <c r="AH9" s="696"/>
      <c r="AI9" s="262">
        <f>(AA16*2)</f>
        <v>8</v>
      </c>
      <c r="AJ9" s="263" t="str">
        <f>IF(AA16&lt;18,IF(AA16&lt;14,IF(AA16&lt;10,IF(AA16&lt;5,IF(AA16&lt;3,"-2","-1"),0),"+1"),"+2"),"+3")</f>
        <v>-1</v>
      </c>
      <c r="AK9" s="197"/>
      <c r="AL9"/>
      <c r="AM9"/>
      <c r="AN9"/>
      <c r="AO9"/>
      <c r="AP9"/>
      <c r="AQ9"/>
      <c r="AR9"/>
      <c r="AS9"/>
      <c r="AT9"/>
      <c r="AU9"/>
      <c r="AV9"/>
      <c r="AW9"/>
      <c r="AX9" s="1"/>
    </row>
    <row r="10" spans="1:51" ht="14.1" customHeight="1" thickTop="1" thickBot="1" x14ac:dyDescent="0.2">
      <c r="A10" s="174"/>
      <c r="B10" s="779" t="s">
        <v>0</v>
      </c>
      <c r="C10" s="795" t="s">
        <v>18</v>
      </c>
      <c r="D10" s="795"/>
      <c r="E10" s="801" t="s">
        <v>2</v>
      </c>
      <c r="F10" s="796" t="s">
        <v>18</v>
      </c>
      <c r="G10" s="796"/>
      <c r="H10" s="174"/>
      <c r="I10" s="174"/>
      <c r="J10" s="694" t="s">
        <v>477</v>
      </c>
      <c r="K10" s="694"/>
      <c r="L10" s="694"/>
      <c r="M10" s="694"/>
      <c r="N10" s="694"/>
      <c r="O10" s="694"/>
      <c r="P10" s="694"/>
      <c r="Q10" s="694"/>
      <c r="R10" s="174"/>
      <c r="S10" s="196"/>
      <c r="T10" s="202" t="s">
        <v>478</v>
      </c>
      <c r="U10" s="203">
        <v>4</v>
      </c>
      <c r="V10" s="55"/>
      <c r="W10" s="207">
        <f t="shared" ref="W10:W16" si="0">SUM(U10:V10)</f>
        <v>4</v>
      </c>
      <c r="X10" s="203">
        <f>IF(C10="トランサー",2,0)</f>
        <v>0</v>
      </c>
      <c r="Y10" s="55"/>
      <c r="Z10" s="203">
        <f>IF(F10="サイボーグ",1,0)</f>
        <v>0</v>
      </c>
      <c r="AA10" s="241">
        <f>W10+AA24+SUM(X10:Z10)-T70</f>
        <v>4</v>
      </c>
      <c r="AB10" s="196"/>
      <c r="AC10" s="196"/>
      <c r="AD10" s="196"/>
      <c r="AE10" s="196"/>
      <c r="AF10" s="196"/>
      <c r="AG10" s="196"/>
      <c r="AH10" s="196"/>
      <c r="AI10" s="196"/>
      <c r="AJ10" s="196"/>
      <c r="AK10" s="196"/>
      <c r="AL10"/>
      <c r="AM10"/>
      <c r="AN10"/>
      <c r="AO10"/>
      <c r="AP10"/>
      <c r="AQ10"/>
      <c r="AR10"/>
      <c r="AS10"/>
      <c r="AT10"/>
      <c r="AU10"/>
      <c r="AV10"/>
      <c r="AW10"/>
      <c r="AX10" s="1"/>
    </row>
    <row r="11" spans="1:51" ht="14.1" customHeight="1" thickBot="1" x14ac:dyDescent="0.2">
      <c r="A11" s="174"/>
      <c r="B11" s="779"/>
      <c r="C11" s="795"/>
      <c r="D11" s="795"/>
      <c r="E11" s="801"/>
      <c r="F11" s="796"/>
      <c r="G11" s="796"/>
      <c r="H11" s="174"/>
      <c r="I11" s="174"/>
      <c r="J11" s="797" t="s">
        <v>13</v>
      </c>
      <c r="K11" s="797"/>
      <c r="L11" s="697" t="s">
        <v>18</v>
      </c>
      <c r="M11" s="697"/>
      <c r="N11" s="698" t="s">
        <v>479</v>
      </c>
      <c r="O11" s="698"/>
      <c r="P11" s="699" t="s">
        <v>18</v>
      </c>
      <c r="Q11" s="699"/>
      <c r="R11" s="174"/>
      <c r="S11" s="196"/>
      <c r="T11" s="202" t="s">
        <v>480</v>
      </c>
      <c r="U11" s="203">
        <v>4</v>
      </c>
      <c r="V11" s="55"/>
      <c r="W11" s="207">
        <f t="shared" si="0"/>
        <v>4</v>
      </c>
      <c r="X11" s="203">
        <f>IF(C10="サイキッカー",1,0)</f>
        <v>0</v>
      </c>
      <c r="Y11" s="55"/>
      <c r="Z11" s="203">
        <f>IF(F10="ロボット",1,0)</f>
        <v>0</v>
      </c>
      <c r="AA11" s="241">
        <f>W11+AA25+SUM(X11:Z11)-U70</f>
        <v>4</v>
      </c>
      <c r="AB11" s="196"/>
      <c r="AC11" s="196"/>
      <c r="AD11" s="196"/>
      <c r="AE11" s="196"/>
      <c r="AF11" s="196"/>
      <c r="AG11" s="196"/>
      <c r="AH11" s="196"/>
      <c r="AI11" s="196"/>
      <c r="AJ11" s="196"/>
      <c r="AK11" s="196"/>
      <c r="AL11"/>
      <c r="AM11"/>
      <c r="AN11"/>
      <c r="AO11"/>
      <c r="AP11"/>
      <c r="AQ11"/>
      <c r="AR11"/>
      <c r="AS11"/>
      <c r="AT11"/>
      <c r="AU11"/>
      <c r="AV11"/>
      <c r="AW11"/>
      <c r="AX11" s="1"/>
    </row>
    <row r="12" spans="1:51" ht="14.1" customHeight="1" thickBot="1" x14ac:dyDescent="0.2">
      <c r="A12" s="174"/>
      <c r="B12" s="177"/>
      <c r="C12" s="174"/>
      <c r="D12" s="174"/>
      <c r="E12" s="174"/>
      <c r="F12" s="174"/>
      <c r="G12" s="174"/>
      <c r="H12" s="174"/>
      <c r="I12" s="174"/>
      <c r="J12" s="797"/>
      <c r="K12" s="797"/>
      <c r="L12" s="700" t="s">
        <v>18</v>
      </c>
      <c r="M12" s="700"/>
      <c r="N12" s="701" t="s">
        <v>481</v>
      </c>
      <c r="O12" s="701"/>
      <c r="P12" s="699" t="s">
        <v>18</v>
      </c>
      <c r="Q12" s="699"/>
      <c r="R12" s="174"/>
      <c r="S12" s="196"/>
      <c r="T12" s="202" t="s">
        <v>482</v>
      </c>
      <c r="U12" s="203">
        <v>4</v>
      </c>
      <c r="V12" s="55"/>
      <c r="W12" s="207">
        <f t="shared" si="0"/>
        <v>4</v>
      </c>
      <c r="X12" s="203">
        <f>IF(C10="エスパー",1,0)+IF(C10="アンノウン",1,0)</f>
        <v>0</v>
      </c>
      <c r="Y12" s="55"/>
      <c r="Z12" s="203">
        <f>IF(F10="コーディネーター",1,0)</f>
        <v>0</v>
      </c>
      <c r="AA12" s="241">
        <f>W12+AA26+SUM(X12:Z12)-V70</f>
        <v>4</v>
      </c>
      <c r="AB12" s="196"/>
      <c r="AC12" s="693" t="s">
        <v>483</v>
      </c>
      <c r="AD12" s="693"/>
      <c r="AE12" s="693"/>
      <c r="AF12" s="693"/>
      <c r="AG12" s="693"/>
      <c r="AH12" s="693"/>
      <c r="AI12" s="693"/>
      <c r="AJ12" s="693"/>
      <c r="AK12" s="196"/>
      <c r="AL12"/>
      <c r="AM12"/>
      <c r="AN12"/>
      <c r="AO12"/>
      <c r="AP12"/>
      <c r="AQ12"/>
      <c r="AR12"/>
      <c r="AS12"/>
      <c r="AT12"/>
      <c r="AU12"/>
      <c r="AV12"/>
      <c r="AW12"/>
      <c r="AX12" s="1"/>
    </row>
    <row r="13" spans="1:51" ht="14.1" customHeight="1" thickBot="1" x14ac:dyDescent="0.2">
      <c r="A13" s="174"/>
      <c r="B13" s="779" t="s">
        <v>4</v>
      </c>
      <c r="C13" s="798" t="s">
        <v>18</v>
      </c>
      <c r="D13" s="798"/>
      <c r="E13" s="801" t="s">
        <v>1</v>
      </c>
      <c r="F13" s="707" t="s">
        <v>18</v>
      </c>
      <c r="G13" s="707"/>
      <c r="H13" s="174"/>
      <c r="I13" s="174"/>
      <c r="J13" s="694" t="s">
        <v>484</v>
      </c>
      <c r="K13" s="694"/>
      <c r="L13" s="694"/>
      <c r="M13" s="694"/>
      <c r="N13" s="694"/>
      <c r="O13" s="178" t="s">
        <v>485</v>
      </c>
      <c r="P13" s="190" t="s">
        <v>292</v>
      </c>
      <c r="Q13" s="191" t="s">
        <v>292</v>
      </c>
      <c r="R13" s="174"/>
      <c r="S13" s="196"/>
      <c r="T13" s="202" t="s">
        <v>486</v>
      </c>
      <c r="U13" s="203">
        <v>4</v>
      </c>
      <c r="V13" s="55"/>
      <c r="W13" s="207">
        <f t="shared" si="0"/>
        <v>4</v>
      </c>
      <c r="X13" s="203">
        <f>IF(C10="エスパー",2,0)+IF(C10="クリエイター",1,0)</f>
        <v>0</v>
      </c>
      <c r="Y13" s="55"/>
      <c r="Z13" s="203">
        <f>IF(F10="ナチュラル",1,0)</f>
        <v>0</v>
      </c>
      <c r="AA13" s="241">
        <f>W13+AA27+SUM(X13:Z13)-W70</f>
        <v>4</v>
      </c>
      <c r="AB13" s="196"/>
      <c r="AC13" s="66" t="s">
        <v>487</v>
      </c>
      <c r="AD13" s="55" t="s">
        <v>488</v>
      </c>
      <c r="AE13" s="695" t="s">
        <v>489</v>
      </c>
      <c r="AF13" s="695"/>
      <c r="AG13" s="695" t="s">
        <v>490</v>
      </c>
      <c r="AH13" s="695"/>
      <c r="AI13" s="55" t="s">
        <v>491</v>
      </c>
      <c r="AJ13" s="74" t="s">
        <v>492</v>
      </c>
      <c r="AK13" s="197"/>
      <c r="AL13"/>
      <c r="AM13"/>
      <c r="AN13"/>
      <c r="AO13"/>
      <c r="AP13"/>
      <c r="AQ13"/>
      <c r="AR13"/>
      <c r="AS13"/>
      <c r="AT13"/>
      <c r="AU13"/>
      <c r="AV13"/>
      <c r="AW13"/>
      <c r="AX13" s="1"/>
    </row>
    <row r="14" spans="1:51" ht="14.1" customHeight="1" thickBot="1" x14ac:dyDescent="0.2">
      <c r="A14" s="174"/>
      <c r="B14" s="779"/>
      <c r="C14" s="798"/>
      <c r="D14" s="798"/>
      <c r="E14" s="801"/>
      <c r="F14" s="707"/>
      <c r="G14" s="707"/>
      <c r="H14" s="174"/>
      <c r="I14" s="174"/>
      <c r="J14" s="724"/>
      <c r="K14" s="724"/>
      <c r="L14" s="724"/>
      <c r="M14" s="724"/>
      <c r="N14" s="724"/>
      <c r="O14" s="708" t="s">
        <v>493</v>
      </c>
      <c r="P14" s="708"/>
      <c r="Q14" s="181" t="s">
        <v>494</v>
      </c>
      <c r="R14" s="174"/>
      <c r="S14" s="196"/>
      <c r="T14" s="202" t="s">
        <v>495</v>
      </c>
      <c r="U14" s="203">
        <v>4</v>
      </c>
      <c r="V14" s="55"/>
      <c r="W14" s="207">
        <f t="shared" si="0"/>
        <v>4</v>
      </c>
      <c r="X14" s="203">
        <f>IF(C10="クリエイター",2,0)</f>
        <v>0</v>
      </c>
      <c r="Y14" s="55"/>
      <c r="Z14" s="203">
        <f>IF(F10="ハイブリッド",1,0)</f>
        <v>0</v>
      </c>
      <c r="AA14" s="241">
        <f>W14+AA28+SUM(X14:Z14)-X70</f>
        <v>4</v>
      </c>
      <c r="AB14" s="197"/>
      <c r="AC14" s="67" t="s">
        <v>496</v>
      </c>
      <c r="AD14" s="68" t="s">
        <v>497</v>
      </c>
      <c r="AE14" s="702" t="s">
        <v>498</v>
      </c>
      <c r="AF14" s="702"/>
      <c r="AG14" s="702" t="s">
        <v>499</v>
      </c>
      <c r="AH14" s="702"/>
      <c r="AI14" s="68" t="s">
        <v>500</v>
      </c>
      <c r="AJ14" s="75" t="s">
        <v>501</v>
      </c>
      <c r="AK14" s="197"/>
      <c r="AL14"/>
      <c r="AM14"/>
      <c r="AN14"/>
      <c r="AO14"/>
      <c r="AP14"/>
      <c r="AQ14"/>
      <c r="AR14"/>
      <c r="AS14"/>
      <c r="AT14"/>
      <c r="AU14"/>
      <c r="AV14"/>
      <c r="AW14"/>
      <c r="AX14" s="1"/>
      <c r="AY14" s="1"/>
    </row>
    <row r="15" spans="1:51" ht="14.1" customHeight="1" thickBot="1" x14ac:dyDescent="0.2">
      <c r="A15" s="174"/>
      <c r="B15" s="174"/>
      <c r="C15" s="174"/>
      <c r="D15" s="174"/>
      <c r="E15" s="174"/>
      <c r="F15" s="174"/>
      <c r="G15" s="174"/>
      <c r="H15" s="174"/>
      <c r="I15" s="174"/>
      <c r="J15" s="724"/>
      <c r="K15" s="724"/>
      <c r="L15" s="724"/>
      <c r="M15" s="724"/>
      <c r="N15" s="724"/>
      <c r="O15" s="179" t="s">
        <v>33</v>
      </c>
      <c r="P15" s="186">
        <f t="shared" ref="P15:P20" si="1">ROUNDDOWN((AE4+AF4)/2,0)</f>
        <v>3</v>
      </c>
      <c r="Q15" s="182"/>
      <c r="R15" s="174"/>
      <c r="S15" s="196"/>
      <c r="T15" s="202" t="s">
        <v>502</v>
      </c>
      <c r="U15" s="203">
        <v>4</v>
      </c>
      <c r="V15" s="55"/>
      <c r="W15" s="207">
        <f t="shared" si="0"/>
        <v>4</v>
      </c>
      <c r="X15" s="203">
        <f>IF(C10="サイキッカー",2,0)+IF(C10="トランサー",1,0)</f>
        <v>0</v>
      </c>
      <c r="Y15" s="55"/>
      <c r="Z15" s="203">
        <f>IF(F10="アンドロイド",1,0)</f>
        <v>0</v>
      </c>
      <c r="AA15" s="241">
        <f>W15+AA29+SUM(X15:Z15)-Y70</f>
        <v>4</v>
      </c>
      <c r="AB15" s="196"/>
      <c r="AC15" s="196"/>
      <c r="AD15" s="196"/>
      <c r="AE15" s="196"/>
      <c r="AF15" s="196"/>
      <c r="AG15" s="196"/>
      <c r="AH15" s="196"/>
      <c r="AI15" s="196"/>
      <c r="AJ15" s="196"/>
      <c r="AK15" s="197"/>
      <c r="AL15"/>
      <c r="AM15"/>
      <c r="AN15"/>
      <c r="AO15"/>
      <c r="AP15"/>
      <c r="AQ15"/>
      <c r="AR15"/>
      <c r="AS15"/>
      <c r="AT15"/>
      <c r="AU15"/>
      <c r="AV15"/>
      <c r="AW15"/>
      <c r="AX15" s="1"/>
      <c r="AY15" s="1"/>
    </row>
    <row r="16" spans="1:51" ht="14.1" customHeight="1" thickBot="1" x14ac:dyDescent="0.2">
      <c r="A16" s="174"/>
      <c r="B16" s="703" t="s">
        <v>503</v>
      </c>
      <c r="C16" s="703"/>
      <c r="D16" s="703"/>
      <c r="E16" s="174"/>
      <c r="F16" s="703" t="s">
        <v>436</v>
      </c>
      <c r="G16" s="703"/>
      <c r="H16" s="703"/>
      <c r="I16" s="174"/>
      <c r="J16" s="724"/>
      <c r="K16" s="724"/>
      <c r="L16" s="724"/>
      <c r="M16" s="724"/>
      <c r="N16" s="724"/>
      <c r="O16" s="179" t="s">
        <v>87</v>
      </c>
      <c r="P16" s="186">
        <f t="shared" si="1"/>
        <v>3</v>
      </c>
      <c r="Q16" s="182"/>
      <c r="R16" s="174"/>
      <c r="S16" s="196"/>
      <c r="T16" s="202" t="s">
        <v>504</v>
      </c>
      <c r="U16" s="203">
        <v>4</v>
      </c>
      <c r="V16" s="55"/>
      <c r="W16" s="207">
        <f t="shared" si="0"/>
        <v>4</v>
      </c>
      <c r="X16" s="203">
        <f>IF(C10="アンノウン",2,0)</f>
        <v>0</v>
      </c>
      <c r="Y16" s="55"/>
      <c r="Z16" s="203">
        <f>IF(SUM(Z10:Z15)=0,IF(F10="－",0,1),0)</f>
        <v>0</v>
      </c>
      <c r="AA16" s="241">
        <f>W16+AA30+SUM(X16:Z16)-Z70</f>
        <v>4</v>
      </c>
      <c r="AB16" s="196"/>
      <c r="AC16" s="196"/>
      <c r="AD16" s="196"/>
      <c r="AE16" s="196"/>
      <c r="AF16" s="196"/>
      <c r="AG16" s="196"/>
      <c r="AH16" s="196"/>
      <c r="AI16" s="196"/>
      <c r="AJ16" s="196"/>
      <c r="AK16" s="197"/>
      <c r="AL16"/>
      <c r="AM16"/>
      <c r="AN16"/>
      <c r="AO16"/>
      <c r="AP16"/>
      <c r="AQ16"/>
      <c r="AR16"/>
      <c r="AS16"/>
      <c r="AT16"/>
      <c r="AU16"/>
      <c r="AV16"/>
      <c r="AW16"/>
      <c r="AX16" s="1"/>
      <c r="AY16" s="1"/>
    </row>
    <row r="17" spans="1:51" ht="14.1" customHeight="1" thickBot="1" x14ac:dyDescent="0.2">
      <c r="A17" s="174"/>
      <c r="B17" s="706" t="s">
        <v>438</v>
      </c>
      <c r="C17" s="706"/>
      <c r="D17" s="705">
        <f>ABS(AA49)</f>
        <v>12</v>
      </c>
      <c r="E17" s="174"/>
      <c r="F17" s="669" t="s">
        <v>478</v>
      </c>
      <c r="G17" s="669"/>
      <c r="H17" s="184">
        <f t="shared" ref="H17:H23" si="2">AA10</f>
        <v>4</v>
      </c>
      <c r="I17" s="174"/>
      <c r="J17" s="724"/>
      <c r="K17" s="724"/>
      <c r="L17" s="724"/>
      <c r="M17" s="724"/>
      <c r="N17" s="724"/>
      <c r="O17" s="179" t="s">
        <v>125</v>
      </c>
      <c r="P17" s="186">
        <f t="shared" si="1"/>
        <v>3</v>
      </c>
      <c r="Q17" s="182"/>
      <c r="R17" s="174"/>
      <c r="S17" s="196"/>
      <c r="T17" s="204" t="s">
        <v>505</v>
      </c>
      <c r="U17" s="205">
        <f t="shared" ref="U17:AA17" si="3">SUM(U10:U16)</f>
        <v>28</v>
      </c>
      <c r="V17" s="205">
        <f t="shared" si="3"/>
        <v>0</v>
      </c>
      <c r="W17" s="208">
        <f t="shared" si="3"/>
        <v>28</v>
      </c>
      <c r="X17" s="205">
        <f t="shared" si="3"/>
        <v>0</v>
      </c>
      <c r="Y17" s="205">
        <f t="shared" si="3"/>
        <v>0</v>
      </c>
      <c r="Z17" s="205">
        <f t="shared" si="3"/>
        <v>0</v>
      </c>
      <c r="AA17" s="211">
        <f t="shared" si="3"/>
        <v>28</v>
      </c>
      <c r="AB17" s="196"/>
      <c r="AC17" s="704" t="s">
        <v>458</v>
      </c>
      <c r="AD17" s="704"/>
      <c r="AE17" s="704"/>
      <c r="AF17" s="704"/>
      <c r="AG17" s="704"/>
      <c r="AH17" s="704"/>
      <c r="AI17" s="704"/>
      <c r="AJ17" s="704"/>
      <c r="AK17" s="197"/>
      <c r="AL17"/>
      <c r="AM17"/>
      <c r="AN17"/>
      <c r="AO17"/>
      <c r="AP17"/>
      <c r="AQ17"/>
      <c r="AR17"/>
      <c r="AS17"/>
      <c r="AT17"/>
      <c r="AU17"/>
      <c r="AV17"/>
      <c r="AW17"/>
      <c r="AX17" s="1"/>
      <c r="AY17" s="1"/>
    </row>
    <row r="18" spans="1:51" ht="14.1" customHeight="1" thickBot="1" x14ac:dyDescent="0.2">
      <c r="A18" s="174"/>
      <c r="B18" s="706"/>
      <c r="C18" s="706"/>
      <c r="D18" s="705"/>
      <c r="E18" s="174"/>
      <c r="F18" s="669" t="s">
        <v>480</v>
      </c>
      <c r="G18" s="669"/>
      <c r="H18" s="184">
        <f t="shared" si="2"/>
        <v>4</v>
      </c>
      <c r="I18" s="174"/>
      <c r="J18" s="724"/>
      <c r="K18" s="724"/>
      <c r="L18" s="724"/>
      <c r="M18" s="724"/>
      <c r="N18" s="724"/>
      <c r="O18" s="179" t="s">
        <v>154</v>
      </c>
      <c r="P18" s="186">
        <f t="shared" si="1"/>
        <v>3</v>
      </c>
      <c r="Q18" s="182"/>
      <c r="R18" s="174"/>
      <c r="S18" s="196"/>
      <c r="T18" s="197"/>
      <c r="U18" s="197">
        <f>28-U17</f>
        <v>0</v>
      </c>
      <c r="V18" s="197">
        <f>10-V17</f>
        <v>10</v>
      </c>
      <c r="W18" s="197"/>
      <c r="X18" s="197">
        <f>IF(I3="バニラ",3-X17,0)</f>
        <v>0</v>
      </c>
      <c r="Y18" s="197">
        <f>IF(C10="ノーマル",3-Y17,0)</f>
        <v>0</v>
      </c>
      <c r="Z18" s="197">
        <f>IF(I3="バニラ",1-Z17,0)</f>
        <v>0</v>
      </c>
      <c r="AA18" s="197">
        <f>47-AA17</f>
        <v>19</v>
      </c>
      <c r="AB18" s="196"/>
      <c r="AC18" s="713" t="s">
        <v>506</v>
      </c>
      <c r="AD18" s="713"/>
      <c r="AE18" s="714" t="s">
        <v>507</v>
      </c>
      <c r="AF18" s="714"/>
      <c r="AG18" s="714"/>
      <c r="AH18" s="715" t="s">
        <v>508</v>
      </c>
      <c r="AI18" s="715"/>
      <c r="AJ18" s="715"/>
      <c r="AK18" s="197"/>
      <c r="AL18"/>
      <c r="AM18"/>
      <c r="AN18"/>
      <c r="AO18"/>
      <c r="AP18"/>
      <c r="AQ18"/>
      <c r="AR18"/>
      <c r="AS18"/>
      <c r="AT18"/>
      <c r="AU18"/>
      <c r="AV18"/>
      <c r="AW18"/>
      <c r="AX18" s="1"/>
      <c r="AY18" s="1"/>
    </row>
    <row r="19" spans="1:51" ht="14.1" customHeight="1" thickBot="1" x14ac:dyDescent="0.2">
      <c r="A19" s="174"/>
      <c r="B19" s="706" t="s">
        <v>441</v>
      </c>
      <c r="C19" s="706"/>
      <c r="D19" s="705">
        <f>ABS(AA50)</f>
        <v>18</v>
      </c>
      <c r="E19" s="174"/>
      <c r="F19" s="669" t="s">
        <v>482</v>
      </c>
      <c r="G19" s="669"/>
      <c r="H19" s="184">
        <f t="shared" si="2"/>
        <v>4</v>
      </c>
      <c r="I19" s="174"/>
      <c r="J19" s="724"/>
      <c r="K19" s="724"/>
      <c r="L19" s="724"/>
      <c r="M19" s="724"/>
      <c r="N19" s="724"/>
      <c r="O19" s="179" t="s">
        <v>185</v>
      </c>
      <c r="P19" s="186">
        <f t="shared" si="1"/>
        <v>3</v>
      </c>
      <c r="Q19" s="182"/>
      <c r="R19" s="174"/>
      <c r="S19" s="196"/>
      <c r="T19" s="196"/>
      <c r="U19" s="716" t="s">
        <v>509</v>
      </c>
      <c r="V19" s="716"/>
      <c r="W19" s="716"/>
      <c r="X19" s="717" t="s">
        <v>728</v>
      </c>
      <c r="Y19" s="717"/>
      <c r="Z19" s="717"/>
      <c r="AA19" s="196"/>
      <c r="AB19" s="196"/>
      <c r="AC19" s="711" t="s">
        <v>510</v>
      </c>
      <c r="AD19" s="711"/>
      <c r="AE19" s="709" t="s">
        <v>507</v>
      </c>
      <c r="AF19" s="709"/>
      <c r="AG19" s="709"/>
      <c r="AH19" s="712" t="s">
        <v>511</v>
      </c>
      <c r="AI19" s="712"/>
      <c r="AJ19" s="712"/>
      <c r="AK19" s="196"/>
      <c r="AL19"/>
      <c r="AM19"/>
      <c r="AN19"/>
      <c r="AO19"/>
      <c r="AP19"/>
      <c r="AQ19"/>
      <c r="AR19"/>
      <c r="AS19"/>
      <c r="AT19"/>
      <c r="AU19"/>
      <c r="AV19"/>
      <c r="AW19"/>
      <c r="AX19" s="1"/>
      <c r="AY19" s="1"/>
    </row>
    <row r="20" spans="1:51" ht="14.1" customHeight="1" thickBot="1" x14ac:dyDescent="0.2">
      <c r="A20" s="174"/>
      <c r="B20" s="706"/>
      <c r="C20" s="706"/>
      <c r="D20" s="705"/>
      <c r="E20" s="174"/>
      <c r="F20" s="669" t="s">
        <v>486</v>
      </c>
      <c r="G20" s="669"/>
      <c r="H20" s="184">
        <f t="shared" si="2"/>
        <v>4</v>
      </c>
      <c r="I20" s="174"/>
      <c r="J20" s="724"/>
      <c r="K20" s="724"/>
      <c r="L20" s="724"/>
      <c r="M20" s="724"/>
      <c r="N20" s="724"/>
      <c r="O20" s="179" t="s">
        <v>213</v>
      </c>
      <c r="P20" s="186">
        <f t="shared" si="1"/>
        <v>3</v>
      </c>
      <c r="Q20" s="182"/>
      <c r="R20" s="174"/>
      <c r="S20" s="196"/>
      <c r="T20" s="196"/>
      <c r="U20" s="716"/>
      <c r="V20" s="716"/>
      <c r="W20" s="716"/>
      <c r="X20" s="717" t="str">
        <f>IF(I3="バニラ","ノーマルは手入力","追加フリーptを入力してね")</f>
        <v>追加フリーptを入力してね</v>
      </c>
      <c r="Y20" s="717"/>
      <c r="Z20" s="717"/>
      <c r="AA20" s="196"/>
      <c r="AB20" s="196"/>
      <c r="AC20" s="711" t="s">
        <v>512</v>
      </c>
      <c r="AD20" s="711"/>
      <c r="AE20" s="709" t="s">
        <v>507</v>
      </c>
      <c r="AF20" s="709"/>
      <c r="AG20" s="709"/>
      <c r="AH20" s="710" t="s">
        <v>507</v>
      </c>
      <c r="AI20" s="710"/>
      <c r="AJ20" s="710"/>
      <c r="AK20" s="196"/>
      <c r="AL20"/>
      <c r="AM20"/>
      <c r="AN20"/>
      <c r="AO20"/>
      <c r="AP20"/>
      <c r="AQ20"/>
      <c r="AR20"/>
      <c r="AS20"/>
      <c r="AT20"/>
      <c r="AU20"/>
      <c r="AV20"/>
      <c r="AW20"/>
      <c r="AX20" s="1"/>
      <c r="AY20" s="1"/>
    </row>
    <row r="21" spans="1:51" ht="14.1" customHeight="1" thickBot="1" x14ac:dyDescent="0.2">
      <c r="A21" s="174"/>
      <c r="B21" s="706" t="s">
        <v>513</v>
      </c>
      <c r="C21" s="706"/>
      <c r="D21" s="802">
        <f>AA51</f>
        <v>16</v>
      </c>
      <c r="E21" s="174"/>
      <c r="F21" s="669" t="s">
        <v>495</v>
      </c>
      <c r="G21" s="669"/>
      <c r="H21" s="184">
        <f t="shared" si="2"/>
        <v>4</v>
      </c>
      <c r="I21" s="174"/>
      <c r="J21" s="724"/>
      <c r="K21" s="724"/>
      <c r="L21" s="724"/>
      <c r="M21" s="724"/>
      <c r="N21" s="724"/>
      <c r="O21" s="179" t="s">
        <v>240</v>
      </c>
      <c r="P21" s="186">
        <f t="shared" ref="P21:P26" si="4">ROUNDDOWN((AI4+AJ4)/2,0)</f>
        <v>3</v>
      </c>
      <c r="Q21" s="182"/>
      <c r="R21" s="174"/>
      <c r="S21" s="196"/>
      <c r="T21" s="196"/>
      <c r="U21" s="196"/>
      <c r="V21" s="196"/>
      <c r="W21" s="196"/>
      <c r="X21" s="196"/>
      <c r="Y21" s="196"/>
      <c r="Z21" s="196"/>
      <c r="AA21" s="196"/>
      <c r="AB21" s="196"/>
      <c r="AC21" s="711" t="s">
        <v>514</v>
      </c>
      <c r="AD21" s="711"/>
      <c r="AE21" s="709" t="s">
        <v>507</v>
      </c>
      <c r="AF21" s="709"/>
      <c r="AG21" s="709"/>
      <c r="AH21" s="712" t="s">
        <v>515</v>
      </c>
      <c r="AI21" s="712"/>
      <c r="AJ21" s="712"/>
      <c r="AK21" s="196"/>
      <c r="AL21"/>
      <c r="AM21"/>
      <c r="AN21"/>
      <c r="AO21"/>
      <c r="AP21"/>
      <c r="AQ21"/>
      <c r="AR21"/>
      <c r="AS21"/>
      <c r="AT21"/>
      <c r="AU21"/>
      <c r="AV21"/>
      <c r="AW21"/>
      <c r="AX21" s="1"/>
      <c r="AY21" s="1"/>
    </row>
    <row r="22" spans="1:51" ht="14.1" customHeight="1" thickBot="1" x14ac:dyDescent="0.2">
      <c r="A22" s="174"/>
      <c r="B22" s="706"/>
      <c r="C22" s="706"/>
      <c r="D22" s="802"/>
      <c r="E22" s="174"/>
      <c r="F22" s="669" t="s">
        <v>502</v>
      </c>
      <c r="G22" s="669"/>
      <c r="H22" s="184">
        <f t="shared" si="2"/>
        <v>4</v>
      </c>
      <c r="I22" s="174"/>
      <c r="J22" s="724"/>
      <c r="K22" s="724"/>
      <c r="L22" s="724"/>
      <c r="M22" s="724"/>
      <c r="N22" s="724"/>
      <c r="O22" s="179" t="s">
        <v>264</v>
      </c>
      <c r="P22" s="186">
        <f t="shared" si="4"/>
        <v>3</v>
      </c>
      <c r="Q22" s="182"/>
      <c r="R22" s="174"/>
      <c r="S22" s="196"/>
      <c r="T22" s="727" t="s">
        <v>516</v>
      </c>
      <c r="U22" s="727"/>
      <c r="V22" s="727"/>
      <c r="W22" s="727"/>
      <c r="X22" s="727"/>
      <c r="Y22" s="727"/>
      <c r="Z22" s="219" t="s">
        <v>517</v>
      </c>
      <c r="AA22" s="220">
        <f>5+IF(C10="ノーマル",1,0)</f>
        <v>5</v>
      </c>
      <c r="AB22" s="196"/>
      <c r="AC22" s="711" t="s">
        <v>518</v>
      </c>
      <c r="AD22" s="711"/>
      <c r="AE22" s="728" t="s">
        <v>519</v>
      </c>
      <c r="AF22" s="728"/>
      <c r="AG22" s="728"/>
      <c r="AH22" s="712" t="s">
        <v>520</v>
      </c>
      <c r="AI22" s="712"/>
      <c r="AJ22" s="712"/>
      <c r="AK22" s="196"/>
      <c r="AL22"/>
      <c r="AM22"/>
      <c r="AN22"/>
      <c r="AO22"/>
      <c r="AP22"/>
      <c r="AQ22"/>
      <c r="AR22"/>
      <c r="AS22"/>
      <c r="AT22"/>
      <c r="AU22"/>
      <c r="AV22"/>
      <c r="AW22"/>
      <c r="AX22" s="1"/>
      <c r="AY22" s="1"/>
    </row>
    <row r="23" spans="1:51" ht="14.1" customHeight="1" thickBot="1" x14ac:dyDescent="0.2">
      <c r="A23" s="174"/>
      <c r="B23" s="706" t="s">
        <v>521</v>
      </c>
      <c r="C23" s="706"/>
      <c r="D23" s="705">
        <f>AA52</f>
        <v>2</v>
      </c>
      <c r="E23" s="174"/>
      <c r="F23" s="729" t="s">
        <v>504</v>
      </c>
      <c r="G23" s="729"/>
      <c r="H23" s="185">
        <f t="shared" si="2"/>
        <v>4</v>
      </c>
      <c r="I23" s="174"/>
      <c r="J23" s="724"/>
      <c r="K23" s="724"/>
      <c r="L23" s="724"/>
      <c r="M23" s="724"/>
      <c r="N23" s="724"/>
      <c r="O23" s="179" t="s">
        <v>283</v>
      </c>
      <c r="P23" s="186">
        <f t="shared" si="4"/>
        <v>3</v>
      </c>
      <c r="Q23" s="182"/>
      <c r="R23" s="174"/>
      <c r="S23" s="196"/>
      <c r="T23" s="213" t="s">
        <v>522</v>
      </c>
      <c r="U23" s="56" t="s">
        <v>292</v>
      </c>
      <c r="V23" s="56" t="s">
        <v>292</v>
      </c>
      <c r="W23" s="56" t="s">
        <v>292</v>
      </c>
      <c r="X23" s="56" t="s">
        <v>292</v>
      </c>
      <c r="Y23" s="56" t="s">
        <v>292</v>
      </c>
      <c r="Z23" s="56" t="s">
        <v>292</v>
      </c>
      <c r="AA23" s="216" t="s">
        <v>523</v>
      </c>
      <c r="AB23" s="196"/>
      <c r="AC23" s="730" t="s">
        <v>524</v>
      </c>
      <c r="AD23" s="730"/>
      <c r="AE23" s="731" t="s">
        <v>519</v>
      </c>
      <c r="AF23" s="731"/>
      <c r="AG23" s="731"/>
      <c r="AH23" s="732" t="s">
        <v>525</v>
      </c>
      <c r="AI23" s="732"/>
      <c r="AJ23" s="732"/>
      <c r="AK23" s="196"/>
      <c r="AL23"/>
      <c r="AM23"/>
      <c r="AN23"/>
      <c r="AO23"/>
      <c r="AP23"/>
      <c r="AQ23"/>
      <c r="AR23"/>
      <c r="AS23"/>
      <c r="AT23"/>
      <c r="AU23"/>
      <c r="AV23"/>
      <c r="AW23"/>
      <c r="AX23" s="1"/>
      <c r="AY23" s="1"/>
    </row>
    <row r="24" spans="1:51" ht="14.1" customHeight="1" thickBot="1" x14ac:dyDescent="0.2">
      <c r="A24" s="174"/>
      <c r="B24" s="706"/>
      <c r="C24" s="706"/>
      <c r="D24" s="705"/>
      <c r="E24" s="174"/>
      <c r="F24" s="174"/>
      <c r="G24" s="174"/>
      <c r="H24" s="174"/>
      <c r="I24" s="174"/>
      <c r="J24" s="724"/>
      <c r="K24" s="724"/>
      <c r="L24" s="724"/>
      <c r="M24" s="724"/>
      <c r="N24" s="724"/>
      <c r="O24" s="179" t="s">
        <v>302</v>
      </c>
      <c r="P24" s="186">
        <f t="shared" si="4"/>
        <v>3</v>
      </c>
      <c r="Q24" s="182"/>
      <c r="R24" s="174"/>
      <c r="S24" s="196"/>
      <c r="T24" s="214" t="str">
        <f t="shared" ref="T24:T30" si="5">T10</f>
        <v>筋力</v>
      </c>
      <c r="U24" s="55"/>
      <c r="V24" s="57"/>
      <c r="W24" s="57"/>
      <c r="X24" s="57"/>
      <c r="Y24" s="57"/>
      <c r="Z24" s="57"/>
      <c r="AA24" s="217">
        <f t="shared" ref="AA24:AA31" si="6">SUM(U24:Z24)</f>
        <v>0</v>
      </c>
      <c r="AB24" s="196"/>
      <c r="AC24" s="196"/>
      <c r="AD24" s="196"/>
      <c r="AE24" s="196"/>
      <c r="AF24" s="196"/>
      <c r="AG24" s="196"/>
      <c r="AH24" s="196"/>
      <c r="AI24" s="196"/>
      <c r="AJ24" s="196"/>
      <c r="AK24" s="196"/>
      <c r="AL24"/>
      <c r="AM24"/>
      <c r="AN24"/>
      <c r="AO24"/>
      <c r="AP24"/>
      <c r="AQ24"/>
      <c r="AR24"/>
      <c r="AS24"/>
      <c r="AT24"/>
      <c r="AU24"/>
      <c r="AV24"/>
      <c r="AW24"/>
      <c r="AX24" s="1"/>
      <c r="AY24" s="1"/>
    </row>
    <row r="25" spans="1:51" ht="14.1" customHeight="1" thickBot="1" x14ac:dyDescent="0.2">
      <c r="A25" s="174"/>
      <c r="B25" s="706" t="s">
        <v>526</v>
      </c>
      <c r="C25" s="706"/>
      <c r="D25" s="705">
        <f>AA53</f>
        <v>2</v>
      </c>
      <c r="E25" s="174"/>
      <c r="F25" s="786" t="s">
        <v>448</v>
      </c>
      <c r="G25" s="786"/>
      <c r="H25" s="799">
        <f>AA58</f>
        <v>4</v>
      </c>
      <c r="I25" s="174"/>
      <c r="J25" s="724"/>
      <c r="K25" s="724"/>
      <c r="L25" s="724"/>
      <c r="M25" s="724"/>
      <c r="N25" s="724"/>
      <c r="O25" s="179" t="s">
        <v>324</v>
      </c>
      <c r="P25" s="186">
        <f t="shared" si="4"/>
        <v>3</v>
      </c>
      <c r="Q25" s="182"/>
      <c r="R25" s="174"/>
      <c r="S25" s="196"/>
      <c r="T25" s="214" t="str">
        <f t="shared" si="5"/>
        <v>耐久</v>
      </c>
      <c r="U25" s="55"/>
      <c r="V25" s="57"/>
      <c r="W25" s="57"/>
      <c r="X25" s="57"/>
      <c r="Y25" s="57"/>
      <c r="Z25" s="57"/>
      <c r="AA25" s="217">
        <f t="shared" si="6"/>
        <v>0</v>
      </c>
      <c r="AB25" s="196"/>
      <c r="AC25" s="196"/>
      <c r="AD25" s="196"/>
      <c r="AE25" s="196"/>
      <c r="AF25" s="196"/>
      <c r="AG25" s="196"/>
      <c r="AH25" s="196"/>
      <c r="AI25" s="196"/>
      <c r="AJ25" s="196"/>
      <c r="AK25" s="196"/>
      <c r="AL25"/>
      <c r="AM25"/>
      <c r="AN25"/>
      <c r="AO25"/>
      <c r="AP25"/>
      <c r="AQ25"/>
      <c r="AR25"/>
      <c r="AS25"/>
      <c r="AT25"/>
      <c r="AU25"/>
      <c r="AV25"/>
      <c r="AW25"/>
      <c r="AX25" s="1"/>
      <c r="AY25" s="1"/>
    </row>
    <row r="26" spans="1:51" ht="14.1" customHeight="1" thickBot="1" x14ac:dyDescent="0.2">
      <c r="A26" s="174"/>
      <c r="B26" s="706"/>
      <c r="C26" s="706"/>
      <c r="D26" s="705"/>
      <c r="E26" s="174"/>
      <c r="F26" s="786"/>
      <c r="G26" s="786"/>
      <c r="H26" s="799"/>
      <c r="I26" s="174"/>
      <c r="J26" s="724"/>
      <c r="K26" s="724"/>
      <c r="L26" s="724"/>
      <c r="M26" s="724"/>
      <c r="N26" s="724"/>
      <c r="O26" s="180" t="s">
        <v>248</v>
      </c>
      <c r="P26" s="187">
        <f t="shared" si="4"/>
        <v>3</v>
      </c>
      <c r="Q26" s="183"/>
      <c r="R26" s="174"/>
      <c r="S26" s="196"/>
      <c r="T26" s="214" t="str">
        <f t="shared" si="5"/>
        <v>知力</v>
      </c>
      <c r="U26" s="55"/>
      <c r="V26" s="57"/>
      <c r="W26" s="57"/>
      <c r="X26" s="57"/>
      <c r="Y26" s="57"/>
      <c r="Z26" s="57"/>
      <c r="AA26" s="217">
        <f t="shared" si="6"/>
        <v>0</v>
      </c>
      <c r="AB26" s="196"/>
      <c r="AC26" s="196"/>
      <c r="AD26" s="196"/>
      <c r="AE26" s="196"/>
      <c r="AF26" s="196"/>
      <c r="AG26" s="196"/>
      <c r="AH26" s="196"/>
      <c r="AI26" s="196"/>
      <c r="AJ26" s="196"/>
      <c r="AK26" s="196"/>
      <c r="AL26"/>
      <c r="AM26"/>
      <c r="AN26"/>
      <c r="AO26"/>
      <c r="AP26"/>
      <c r="AQ26"/>
      <c r="AR26"/>
      <c r="AS26"/>
      <c r="AT26"/>
      <c r="AU26"/>
      <c r="AV26"/>
      <c r="AW26"/>
      <c r="AX26" s="1"/>
      <c r="AY26" s="1"/>
    </row>
    <row r="27" spans="1:51" ht="14.1" customHeight="1" thickBot="1" x14ac:dyDescent="0.2">
      <c r="A27" s="174"/>
      <c r="B27" s="780" t="s">
        <v>447</v>
      </c>
      <c r="C27" s="780"/>
      <c r="D27" s="787">
        <f>AA54</f>
        <v>5</v>
      </c>
      <c r="E27" s="174"/>
      <c r="F27" s="780" t="s">
        <v>527</v>
      </c>
      <c r="G27" s="780"/>
      <c r="H27" s="787">
        <f>AA59</f>
        <v>2</v>
      </c>
      <c r="I27" s="174"/>
      <c r="J27" s="724"/>
      <c r="K27" s="724"/>
      <c r="L27" s="724"/>
      <c r="M27" s="724"/>
      <c r="N27" s="724"/>
      <c r="O27" s="694" t="s">
        <v>522</v>
      </c>
      <c r="P27" s="694"/>
      <c r="Q27" s="694"/>
      <c r="R27" s="174"/>
      <c r="S27" s="196"/>
      <c r="T27" s="214" t="str">
        <f t="shared" si="5"/>
        <v>精神</v>
      </c>
      <c r="U27" s="55"/>
      <c r="V27" s="57"/>
      <c r="W27" s="57"/>
      <c r="X27" s="57"/>
      <c r="Y27" s="57"/>
      <c r="Z27" s="57"/>
      <c r="AA27" s="217">
        <f t="shared" si="6"/>
        <v>0</v>
      </c>
      <c r="AB27" s="196"/>
      <c r="AC27" s="725" t="s">
        <v>528</v>
      </c>
      <c r="AD27" s="725"/>
      <c r="AE27" s="725"/>
      <c r="AF27" s="725"/>
      <c r="AG27" s="725"/>
      <c r="AH27" s="725"/>
      <c r="AI27" s="725"/>
      <c r="AJ27" s="725"/>
      <c r="AK27" s="196"/>
      <c r="AL27"/>
      <c r="AM27"/>
      <c r="AN27"/>
      <c r="AO27"/>
      <c r="AP27"/>
      <c r="AQ27"/>
      <c r="AR27"/>
      <c r="AS27"/>
      <c r="AT27"/>
      <c r="AU27"/>
      <c r="AV27"/>
      <c r="AW27"/>
      <c r="AX27" s="1"/>
      <c r="AY27" s="1"/>
    </row>
    <row r="28" spans="1:51" ht="14.1" customHeight="1" thickBot="1" x14ac:dyDescent="0.2">
      <c r="A28" s="174"/>
      <c r="B28" s="780"/>
      <c r="C28" s="780"/>
      <c r="D28" s="787"/>
      <c r="E28" s="174"/>
      <c r="F28" s="780"/>
      <c r="G28" s="780"/>
      <c r="H28" s="787"/>
      <c r="I28" s="174"/>
      <c r="J28" s="724"/>
      <c r="K28" s="724"/>
      <c r="L28" s="724"/>
      <c r="M28" s="724"/>
      <c r="N28" s="724"/>
      <c r="O28" s="720" t="str">
        <f>U23</f>
        <v>-</v>
      </c>
      <c r="P28" s="720"/>
      <c r="Q28" s="720"/>
      <c r="R28" s="174"/>
      <c r="S28" s="196"/>
      <c r="T28" s="214" t="str">
        <f t="shared" si="5"/>
        <v>器用</v>
      </c>
      <c r="U28" s="55"/>
      <c r="V28" s="57"/>
      <c r="W28" s="57"/>
      <c r="X28" s="57"/>
      <c r="Y28" s="57"/>
      <c r="Z28" s="57"/>
      <c r="AA28" s="217">
        <f t="shared" si="6"/>
        <v>0</v>
      </c>
      <c r="AB28" s="196"/>
      <c r="AC28" s="53"/>
      <c r="AD28" s="53"/>
      <c r="AE28" s="53"/>
      <c r="AF28" s="53"/>
      <c r="AG28" s="53"/>
      <c r="AH28" s="53"/>
      <c r="AI28" s="53"/>
      <c r="AJ28" s="53"/>
      <c r="AK28" s="196"/>
      <c r="AL28"/>
      <c r="AM28"/>
      <c r="AN28"/>
      <c r="AO28"/>
      <c r="AP28"/>
      <c r="AQ28"/>
      <c r="AR28"/>
      <c r="AS28"/>
      <c r="AT28"/>
      <c r="AU28"/>
      <c r="AV28"/>
      <c r="AW28"/>
      <c r="AX28" s="1"/>
      <c r="AY28" s="1"/>
    </row>
    <row r="29" spans="1:51" ht="14.1" customHeight="1" thickBot="1" x14ac:dyDescent="0.2">
      <c r="A29" s="174"/>
      <c r="B29" s="174"/>
      <c r="C29" s="174"/>
      <c r="D29" s="174"/>
      <c r="E29" s="174"/>
      <c r="F29" s="174"/>
      <c r="G29" s="174"/>
      <c r="H29" s="174"/>
      <c r="I29" s="174"/>
      <c r="J29" s="724"/>
      <c r="K29" s="724"/>
      <c r="L29" s="724"/>
      <c r="M29" s="724"/>
      <c r="N29" s="724"/>
      <c r="O29" s="720" t="str">
        <f>V23</f>
        <v>-</v>
      </c>
      <c r="P29" s="720"/>
      <c r="Q29" s="720"/>
      <c r="R29" s="174"/>
      <c r="S29" s="196"/>
      <c r="T29" s="214" t="str">
        <f t="shared" si="5"/>
        <v>敏捷</v>
      </c>
      <c r="U29" s="55"/>
      <c r="V29" s="57"/>
      <c r="W29" s="57"/>
      <c r="X29" s="57"/>
      <c r="Y29" s="57"/>
      <c r="Z29" s="57"/>
      <c r="AA29" s="217">
        <f t="shared" si="6"/>
        <v>0</v>
      </c>
      <c r="AB29" s="196"/>
      <c r="AC29" s="704" t="s">
        <v>529</v>
      </c>
      <c r="AD29" s="704"/>
      <c r="AE29" s="726" t="s">
        <v>530</v>
      </c>
      <c r="AF29" s="726"/>
      <c r="AG29" s="726"/>
      <c r="AH29" s="726"/>
      <c r="AI29" s="726"/>
      <c r="AJ29" s="726"/>
      <c r="AK29" s="196"/>
      <c r="AL29"/>
      <c r="AM29"/>
      <c r="AN29"/>
      <c r="AO29"/>
      <c r="AP29"/>
      <c r="AQ29"/>
      <c r="AR29"/>
      <c r="AS29"/>
      <c r="AT29"/>
      <c r="AU29"/>
      <c r="AV29"/>
      <c r="AW29"/>
      <c r="AX29" s="1"/>
      <c r="AY29" s="1"/>
    </row>
    <row r="30" spans="1:51" ht="14.1" customHeight="1" thickBot="1" x14ac:dyDescent="0.2">
      <c r="A30" s="174"/>
      <c r="B30" s="703" t="s">
        <v>531</v>
      </c>
      <c r="C30" s="703"/>
      <c r="D30" s="703"/>
      <c r="E30" s="174"/>
      <c r="F30" s="703" t="s">
        <v>437</v>
      </c>
      <c r="G30" s="703"/>
      <c r="H30" s="703"/>
      <c r="I30" s="174"/>
      <c r="J30" s="724"/>
      <c r="K30" s="724"/>
      <c r="L30" s="724"/>
      <c r="M30" s="724"/>
      <c r="N30" s="724"/>
      <c r="O30" s="720" t="str">
        <f>W23</f>
        <v>-</v>
      </c>
      <c r="P30" s="720"/>
      <c r="Q30" s="720"/>
      <c r="R30" s="174"/>
      <c r="S30" s="196"/>
      <c r="T30" s="214" t="str">
        <f t="shared" si="5"/>
        <v>運</v>
      </c>
      <c r="U30" s="55"/>
      <c r="V30" s="57"/>
      <c r="W30" s="57"/>
      <c r="X30" s="57"/>
      <c r="Y30" s="57"/>
      <c r="Z30" s="57"/>
      <c r="AA30" s="217">
        <f t="shared" si="6"/>
        <v>0</v>
      </c>
      <c r="AB30" s="196"/>
      <c r="AC30" s="718" t="s">
        <v>33</v>
      </c>
      <c r="AD30" s="718"/>
      <c r="AE30" s="719" t="s">
        <v>532</v>
      </c>
      <c r="AF30" s="719"/>
      <c r="AG30" s="719"/>
      <c r="AH30" s="719"/>
      <c r="AI30" s="719"/>
      <c r="AJ30" s="719"/>
      <c r="AK30" s="196"/>
      <c r="AL30"/>
      <c r="AM30"/>
      <c r="AN30"/>
      <c r="AO30"/>
      <c r="AP30"/>
      <c r="AQ30"/>
      <c r="AR30"/>
      <c r="AS30"/>
      <c r="AT30"/>
      <c r="AU30"/>
      <c r="AV30"/>
      <c r="AW30"/>
      <c r="AX30" s="1"/>
      <c r="AY30" s="1"/>
    </row>
    <row r="31" spans="1:51" ht="14.1" customHeight="1" thickBot="1" x14ac:dyDescent="0.2">
      <c r="A31" s="174"/>
      <c r="B31" s="706" t="s">
        <v>439</v>
      </c>
      <c r="C31" s="781">
        <f>AA55</f>
        <v>6</v>
      </c>
      <c r="D31" s="788">
        <f>IF(AA16&lt;14,1,2)</f>
        <v>1</v>
      </c>
      <c r="E31" s="174"/>
      <c r="F31" s="706" t="s">
        <v>440</v>
      </c>
      <c r="G31" s="723">
        <f>IF(AND(T43="ON",AA10&gt;=18),V38+1,V38)</f>
        <v>0</v>
      </c>
      <c r="H31" s="800">
        <f>W38</f>
        <v>0</v>
      </c>
      <c r="I31" s="174"/>
      <c r="J31" s="724"/>
      <c r="K31" s="724"/>
      <c r="L31" s="724"/>
      <c r="M31" s="724"/>
      <c r="N31" s="724"/>
      <c r="O31" s="720" t="str">
        <f>X23</f>
        <v>-</v>
      </c>
      <c r="P31" s="720"/>
      <c r="Q31" s="720"/>
      <c r="R31" s="174"/>
      <c r="S31" s="196"/>
      <c r="T31" s="215" t="s">
        <v>533</v>
      </c>
      <c r="U31" s="58">
        <f t="shared" ref="U31:Z31" si="7">SUM(U24:U30)</f>
        <v>0</v>
      </c>
      <c r="V31" s="58">
        <f t="shared" si="7"/>
        <v>0</v>
      </c>
      <c r="W31" s="58">
        <f t="shared" si="7"/>
        <v>0</v>
      </c>
      <c r="X31" s="58">
        <f t="shared" si="7"/>
        <v>0</v>
      </c>
      <c r="Y31" s="58">
        <f t="shared" si="7"/>
        <v>0</v>
      </c>
      <c r="Z31" s="58">
        <f t="shared" si="7"/>
        <v>0</v>
      </c>
      <c r="AA31" s="218">
        <f t="shared" si="6"/>
        <v>0</v>
      </c>
      <c r="AB31" s="196"/>
      <c r="AC31" s="721" t="s">
        <v>125</v>
      </c>
      <c r="AD31" s="721"/>
      <c r="AE31" s="722" t="s">
        <v>534</v>
      </c>
      <c r="AF31" s="722"/>
      <c r="AG31" s="722"/>
      <c r="AH31" s="722"/>
      <c r="AI31" s="722"/>
      <c r="AJ31" s="722"/>
      <c r="AK31" s="196"/>
      <c r="AL31"/>
      <c r="AM31"/>
      <c r="AN31"/>
      <c r="AO31"/>
      <c r="AP31"/>
      <c r="AQ31"/>
      <c r="AR31"/>
      <c r="AS31"/>
      <c r="AT31"/>
      <c r="AU31"/>
      <c r="AV31"/>
      <c r="AW31"/>
      <c r="AX31" s="1"/>
      <c r="AY31" s="1"/>
    </row>
    <row r="32" spans="1:51" ht="14.1" customHeight="1" thickBot="1" x14ac:dyDescent="0.2">
      <c r="A32" s="174"/>
      <c r="B32" s="706"/>
      <c r="C32" s="781"/>
      <c r="D32" s="788"/>
      <c r="E32" s="174"/>
      <c r="F32" s="706"/>
      <c r="G32" s="723"/>
      <c r="H32" s="800"/>
      <c r="I32" s="174"/>
      <c r="J32" s="724"/>
      <c r="K32" s="724"/>
      <c r="L32" s="724"/>
      <c r="M32" s="724"/>
      <c r="N32" s="724"/>
      <c r="O32" s="720" t="str">
        <f>Y23</f>
        <v>-</v>
      </c>
      <c r="P32" s="720"/>
      <c r="Q32" s="720"/>
      <c r="R32" s="174"/>
      <c r="S32" s="198"/>
      <c r="T32" s="197"/>
      <c r="U32" s="737" t="s">
        <v>1142</v>
      </c>
      <c r="V32" s="737"/>
      <c r="W32" s="737"/>
      <c r="X32" s="737"/>
      <c r="Y32" s="737"/>
      <c r="Z32" s="737"/>
      <c r="AA32" s="212">
        <f>AA22-AA31</f>
        <v>5</v>
      </c>
      <c r="AB32" s="196"/>
      <c r="AC32" s="721" t="s">
        <v>324</v>
      </c>
      <c r="AD32" s="721"/>
      <c r="AE32" s="722" t="s">
        <v>535</v>
      </c>
      <c r="AF32" s="722"/>
      <c r="AG32" s="722"/>
      <c r="AH32" s="722"/>
      <c r="AI32" s="722"/>
      <c r="AJ32" s="722"/>
      <c r="AK32" s="196"/>
      <c r="AL32"/>
      <c r="AM32"/>
      <c r="AN32"/>
      <c r="AO32"/>
      <c r="AP32"/>
      <c r="AQ32"/>
      <c r="AR32"/>
      <c r="AS32"/>
      <c r="AT32"/>
      <c r="AU32"/>
      <c r="AV32"/>
      <c r="AW32"/>
      <c r="AX32" s="1"/>
      <c r="AY32" s="1"/>
    </row>
    <row r="33" spans="1:255" ht="14.1" customHeight="1" thickBot="1" x14ac:dyDescent="0.2">
      <c r="A33" s="174"/>
      <c r="B33" s="706" t="s">
        <v>536</v>
      </c>
      <c r="C33" s="781">
        <f>AA56</f>
        <v>7</v>
      </c>
      <c r="D33" s="788">
        <f>IF(AA16&lt;14,1,2)</f>
        <v>1</v>
      </c>
      <c r="E33" s="174"/>
      <c r="F33" s="706" t="s">
        <v>443</v>
      </c>
      <c r="G33" s="723">
        <f>IF(AND(T43="ON",AA10&gt;=18),V39+1,V39)</f>
        <v>0</v>
      </c>
      <c r="H33" s="800">
        <f>W39</f>
        <v>0</v>
      </c>
      <c r="I33" s="174"/>
      <c r="J33" s="724"/>
      <c r="K33" s="724"/>
      <c r="L33" s="724"/>
      <c r="M33" s="724"/>
      <c r="N33" s="724"/>
      <c r="O33" s="735" t="str">
        <f>Z23</f>
        <v>-</v>
      </c>
      <c r="P33" s="735"/>
      <c r="Q33" s="735"/>
      <c r="R33" s="174"/>
      <c r="S33" s="198"/>
      <c r="T33" s="736" t="s">
        <v>709</v>
      </c>
      <c r="U33" s="736"/>
      <c r="V33" s="736"/>
      <c r="W33" s="736"/>
      <c r="X33" s="736"/>
      <c r="Y33" s="736"/>
      <c r="Z33" s="736"/>
      <c r="AA33" s="736"/>
      <c r="AB33" s="196"/>
      <c r="AC33" s="721" t="s">
        <v>154</v>
      </c>
      <c r="AD33" s="721"/>
      <c r="AE33" s="722" t="s">
        <v>537</v>
      </c>
      <c r="AF33" s="722"/>
      <c r="AG33" s="722"/>
      <c r="AH33" s="722"/>
      <c r="AI33" s="722"/>
      <c r="AJ33" s="722"/>
      <c r="AK33" s="196"/>
      <c r="AL33"/>
      <c r="AM33"/>
      <c r="AN33"/>
      <c r="AO33"/>
      <c r="AP33"/>
      <c r="AQ33"/>
      <c r="AR33"/>
      <c r="AS33"/>
      <c r="AT33"/>
      <c r="AU33"/>
      <c r="AV33"/>
      <c r="AW33"/>
      <c r="AX33" s="1"/>
      <c r="AY33" s="1"/>
    </row>
    <row r="34" spans="1:255" ht="14.1" customHeight="1" thickBot="1" x14ac:dyDescent="0.2">
      <c r="A34" s="174"/>
      <c r="B34" s="706"/>
      <c r="C34" s="781"/>
      <c r="D34" s="788"/>
      <c r="E34" s="174"/>
      <c r="F34" s="706"/>
      <c r="G34" s="723"/>
      <c r="H34" s="800"/>
      <c r="I34" s="174"/>
      <c r="J34" s="789" t="s">
        <v>538</v>
      </c>
      <c r="K34" s="789"/>
      <c r="L34" s="789"/>
      <c r="M34" s="789"/>
      <c r="N34" s="789"/>
      <c r="O34" s="650" t="s">
        <v>539</v>
      </c>
      <c r="P34" s="650"/>
      <c r="Q34" s="650"/>
      <c r="R34" s="174"/>
      <c r="S34" s="198"/>
      <c r="T34" s="736"/>
      <c r="U34" s="736"/>
      <c r="V34" s="736"/>
      <c r="W34" s="736"/>
      <c r="X34" s="736"/>
      <c r="Y34" s="736"/>
      <c r="Z34" s="736"/>
      <c r="AA34" s="736"/>
      <c r="AB34" s="196"/>
      <c r="AC34" s="721" t="s">
        <v>185</v>
      </c>
      <c r="AD34" s="721"/>
      <c r="AE34" s="722" t="s">
        <v>540</v>
      </c>
      <c r="AF34" s="722"/>
      <c r="AG34" s="722"/>
      <c r="AH34" s="722"/>
      <c r="AI34" s="722"/>
      <c r="AJ34" s="722"/>
      <c r="AK34" s="196"/>
      <c r="AL34"/>
      <c r="AM34"/>
      <c r="AN34"/>
      <c r="AO34"/>
      <c r="AP34"/>
      <c r="AQ34"/>
      <c r="AR34"/>
      <c r="AS34"/>
      <c r="AT34"/>
      <c r="AU34"/>
      <c r="AV34"/>
      <c r="AW34"/>
      <c r="AX34" s="1"/>
      <c r="AY34" s="1"/>
    </row>
    <row r="35" spans="1:255" ht="14.1" customHeight="1" thickTop="1" thickBot="1" x14ac:dyDescent="0.2">
      <c r="A35" s="174"/>
      <c r="B35" s="780" t="s">
        <v>541</v>
      </c>
      <c r="C35" s="782">
        <f>AA57</f>
        <v>7</v>
      </c>
      <c r="D35" s="785">
        <f>IF(AA16&lt;14,1,2)</f>
        <v>1</v>
      </c>
      <c r="E35" s="174"/>
      <c r="F35" s="780" t="s">
        <v>446</v>
      </c>
      <c r="G35" s="783">
        <f>IF(AND(T43="ON",AA10&gt;=18),V40+1,V40)</f>
        <v>0</v>
      </c>
      <c r="H35" s="784">
        <f>W40</f>
        <v>0</v>
      </c>
      <c r="I35" s="174"/>
      <c r="J35" s="743" t="s">
        <v>18</v>
      </c>
      <c r="K35" s="743"/>
      <c r="L35" s="743"/>
      <c r="M35" s="743"/>
      <c r="N35" s="743"/>
      <c r="O35" s="733" t="s">
        <v>542</v>
      </c>
      <c r="P35" s="733"/>
      <c r="Q35" s="188">
        <f>ROUNDDOWN((AA11/3),0)</f>
        <v>1</v>
      </c>
      <c r="R35" s="174"/>
      <c r="S35" s="198"/>
      <c r="T35" s="744" t="s">
        <v>543</v>
      </c>
      <c r="U35" s="744"/>
      <c r="V35" s="744"/>
      <c r="W35" s="744"/>
      <c r="X35" s="734" t="s">
        <v>544</v>
      </c>
      <c r="Y35" s="734"/>
      <c r="Z35" s="734"/>
      <c r="AA35" s="734"/>
      <c r="AB35" s="196"/>
      <c r="AC35" s="721" t="s">
        <v>213</v>
      </c>
      <c r="AD35" s="721"/>
      <c r="AE35" s="722" t="s">
        <v>545</v>
      </c>
      <c r="AF35" s="722"/>
      <c r="AG35" s="722"/>
      <c r="AH35" s="722"/>
      <c r="AI35" s="722"/>
      <c r="AJ35" s="722"/>
      <c r="AK35" s="196"/>
      <c r="AL35"/>
      <c r="AM35"/>
      <c r="AN35"/>
      <c r="AO35"/>
      <c r="AP35"/>
      <c r="AQ35"/>
      <c r="AR35"/>
      <c r="AS35"/>
      <c r="AT35"/>
      <c r="AU35"/>
      <c r="AV35"/>
      <c r="AW35"/>
      <c r="AX35" s="1"/>
      <c r="AY35" s="1"/>
    </row>
    <row r="36" spans="1:255" ht="14.1" customHeight="1" thickTop="1" thickBot="1" x14ac:dyDescent="0.2">
      <c r="A36" s="174"/>
      <c r="B36" s="780"/>
      <c r="C36" s="782"/>
      <c r="D36" s="785"/>
      <c r="E36" s="174"/>
      <c r="F36" s="780"/>
      <c r="G36" s="783"/>
      <c r="H36" s="784"/>
      <c r="I36" s="174"/>
      <c r="J36" s="743"/>
      <c r="K36" s="743"/>
      <c r="L36" s="743"/>
      <c r="M36" s="743"/>
      <c r="N36" s="743"/>
      <c r="O36" s="741" t="s">
        <v>546</v>
      </c>
      <c r="P36" s="741"/>
      <c r="Q36" s="189">
        <f>ROUNDDOWN((AA13/3),0)</f>
        <v>1</v>
      </c>
      <c r="R36" s="174"/>
      <c r="S36" s="198"/>
      <c r="T36" s="744"/>
      <c r="U36" s="744"/>
      <c r="V36" s="744"/>
      <c r="W36" s="744"/>
      <c r="X36" s="221" t="s">
        <v>547</v>
      </c>
      <c r="Y36" s="222" t="s">
        <v>548</v>
      </c>
      <c r="Z36" s="223" t="s">
        <v>549</v>
      </c>
      <c r="AA36" s="37"/>
      <c r="AB36" s="196"/>
      <c r="AC36" s="721" t="s">
        <v>240</v>
      </c>
      <c r="AD36" s="721"/>
      <c r="AE36" s="722" t="s">
        <v>550</v>
      </c>
      <c r="AF36" s="722"/>
      <c r="AG36" s="722"/>
      <c r="AH36" s="722"/>
      <c r="AI36" s="722"/>
      <c r="AJ36" s="722"/>
      <c r="AK36" s="196"/>
      <c r="AL36"/>
      <c r="AM36"/>
      <c r="AN36"/>
      <c r="AO36"/>
      <c r="AP36"/>
      <c r="AQ36"/>
      <c r="AR36"/>
      <c r="AS36"/>
      <c r="AT36"/>
      <c r="AU36"/>
      <c r="AV36"/>
      <c r="AW36"/>
      <c r="AX36" s="1"/>
      <c r="AY36" s="1"/>
    </row>
    <row r="37" spans="1:255" ht="14.1" customHeight="1" thickBot="1" x14ac:dyDescent="0.2">
      <c r="A37" s="174"/>
      <c r="B37" s="174"/>
      <c r="C37" s="174"/>
      <c r="D37" s="174"/>
      <c r="E37" s="174"/>
      <c r="F37" s="174"/>
      <c r="G37" s="174"/>
      <c r="H37" s="174"/>
      <c r="I37" s="174"/>
      <c r="J37" s="174"/>
      <c r="K37" s="174"/>
      <c r="L37" s="174"/>
      <c r="M37" s="174"/>
      <c r="N37" s="174"/>
      <c r="O37" s="174"/>
      <c r="P37" s="174"/>
      <c r="Q37" s="174"/>
      <c r="R37" s="174"/>
      <c r="S37" s="198"/>
      <c r="T37" s="742"/>
      <c r="U37" s="742"/>
      <c r="V37" s="227" t="s">
        <v>551</v>
      </c>
      <c r="W37" s="228" t="s">
        <v>552</v>
      </c>
      <c r="X37" s="242">
        <f>Z63-SUM(X38:X40)</f>
        <v>3</v>
      </c>
      <c r="Y37" s="243">
        <f>Z64-SUM(Y38:Y40)</f>
        <v>7</v>
      </c>
      <c r="Z37" s="244">
        <f>Z65-SUM(Z38:Z40)</f>
        <v>7</v>
      </c>
      <c r="AA37" s="231" t="s">
        <v>553</v>
      </c>
      <c r="AB37" s="196"/>
      <c r="AC37" s="721" t="s">
        <v>264</v>
      </c>
      <c r="AD37" s="721"/>
      <c r="AE37" s="722" t="s">
        <v>554</v>
      </c>
      <c r="AF37" s="722"/>
      <c r="AG37" s="722"/>
      <c r="AH37" s="722"/>
      <c r="AI37" s="722"/>
      <c r="AJ37" s="722"/>
      <c r="AK37" s="196"/>
      <c r="AL37"/>
      <c r="AM37"/>
      <c r="AN37"/>
      <c r="AO37"/>
      <c r="AP37"/>
      <c r="AQ37"/>
      <c r="AR37"/>
      <c r="AS37"/>
      <c r="AT37"/>
      <c r="AU37"/>
      <c r="AV37"/>
      <c r="AW37"/>
      <c r="AX37" s="1"/>
      <c r="AY37" s="1"/>
    </row>
    <row r="38" spans="1:255" ht="14.1" customHeight="1" x14ac:dyDescent="0.15">
      <c r="A38" s="174"/>
      <c r="B38" s="694" t="s">
        <v>555</v>
      </c>
      <c r="C38" s="694"/>
      <c r="D38" s="694"/>
      <c r="E38" s="694"/>
      <c r="F38" s="694"/>
      <c r="G38" s="694"/>
      <c r="H38" s="694"/>
      <c r="I38" s="694"/>
      <c r="J38" s="703" t="s">
        <v>556</v>
      </c>
      <c r="K38" s="703"/>
      <c r="L38" s="703"/>
      <c r="M38" s="703"/>
      <c r="N38" s="703"/>
      <c r="O38" s="703"/>
      <c r="P38" s="703"/>
      <c r="Q38" s="703"/>
      <c r="R38" s="174"/>
      <c r="S38" s="198"/>
      <c r="T38" s="740" t="s">
        <v>557</v>
      </c>
      <c r="U38" s="740"/>
      <c r="V38" s="59"/>
      <c r="W38" s="60"/>
      <c r="X38" s="255"/>
      <c r="Y38" s="207"/>
      <c r="Z38" s="224"/>
      <c r="AA38" s="245">
        <f>ROUNDDOWN((Y38/2),0)+ROUNDDOWN((Z38/2),0)+(X38)</f>
        <v>0</v>
      </c>
      <c r="AB38" s="196"/>
      <c r="AC38" s="721" t="s">
        <v>87</v>
      </c>
      <c r="AD38" s="721"/>
      <c r="AE38" s="722" t="s">
        <v>558</v>
      </c>
      <c r="AF38" s="722"/>
      <c r="AG38" s="722"/>
      <c r="AH38" s="722"/>
      <c r="AI38" s="722"/>
      <c r="AJ38" s="722"/>
      <c r="AK38" s="196"/>
      <c r="AL38"/>
      <c r="AM38"/>
      <c r="AN38"/>
      <c r="AO38"/>
      <c r="AP38"/>
      <c r="AQ38"/>
      <c r="AR38"/>
      <c r="AS38"/>
      <c r="AT38"/>
      <c r="AU38"/>
      <c r="AV38"/>
      <c r="AW38"/>
      <c r="AX38" s="1"/>
      <c r="AY38" s="1"/>
    </row>
    <row r="39" spans="1:255" ht="14.1" customHeight="1" x14ac:dyDescent="0.15">
      <c r="A39" s="174"/>
      <c r="B39" s="738" t="s">
        <v>12</v>
      </c>
      <c r="C39" s="738"/>
      <c r="D39" s="738"/>
      <c r="E39" s="739" t="s">
        <v>559</v>
      </c>
      <c r="F39" s="739"/>
      <c r="G39" s="739"/>
      <c r="H39" s="739" t="s">
        <v>560</v>
      </c>
      <c r="I39" s="739"/>
      <c r="J39" s="752"/>
      <c r="K39" s="752"/>
      <c r="L39" s="752"/>
      <c r="M39" s="752"/>
      <c r="N39" s="752"/>
      <c r="O39" s="752"/>
      <c r="P39" s="752"/>
      <c r="Q39" s="752"/>
      <c r="R39" s="174"/>
      <c r="S39" s="198"/>
      <c r="T39" s="740" t="s">
        <v>561</v>
      </c>
      <c r="U39" s="740"/>
      <c r="V39" s="59"/>
      <c r="W39" s="60"/>
      <c r="X39" s="226"/>
      <c r="Y39" s="256"/>
      <c r="Z39" s="224"/>
      <c r="AA39" s="245">
        <f>ROUNDDOWN((X39/2),0)+ROUNDDOWN((Z39/2),0)+(Y39)</f>
        <v>0</v>
      </c>
      <c r="AB39" s="196"/>
      <c r="AC39" s="721" t="s">
        <v>283</v>
      </c>
      <c r="AD39" s="721"/>
      <c r="AE39" s="722" t="s">
        <v>562</v>
      </c>
      <c r="AF39" s="722"/>
      <c r="AG39" s="722"/>
      <c r="AH39" s="722"/>
      <c r="AI39" s="722"/>
      <c r="AJ39" s="722"/>
      <c r="AK39" s="197"/>
      <c r="AL39"/>
      <c r="AM39"/>
      <c r="AN39"/>
      <c r="AO39"/>
      <c r="AP39"/>
      <c r="AQ39"/>
      <c r="AR39"/>
      <c r="AS39"/>
      <c r="AT39"/>
      <c r="AU39"/>
      <c r="AV39"/>
      <c r="AW39"/>
      <c r="AX39" s="1"/>
      <c r="AY39" s="1"/>
    </row>
    <row r="40" spans="1:255" ht="14.1" customHeight="1" thickBot="1" x14ac:dyDescent="0.2">
      <c r="A40" s="174"/>
      <c r="B40" s="747" t="s">
        <v>18</v>
      </c>
      <c r="C40" s="747"/>
      <c r="D40" s="747"/>
      <c r="E40" s="748" t="s">
        <v>18</v>
      </c>
      <c r="F40" s="748"/>
      <c r="G40" s="748"/>
      <c r="H40" s="749"/>
      <c r="I40" s="749"/>
      <c r="J40" s="752"/>
      <c r="K40" s="752"/>
      <c r="L40" s="752"/>
      <c r="M40" s="752"/>
      <c r="N40" s="752"/>
      <c r="O40" s="752"/>
      <c r="P40" s="752"/>
      <c r="Q40" s="752"/>
      <c r="R40" s="174"/>
      <c r="S40" s="198"/>
      <c r="T40" s="750" t="s">
        <v>563</v>
      </c>
      <c r="U40" s="750"/>
      <c r="V40" s="61"/>
      <c r="W40" s="62"/>
      <c r="X40" s="225"/>
      <c r="Y40" s="208"/>
      <c r="Z40" s="257"/>
      <c r="AA40" s="246">
        <f>ROUNDDOWN((X40/2),0)+ROUNDDOWN((Y40/2),0)+(Z40)</f>
        <v>0</v>
      </c>
      <c r="AB40" s="196"/>
      <c r="AC40" s="721" t="s">
        <v>302</v>
      </c>
      <c r="AD40" s="721"/>
      <c r="AE40" s="722" t="s">
        <v>564</v>
      </c>
      <c r="AF40" s="722"/>
      <c r="AG40" s="722"/>
      <c r="AH40" s="722"/>
      <c r="AI40" s="722"/>
      <c r="AJ40" s="722"/>
      <c r="AK40" s="197"/>
      <c r="AL40"/>
      <c r="AM40"/>
      <c r="AN40"/>
      <c r="AO40"/>
      <c r="AP40"/>
      <c r="AQ40"/>
      <c r="AR40"/>
      <c r="AS40"/>
      <c r="AT40"/>
      <c r="AU40"/>
      <c r="AV40"/>
      <c r="AW40"/>
      <c r="AX40" s="1"/>
      <c r="AY40" s="1"/>
      <c r="IS40" s="78"/>
      <c r="IT40" s="78"/>
      <c r="IU40" s="78"/>
    </row>
    <row r="41" spans="1:255" ht="14.1" customHeight="1" thickTop="1" thickBot="1" x14ac:dyDescent="0.2">
      <c r="A41" s="174"/>
      <c r="B41" s="747" t="s">
        <v>18</v>
      </c>
      <c r="C41" s="747"/>
      <c r="D41" s="747"/>
      <c r="E41" s="748" t="s">
        <v>18</v>
      </c>
      <c r="F41" s="748"/>
      <c r="G41" s="748"/>
      <c r="H41" s="749"/>
      <c r="I41" s="749"/>
      <c r="J41" s="752"/>
      <c r="K41" s="752"/>
      <c r="L41" s="752"/>
      <c r="M41" s="752"/>
      <c r="N41" s="752"/>
      <c r="O41" s="752"/>
      <c r="P41" s="752"/>
      <c r="Q41" s="752"/>
      <c r="R41" s="174"/>
      <c r="S41" s="196"/>
      <c r="T41" s="196"/>
      <c r="U41" s="198"/>
      <c r="V41" s="264" t="s">
        <v>708</v>
      </c>
      <c r="W41" s="196"/>
      <c r="X41" s="751" t="s">
        <v>565</v>
      </c>
      <c r="Y41" s="751"/>
      <c r="Z41" s="751"/>
      <c r="AA41" s="198"/>
      <c r="AB41" s="197"/>
      <c r="AC41" s="745" t="s">
        <v>248</v>
      </c>
      <c r="AD41" s="745"/>
      <c r="AE41" s="746" t="s">
        <v>566</v>
      </c>
      <c r="AF41" s="746"/>
      <c r="AG41" s="746"/>
      <c r="AH41" s="746"/>
      <c r="AI41" s="746"/>
      <c r="AJ41" s="746"/>
      <c r="AK41" s="197"/>
      <c r="AL41"/>
      <c r="AM41"/>
      <c r="AN41"/>
      <c r="AO41"/>
      <c r="AP41"/>
      <c r="AQ41"/>
      <c r="AR41"/>
      <c r="AS41"/>
      <c r="AT41"/>
      <c r="AU41"/>
      <c r="AV41"/>
      <c r="AW41"/>
      <c r="AX41" s="1"/>
      <c r="AY41" s="1"/>
      <c r="IS41" s="78"/>
      <c r="IT41" s="78"/>
      <c r="IU41" s="78"/>
    </row>
    <row r="42" spans="1:255" ht="14.1" customHeight="1" thickBot="1" x14ac:dyDescent="0.2">
      <c r="A42" s="174"/>
      <c r="B42" s="747" t="s">
        <v>18</v>
      </c>
      <c r="C42" s="747"/>
      <c r="D42" s="747"/>
      <c r="E42" s="748" t="s">
        <v>18</v>
      </c>
      <c r="F42" s="748"/>
      <c r="G42" s="748"/>
      <c r="H42" s="749"/>
      <c r="I42" s="749"/>
      <c r="J42" s="769" t="s">
        <v>567</v>
      </c>
      <c r="K42" s="769"/>
      <c r="L42" s="769"/>
      <c r="M42" s="769"/>
      <c r="N42" s="769"/>
      <c r="O42" s="769"/>
      <c r="P42" s="769"/>
      <c r="Q42" s="769"/>
      <c r="R42" s="174"/>
      <c r="S42" s="196"/>
      <c r="T42" s="777" t="s">
        <v>1124</v>
      </c>
      <c r="U42" s="778"/>
      <c r="V42" s="198"/>
      <c r="W42" s="198"/>
      <c r="X42" s="770" t="s">
        <v>568</v>
      </c>
      <c r="Y42" s="770"/>
      <c r="Z42" s="770"/>
      <c r="AA42" s="198"/>
      <c r="AB42" s="196"/>
      <c r="AC42" s="196"/>
      <c r="AD42" s="196"/>
      <c r="AE42" s="196"/>
      <c r="AF42" s="196"/>
      <c r="AG42" s="196"/>
      <c r="AH42" s="196"/>
      <c r="AI42" s="196"/>
      <c r="AJ42" s="196"/>
      <c r="AK42" s="197"/>
      <c r="AL42"/>
      <c r="AM42"/>
      <c r="AN42"/>
      <c r="AO42"/>
      <c r="AP42"/>
      <c r="AQ42"/>
      <c r="AR42"/>
      <c r="AS42"/>
      <c r="AT42"/>
      <c r="AU42"/>
      <c r="AV42"/>
      <c r="AW42"/>
      <c r="AX42"/>
      <c r="AY42" s="1"/>
      <c r="IS42" s="78"/>
      <c r="IT42" s="78"/>
      <c r="IU42" s="78"/>
    </row>
    <row r="43" spans="1:255" ht="14.1" customHeight="1" thickBot="1" x14ac:dyDescent="0.2">
      <c r="A43" s="174"/>
      <c r="B43" s="747" t="s">
        <v>18</v>
      </c>
      <c r="C43" s="747"/>
      <c r="D43" s="747"/>
      <c r="E43" s="748" t="s">
        <v>18</v>
      </c>
      <c r="F43" s="748"/>
      <c r="G43" s="748"/>
      <c r="H43" s="749"/>
      <c r="I43" s="749"/>
      <c r="J43" s="763"/>
      <c r="K43" s="763"/>
      <c r="L43" s="763"/>
      <c r="M43" s="763"/>
      <c r="N43" s="763"/>
      <c r="O43" s="763"/>
      <c r="P43" s="763"/>
      <c r="Q43" s="763"/>
      <c r="R43" s="174"/>
      <c r="S43" s="196"/>
      <c r="T43" s="757" t="s">
        <v>1125</v>
      </c>
      <c r="U43" s="758"/>
      <c r="V43" s="198"/>
      <c r="W43" s="198"/>
      <c r="X43" s="221" t="s">
        <v>547</v>
      </c>
      <c r="Y43" s="230" t="s">
        <v>548</v>
      </c>
      <c r="Z43" s="223" t="s">
        <v>549</v>
      </c>
      <c r="AA43" s="198"/>
      <c r="AB43" s="196"/>
      <c r="AC43" s="753" t="s">
        <v>569</v>
      </c>
      <c r="AD43" s="753"/>
      <c r="AE43" s="753"/>
      <c r="AF43" s="753"/>
      <c r="AG43" s="753"/>
      <c r="AH43" s="753"/>
      <c r="AI43" s="753"/>
      <c r="AJ43" s="753"/>
      <c r="AK43" s="196"/>
      <c r="AL43"/>
      <c r="AM43"/>
      <c r="AN43"/>
      <c r="AO43"/>
      <c r="AP43"/>
      <c r="AQ43"/>
      <c r="AR43"/>
      <c r="AS43"/>
      <c r="AT43"/>
      <c r="AU43"/>
      <c r="AV43"/>
      <c r="AW43"/>
      <c r="AX43"/>
      <c r="AY43" s="1"/>
      <c r="IU43" s="78"/>
    </row>
    <row r="44" spans="1:255" ht="14.1" customHeight="1" thickBot="1" x14ac:dyDescent="0.2">
      <c r="A44" s="174"/>
      <c r="B44" s="747" t="s">
        <v>18</v>
      </c>
      <c r="C44" s="747"/>
      <c r="D44" s="747"/>
      <c r="E44" s="748" t="s">
        <v>18</v>
      </c>
      <c r="F44" s="748"/>
      <c r="G44" s="748"/>
      <c r="H44" s="749"/>
      <c r="I44" s="749"/>
      <c r="J44" s="763"/>
      <c r="K44" s="763"/>
      <c r="L44" s="763"/>
      <c r="M44" s="763"/>
      <c r="N44" s="763"/>
      <c r="O44" s="763"/>
      <c r="P44" s="763"/>
      <c r="Q44" s="763"/>
      <c r="R44" s="174"/>
      <c r="S44" s="196"/>
      <c r="T44" s="759"/>
      <c r="U44" s="760"/>
      <c r="V44" s="198"/>
      <c r="W44" s="221" t="s">
        <v>553</v>
      </c>
      <c r="X44" s="247">
        <f>AA38</f>
        <v>0</v>
      </c>
      <c r="Y44" s="248">
        <f>AA39</f>
        <v>0</v>
      </c>
      <c r="Z44" s="249">
        <f>AA40</f>
        <v>0</v>
      </c>
      <c r="AA44" s="198"/>
      <c r="AB44" s="196"/>
      <c r="AC44" s="754" t="s">
        <v>570</v>
      </c>
      <c r="AD44" s="755" t="s">
        <v>571</v>
      </c>
      <c r="AE44" s="755"/>
      <c r="AF44" s="755"/>
      <c r="AG44" s="76" t="s">
        <v>572</v>
      </c>
      <c r="AH44" s="77" t="s">
        <v>573</v>
      </c>
      <c r="AI44" s="77" t="s">
        <v>574</v>
      </c>
      <c r="AJ44" s="77" t="s">
        <v>28</v>
      </c>
      <c r="AK44" s="196"/>
      <c r="AL44"/>
      <c r="AM44"/>
      <c r="AN44"/>
      <c r="AO44"/>
      <c r="AP44"/>
      <c r="AQ44"/>
      <c r="AR44"/>
      <c r="AS44"/>
      <c r="AT44"/>
      <c r="AU44"/>
      <c r="AV44"/>
      <c r="AW44"/>
      <c r="AX44"/>
      <c r="AY44" s="1"/>
    </row>
    <row r="45" spans="1:255" ht="14.1" customHeight="1" thickBot="1" x14ac:dyDescent="0.2">
      <c r="A45" s="174"/>
      <c r="B45" s="747" t="s">
        <v>18</v>
      </c>
      <c r="C45" s="747"/>
      <c r="D45" s="747"/>
      <c r="E45" s="748" t="s">
        <v>18</v>
      </c>
      <c r="F45" s="748"/>
      <c r="G45" s="748"/>
      <c r="H45" s="749"/>
      <c r="I45" s="749"/>
      <c r="J45" s="763"/>
      <c r="K45" s="763"/>
      <c r="L45" s="763"/>
      <c r="M45" s="763"/>
      <c r="N45" s="763"/>
      <c r="O45" s="763"/>
      <c r="P45" s="763"/>
      <c r="Q45" s="763"/>
      <c r="R45" s="174"/>
      <c r="S45" s="196"/>
      <c r="T45" s="761"/>
      <c r="U45" s="762"/>
      <c r="V45" s="196"/>
      <c r="W45" s="229" t="s">
        <v>575</v>
      </c>
      <c r="X45" s="250">
        <f>X44-(V38*3)-W38</f>
        <v>0</v>
      </c>
      <c r="Y45" s="251">
        <f>Y44-(V39*3)-W39</f>
        <v>0</v>
      </c>
      <c r="Z45" s="252">
        <f>Z44-(V40*3)-W40</f>
        <v>0</v>
      </c>
      <c r="AA45" s="196"/>
      <c r="AB45" s="196"/>
      <c r="AC45" s="754"/>
      <c r="AD45" s="755"/>
      <c r="AE45" s="755"/>
      <c r="AF45" s="755"/>
      <c r="AG45" s="755" t="s">
        <v>571</v>
      </c>
      <c r="AH45" s="756" t="s">
        <v>576</v>
      </c>
      <c r="AI45" s="756" t="s">
        <v>577</v>
      </c>
      <c r="AJ45" s="756" t="s">
        <v>578</v>
      </c>
      <c r="AK45" s="196"/>
      <c r="AL45"/>
      <c r="AM45"/>
      <c r="AN45"/>
      <c r="AO45"/>
      <c r="AP45"/>
      <c r="AQ45"/>
      <c r="AR45"/>
      <c r="AS45"/>
      <c r="AT45"/>
      <c r="AU45"/>
      <c r="AV45"/>
      <c r="AW45"/>
      <c r="AX45"/>
      <c r="AY45" s="1"/>
    </row>
    <row r="46" spans="1:255" ht="14.1" customHeight="1" thickBot="1" x14ac:dyDescent="0.2">
      <c r="A46" s="174"/>
      <c r="B46" s="747" t="s">
        <v>18</v>
      </c>
      <c r="C46" s="747"/>
      <c r="D46" s="747"/>
      <c r="E46" s="748" t="s">
        <v>18</v>
      </c>
      <c r="F46" s="748"/>
      <c r="G46" s="748"/>
      <c r="H46" s="749"/>
      <c r="I46" s="749"/>
      <c r="J46" s="763"/>
      <c r="K46" s="763"/>
      <c r="L46" s="763"/>
      <c r="M46" s="763"/>
      <c r="N46" s="763"/>
      <c r="O46" s="763"/>
      <c r="P46" s="763"/>
      <c r="Q46" s="763"/>
      <c r="R46" s="174"/>
      <c r="S46" s="196"/>
      <c r="T46" s="196"/>
      <c r="U46" s="196"/>
      <c r="V46" s="196"/>
      <c r="W46" s="196"/>
      <c r="X46" s="196"/>
      <c r="Y46" s="196"/>
      <c r="Z46" s="196"/>
      <c r="AA46" s="196"/>
      <c r="AB46" s="196"/>
      <c r="AC46" s="754"/>
      <c r="AD46" s="754"/>
      <c r="AE46" s="755"/>
      <c r="AF46" s="755"/>
      <c r="AG46" s="755"/>
      <c r="AH46" s="756"/>
      <c r="AI46" s="756"/>
      <c r="AJ46" s="756"/>
      <c r="AK46" s="196"/>
      <c r="AL46"/>
      <c r="AM46"/>
      <c r="AN46"/>
      <c r="AO46"/>
      <c r="AP46"/>
      <c r="AQ46"/>
      <c r="AR46"/>
      <c r="AS46"/>
      <c r="AT46"/>
      <c r="AU46"/>
      <c r="AV46"/>
      <c r="AW46"/>
      <c r="AX46"/>
      <c r="AY46" s="1"/>
    </row>
    <row r="47" spans="1:255" ht="14.1" customHeight="1" thickBot="1" x14ac:dyDescent="0.2">
      <c r="A47" s="174"/>
      <c r="B47" s="747" t="s">
        <v>18</v>
      </c>
      <c r="C47" s="747"/>
      <c r="D47" s="747"/>
      <c r="E47" s="748" t="s">
        <v>18</v>
      </c>
      <c r="F47" s="748"/>
      <c r="G47" s="748"/>
      <c r="H47" s="749"/>
      <c r="I47" s="749"/>
      <c r="J47" s="763"/>
      <c r="K47" s="763"/>
      <c r="L47" s="763"/>
      <c r="M47" s="763"/>
      <c r="N47" s="763"/>
      <c r="O47" s="763"/>
      <c r="P47" s="763"/>
      <c r="Q47" s="763"/>
      <c r="R47" s="174"/>
      <c r="S47" s="196"/>
      <c r="T47" s="766" t="s">
        <v>503</v>
      </c>
      <c r="U47" s="766"/>
      <c r="V47" s="766"/>
      <c r="W47" s="766"/>
      <c r="X47" s="766"/>
      <c r="Y47" s="766"/>
      <c r="Z47" s="766"/>
      <c r="AA47" s="766"/>
      <c r="AB47" s="196"/>
      <c r="AC47" s="70" t="s">
        <v>496</v>
      </c>
      <c r="AD47" s="755" t="s">
        <v>579</v>
      </c>
      <c r="AE47" s="755"/>
      <c r="AF47" s="755"/>
      <c r="AG47" s="69" t="s">
        <v>111</v>
      </c>
      <c r="AH47" s="70" t="s">
        <v>580</v>
      </c>
      <c r="AI47" s="70" t="s">
        <v>581</v>
      </c>
      <c r="AJ47" s="70" t="s">
        <v>582</v>
      </c>
      <c r="AK47" s="196"/>
      <c r="AL47"/>
      <c r="AM47"/>
      <c r="AN47"/>
      <c r="AO47"/>
      <c r="AP47"/>
      <c r="AQ47"/>
      <c r="AR47"/>
      <c r="AS47"/>
      <c r="AT47"/>
      <c r="AU47"/>
      <c r="AV47"/>
      <c r="AW47"/>
      <c r="AX47"/>
      <c r="AY47" s="1"/>
    </row>
    <row r="48" spans="1:255" ht="14.1" customHeight="1" thickBot="1" x14ac:dyDescent="0.2">
      <c r="A48" s="174"/>
      <c r="B48" s="747" t="s">
        <v>18</v>
      </c>
      <c r="C48" s="747"/>
      <c r="D48" s="747"/>
      <c r="E48" s="748" t="s">
        <v>931</v>
      </c>
      <c r="F48" s="748"/>
      <c r="G48" s="748"/>
      <c r="H48" s="749"/>
      <c r="I48" s="749"/>
      <c r="J48" s="763"/>
      <c r="K48" s="763"/>
      <c r="L48" s="763"/>
      <c r="M48" s="763"/>
      <c r="N48" s="763"/>
      <c r="O48" s="763"/>
      <c r="P48" s="763"/>
      <c r="Q48" s="763"/>
      <c r="R48" s="174"/>
      <c r="S48" s="196"/>
      <c r="T48" s="232"/>
      <c r="U48" s="233" t="s">
        <v>583</v>
      </c>
      <c r="V48" s="767" t="s">
        <v>584</v>
      </c>
      <c r="W48" s="767"/>
      <c r="X48" s="63" t="s">
        <v>585</v>
      </c>
      <c r="Y48" s="233" t="s">
        <v>494</v>
      </c>
      <c r="Z48" s="63" t="s">
        <v>586</v>
      </c>
      <c r="AA48" s="65" t="s">
        <v>505</v>
      </c>
      <c r="AB48" s="196"/>
      <c r="AC48" s="70" t="s">
        <v>497</v>
      </c>
      <c r="AD48" s="755" t="s">
        <v>587</v>
      </c>
      <c r="AE48" s="755"/>
      <c r="AF48" s="755"/>
      <c r="AG48" s="69" t="s">
        <v>98</v>
      </c>
      <c r="AH48" s="70" t="s">
        <v>588</v>
      </c>
      <c r="AI48" s="70" t="s">
        <v>589</v>
      </c>
      <c r="AJ48" s="70" t="s">
        <v>590</v>
      </c>
      <c r="AK48" s="196"/>
      <c r="AL48"/>
      <c r="AM48"/>
      <c r="AN48"/>
      <c r="AO48"/>
      <c r="AP48"/>
      <c r="AQ48"/>
      <c r="AR48"/>
      <c r="AS48"/>
      <c r="AT48"/>
      <c r="AU48"/>
      <c r="AV48"/>
      <c r="AW48"/>
      <c r="AX48"/>
      <c r="AY48" s="1"/>
    </row>
    <row r="49" spans="1:51" ht="14.1" customHeight="1" thickBot="1" x14ac:dyDescent="0.2">
      <c r="A49" s="174"/>
      <c r="B49" s="747" t="s">
        <v>18</v>
      </c>
      <c r="C49" s="747"/>
      <c r="D49" s="747"/>
      <c r="E49" s="748" t="s">
        <v>931</v>
      </c>
      <c r="F49" s="748"/>
      <c r="G49" s="748"/>
      <c r="H49" s="749"/>
      <c r="I49" s="749"/>
      <c r="J49" s="763"/>
      <c r="K49" s="763"/>
      <c r="L49" s="763"/>
      <c r="M49" s="763"/>
      <c r="N49" s="763"/>
      <c r="O49" s="763"/>
      <c r="P49" s="763"/>
      <c r="Q49" s="763"/>
      <c r="R49" s="174"/>
      <c r="S49" s="196"/>
      <c r="T49" s="234" t="s">
        <v>438</v>
      </c>
      <c r="U49" s="203">
        <f>(AA10*2)+(AA11)</f>
        <v>12</v>
      </c>
      <c r="V49" s="764"/>
      <c r="W49" s="764"/>
      <c r="X49" s="64" t="s">
        <v>507</v>
      </c>
      <c r="Y49" s="238" t="s">
        <v>507</v>
      </c>
      <c r="Z49" s="57"/>
      <c r="AA49" s="253">
        <f t="shared" ref="AA49:AA59" si="8">SUM(U49:Z49)</f>
        <v>12</v>
      </c>
      <c r="AB49" s="196"/>
      <c r="AC49" s="70" t="s">
        <v>591</v>
      </c>
      <c r="AD49" s="755" t="s">
        <v>592</v>
      </c>
      <c r="AE49" s="755"/>
      <c r="AF49" s="755"/>
      <c r="AG49" s="69" t="s">
        <v>83</v>
      </c>
      <c r="AH49" s="70" t="s">
        <v>593</v>
      </c>
      <c r="AI49" s="70" t="s">
        <v>594</v>
      </c>
      <c r="AJ49" s="70" t="s">
        <v>595</v>
      </c>
      <c r="AK49" s="196"/>
      <c r="AL49"/>
      <c r="AM49"/>
      <c r="AN49"/>
      <c r="AO49"/>
      <c r="AP49"/>
      <c r="AQ49"/>
      <c r="AR49"/>
      <c r="AS49"/>
      <c r="AT49"/>
      <c r="AU49"/>
      <c r="AV49"/>
      <c r="AW49"/>
      <c r="AX49"/>
      <c r="AY49" s="1"/>
    </row>
    <row r="50" spans="1:51" ht="14.1" customHeight="1" thickBot="1" x14ac:dyDescent="0.2">
      <c r="A50" s="174"/>
      <c r="B50" s="747" t="s">
        <v>18</v>
      </c>
      <c r="C50" s="747"/>
      <c r="D50" s="747"/>
      <c r="E50" s="765" t="s">
        <v>724</v>
      </c>
      <c r="F50" s="765"/>
      <c r="G50" s="765"/>
      <c r="H50" s="749"/>
      <c r="I50" s="749"/>
      <c r="J50" s="763"/>
      <c r="K50" s="763"/>
      <c r="L50" s="763"/>
      <c r="M50" s="763"/>
      <c r="N50" s="763"/>
      <c r="O50" s="763"/>
      <c r="P50" s="763"/>
      <c r="Q50" s="763"/>
      <c r="R50" s="174"/>
      <c r="S50" s="196"/>
      <c r="T50" s="234" t="s">
        <v>441</v>
      </c>
      <c r="U50" s="203">
        <f>AA13+ROUNDDOWN((AA11/2),0)+ROUNDDOWN((AA16/2),0)+10</f>
        <v>18</v>
      </c>
      <c r="V50" s="764"/>
      <c r="W50" s="764"/>
      <c r="X50" s="54">
        <f>IF(H18&lt;18,0,3)</f>
        <v>0</v>
      </c>
      <c r="Y50" s="203" t="str">
        <f>IF(C13="大器",10,"0")</f>
        <v>0</v>
      </c>
      <c r="Z50" s="57"/>
      <c r="AA50" s="253">
        <f t="shared" si="8"/>
        <v>18</v>
      </c>
      <c r="AB50" s="196"/>
      <c r="AC50" s="70" t="s">
        <v>596</v>
      </c>
      <c r="AD50" s="755" t="s">
        <v>597</v>
      </c>
      <c r="AE50" s="755"/>
      <c r="AF50" s="755"/>
      <c r="AG50" s="69" t="s">
        <v>66</v>
      </c>
      <c r="AH50" s="70" t="s">
        <v>598</v>
      </c>
      <c r="AI50" s="70" t="s">
        <v>599</v>
      </c>
      <c r="AJ50" s="70" t="s">
        <v>600</v>
      </c>
      <c r="AK50" s="197"/>
      <c r="AL50"/>
      <c r="AM50"/>
      <c r="AN50"/>
      <c r="AO50"/>
      <c r="AP50"/>
      <c r="AQ50"/>
      <c r="AR50"/>
      <c r="AS50"/>
      <c r="AT50"/>
      <c r="AU50"/>
      <c r="AV50"/>
      <c r="AW50"/>
      <c r="AX50"/>
      <c r="AY50" s="1"/>
    </row>
    <row r="51" spans="1:51" ht="14.1" customHeight="1" thickBot="1" x14ac:dyDescent="0.2">
      <c r="A51" s="174"/>
      <c r="B51" s="747" t="s">
        <v>18</v>
      </c>
      <c r="C51" s="747"/>
      <c r="D51" s="747"/>
      <c r="E51" s="768" t="s">
        <v>292</v>
      </c>
      <c r="F51" s="768"/>
      <c r="G51" s="768"/>
      <c r="H51" s="749"/>
      <c r="I51" s="749"/>
      <c r="J51" s="763"/>
      <c r="K51" s="763"/>
      <c r="L51" s="763"/>
      <c r="M51" s="763"/>
      <c r="N51" s="763"/>
      <c r="O51" s="763"/>
      <c r="P51" s="763"/>
      <c r="Q51" s="763"/>
      <c r="R51" s="174"/>
      <c r="S51" s="196"/>
      <c r="T51" s="235" t="s">
        <v>513</v>
      </c>
      <c r="U51" s="236">
        <f>AA50-ROUNDDOWN((AA55/3),0)</f>
        <v>16</v>
      </c>
      <c r="V51" s="236" t="s">
        <v>507</v>
      </c>
      <c r="W51" s="236" t="s">
        <v>507</v>
      </c>
      <c r="X51" s="236" t="s">
        <v>507</v>
      </c>
      <c r="Y51" s="236" t="s">
        <v>507</v>
      </c>
      <c r="Z51" s="71"/>
      <c r="AA51" s="253">
        <f t="shared" si="8"/>
        <v>16</v>
      </c>
      <c r="AB51" s="196"/>
      <c r="AC51" s="70" t="s">
        <v>598</v>
      </c>
      <c r="AD51" s="755" t="s">
        <v>601</v>
      </c>
      <c r="AE51" s="755"/>
      <c r="AF51" s="755"/>
      <c r="AG51" s="69" t="s">
        <v>48</v>
      </c>
      <c r="AH51" s="70" t="s">
        <v>602</v>
      </c>
      <c r="AI51" s="70" t="s">
        <v>603</v>
      </c>
      <c r="AJ51" s="70" t="s">
        <v>604</v>
      </c>
      <c r="AK51" s="197"/>
      <c r="AL51"/>
      <c r="AM51"/>
      <c r="AN51"/>
      <c r="AO51"/>
      <c r="AP51"/>
      <c r="AQ51"/>
      <c r="AR51"/>
      <c r="AS51"/>
      <c r="AT51"/>
      <c r="AU51"/>
      <c r="AV51"/>
      <c r="AW51"/>
      <c r="AX51"/>
      <c r="AY51" s="1"/>
    </row>
    <row r="52" spans="1:51" ht="14.1" customHeight="1" thickBot="1" x14ac:dyDescent="0.2">
      <c r="A52" s="174"/>
      <c r="B52" s="703" t="s">
        <v>605</v>
      </c>
      <c r="C52" s="703"/>
      <c r="D52" s="703"/>
      <c r="E52" s="703"/>
      <c r="F52" s="703"/>
      <c r="G52" s="703"/>
      <c r="H52" s="703"/>
      <c r="I52" s="703"/>
      <c r="J52" s="703"/>
      <c r="K52" s="703"/>
      <c r="L52" s="703"/>
      <c r="M52" s="703"/>
      <c r="N52" s="703"/>
      <c r="O52" s="703"/>
      <c r="P52" s="703"/>
      <c r="Q52" s="703"/>
      <c r="R52" s="174"/>
      <c r="S52" s="196"/>
      <c r="T52" s="234" t="s">
        <v>521</v>
      </c>
      <c r="U52" s="203">
        <f>ROUNDDOWN((AA11/2),0)</f>
        <v>2</v>
      </c>
      <c r="V52" s="236" t="s">
        <v>507</v>
      </c>
      <c r="W52" s="236" t="s">
        <v>507</v>
      </c>
      <c r="X52" s="203">
        <f>IF(H17&lt;18,0,1)</f>
        <v>0</v>
      </c>
      <c r="Y52" s="238" t="s">
        <v>507</v>
      </c>
      <c r="Z52" s="57"/>
      <c r="AA52" s="253">
        <f t="shared" si="8"/>
        <v>2</v>
      </c>
      <c r="AB52" s="196"/>
      <c r="AC52" s="70" t="s">
        <v>606</v>
      </c>
      <c r="AD52" s="755" t="s">
        <v>607</v>
      </c>
      <c r="AE52" s="755"/>
      <c r="AF52" s="755"/>
      <c r="AG52" s="69" t="s">
        <v>28</v>
      </c>
      <c r="AH52" s="70" t="s">
        <v>501</v>
      </c>
      <c r="AI52" s="70" t="s">
        <v>608</v>
      </c>
      <c r="AJ52" s="70" t="s">
        <v>609</v>
      </c>
      <c r="AK52" s="197"/>
      <c r="AL52"/>
      <c r="AM52"/>
      <c r="AN52"/>
      <c r="AO52"/>
      <c r="AP52"/>
      <c r="AQ52"/>
      <c r="AR52"/>
      <c r="AS52"/>
      <c r="AT52"/>
      <c r="AU52"/>
      <c r="AV52"/>
      <c r="AW52"/>
      <c r="AX52"/>
      <c r="AY52" s="1"/>
    </row>
    <row r="53" spans="1:51" ht="14.1" customHeight="1" thickBot="1" x14ac:dyDescent="0.2">
      <c r="A53" s="174"/>
      <c r="B53" s="771" t="s">
        <v>610</v>
      </c>
      <c r="C53" s="771"/>
      <c r="D53" s="771"/>
      <c r="E53" s="771"/>
      <c r="F53" s="771"/>
      <c r="G53" s="771"/>
      <c r="H53" s="771"/>
      <c r="I53" s="771"/>
      <c r="J53" s="771"/>
      <c r="K53" s="771"/>
      <c r="L53" s="771"/>
      <c r="M53" s="771"/>
      <c r="N53" s="771"/>
      <c r="O53" s="771"/>
      <c r="P53" s="771"/>
      <c r="Q53" s="771"/>
      <c r="R53" s="174"/>
      <c r="S53" s="197"/>
      <c r="T53" s="234" t="s">
        <v>526</v>
      </c>
      <c r="U53" s="203">
        <f>ROUNDDOWN((AA13/2),0)</f>
        <v>2</v>
      </c>
      <c r="V53" s="236" t="s">
        <v>507</v>
      </c>
      <c r="W53" s="236" t="s">
        <v>507</v>
      </c>
      <c r="X53" s="236" t="s">
        <v>507</v>
      </c>
      <c r="Y53" s="238" t="s">
        <v>507</v>
      </c>
      <c r="Z53" s="72"/>
      <c r="AA53" s="253">
        <f t="shared" si="8"/>
        <v>2</v>
      </c>
      <c r="AB53" s="196"/>
      <c r="AC53" s="198"/>
      <c r="AD53" s="198"/>
      <c r="AE53" s="198"/>
      <c r="AF53" s="198"/>
      <c r="AG53" s="198"/>
      <c r="AH53" s="198"/>
      <c r="AI53" s="198"/>
      <c r="AJ53" s="198"/>
      <c r="AK53" s="197"/>
      <c r="AL53"/>
      <c r="AM53"/>
      <c r="AN53"/>
      <c r="AO53"/>
      <c r="AP53"/>
      <c r="AQ53"/>
      <c r="AR53"/>
      <c r="AS53"/>
      <c r="AT53"/>
      <c r="AU53"/>
      <c r="AV53"/>
      <c r="AW53"/>
      <c r="AX53"/>
      <c r="AY53" s="1"/>
    </row>
    <row r="54" spans="1:51" ht="14.1" customHeight="1" thickBot="1" x14ac:dyDescent="0.2">
      <c r="A54" s="174"/>
      <c r="B54" s="771"/>
      <c r="C54" s="771"/>
      <c r="D54" s="771"/>
      <c r="E54" s="771"/>
      <c r="F54" s="771"/>
      <c r="G54" s="771"/>
      <c r="H54" s="771"/>
      <c r="I54" s="771"/>
      <c r="J54" s="771"/>
      <c r="K54" s="771"/>
      <c r="L54" s="771"/>
      <c r="M54" s="771"/>
      <c r="N54" s="771"/>
      <c r="O54" s="771"/>
      <c r="P54" s="771"/>
      <c r="Q54" s="771"/>
      <c r="R54" s="174"/>
      <c r="S54" s="196"/>
      <c r="T54" s="234" t="s">
        <v>447</v>
      </c>
      <c r="U54" s="203">
        <f>ROUNDDOWN((AA12/3),0)+ROUNDDOWN((AA15/2),0)</f>
        <v>3</v>
      </c>
      <c r="V54" s="236" t="s">
        <v>507</v>
      </c>
      <c r="W54" s="236" t="s">
        <v>507</v>
      </c>
      <c r="X54" s="236" t="s">
        <v>507</v>
      </c>
      <c r="Y54" s="238" t="s">
        <v>507</v>
      </c>
      <c r="Z54" s="57">
        <f>IF(T43="ON",AA15-ROUNDDOWN((AA15/2),0),"0")</f>
        <v>2</v>
      </c>
      <c r="AA54" s="253">
        <f t="shared" si="8"/>
        <v>5</v>
      </c>
      <c r="AB54" s="197"/>
      <c r="AC54" s="198"/>
      <c r="AD54" s="198"/>
      <c r="AE54" s="198"/>
      <c r="AF54" s="198"/>
      <c r="AG54" s="198"/>
      <c r="AH54" s="198"/>
      <c r="AI54" s="198"/>
      <c r="AJ54" s="198"/>
      <c r="AK54" s="197"/>
      <c r="AL54"/>
      <c r="AM54"/>
      <c r="AN54"/>
      <c r="AO54"/>
      <c r="AP54"/>
      <c r="AQ54"/>
      <c r="AR54"/>
      <c r="AS54"/>
      <c r="AT54"/>
      <c r="AU54"/>
      <c r="AV54"/>
      <c r="AW54"/>
      <c r="AX54"/>
      <c r="AY54" s="1"/>
    </row>
    <row r="55" spans="1:51" ht="14.1" customHeight="1" thickBot="1" x14ac:dyDescent="0.2">
      <c r="A55" s="174"/>
      <c r="B55" s="771"/>
      <c r="C55" s="771"/>
      <c r="D55" s="771"/>
      <c r="E55" s="771"/>
      <c r="F55" s="771"/>
      <c r="G55" s="771"/>
      <c r="H55" s="771"/>
      <c r="I55" s="771"/>
      <c r="J55" s="771"/>
      <c r="K55" s="771"/>
      <c r="L55" s="771"/>
      <c r="M55" s="771"/>
      <c r="N55" s="771"/>
      <c r="O55" s="771"/>
      <c r="P55" s="771"/>
      <c r="Q55" s="771"/>
      <c r="R55" s="174"/>
      <c r="S55" s="196"/>
      <c r="T55" s="234" t="s">
        <v>611</v>
      </c>
      <c r="U55" s="203">
        <f>ROUNDDOWN((AA12/2),0)+ROUNDDOWN((AA16/2),0)+ROUNDDOWN((AA13/2),0)</f>
        <v>6</v>
      </c>
      <c r="V55" s="236" t="s">
        <v>507</v>
      </c>
      <c r="W55" s="236" t="s">
        <v>507</v>
      </c>
      <c r="X55" s="236" t="s">
        <v>507</v>
      </c>
      <c r="Y55" s="238" t="s">
        <v>507</v>
      </c>
      <c r="Z55" s="57"/>
      <c r="AA55" s="253">
        <f t="shared" si="8"/>
        <v>6</v>
      </c>
      <c r="AB55" s="197"/>
      <c r="AC55" s="198"/>
      <c r="AD55" s="198"/>
      <c r="AE55" s="198"/>
      <c r="AF55" s="198"/>
      <c r="AG55" s="198"/>
      <c r="AH55" s="198"/>
      <c r="AI55" s="198"/>
      <c r="AJ55" s="198"/>
      <c r="AK55" s="197"/>
      <c r="AL55"/>
      <c r="AM55"/>
      <c r="AN55"/>
      <c r="AO55"/>
      <c r="AP55"/>
      <c r="AQ55"/>
      <c r="AR55"/>
      <c r="AS55"/>
      <c r="AT55"/>
      <c r="AU55"/>
      <c r="AV55"/>
      <c r="AW55"/>
      <c r="AX55"/>
      <c r="AY55" s="1"/>
    </row>
    <row r="56" spans="1:51" ht="14.1" customHeight="1" thickBot="1" x14ac:dyDescent="0.2">
      <c r="A56" s="174"/>
      <c r="B56" s="763"/>
      <c r="C56" s="763"/>
      <c r="D56" s="763"/>
      <c r="E56" s="763"/>
      <c r="F56" s="763"/>
      <c r="G56" s="763"/>
      <c r="H56" s="763"/>
      <c r="I56" s="763"/>
      <c r="J56" s="763"/>
      <c r="K56" s="763"/>
      <c r="L56" s="763"/>
      <c r="M56" s="763"/>
      <c r="N56" s="763"/>
      <c r="O56" s="763"/>
      <c r="P56" s="763"/>
      <c r="Q56" s="763"/>
      <c r="R56" s="174"/>
      <c r="S56" s="196"/>
      <c r="T56" s="234" t="s">
        <v>442</v>
      </c>
      <c r="U56" s="203">
        <f>ROUNDDOWN((AA11/2),0)+(AA14)</f>
        <v>6</v>
      </c>
      <c r="V56" s="236" t="s">
        <v>507</v>
      </c>
      <c r="W56" s="236" t="s">
        <v>507</v>
      </c>
      <c r="X56" s="203">
        <f>IF(H22&lt;18,0,2)+IF(H20&lt;18,0,1)</f>
        <v>0</v>
      </c>
      <c r="Y56" s="238" t="s">
        <v>507</v>
      </c>
      <c r="Z56" s="57">
        <f>IF(T43="ON",ROUNDDOWN(AA10/3,0),"0")</f>
        <v>1</v>
      </c>
      <c r="AA56" s="253">
        <f>SUM(U56:Z56)</f>
        <v>7</v>
      </c>
      <c r="AB56" s="197"/>
      <c r="AC56" s="198"/>
      <c r="AD56" s="198"/>
      <c r="AE56" s="198"/>
      <c r="AF56" s="198"/>
      <c r="AG56" s="198"/>
      <c r="AH56" s="198"/>
      <c r="AI56" s="198"/>
      <c r="AJ56" s="198"/>
      <c r="AK56" s="197"/>
      <c r="AL56"/>
      <c r="AM56"/>
      <c r="AN56"/>
      <c r="AO56"/>
      <c r="AP56"/>
      <c r="AQ56"/>
      <c r="AR56"/>
      <c r="AS56"/>
      <c r="AT56"/>
      <c r="AU56"/>
      <c r="AV56"/>
      <c r="AW56"/>
      <c r="AX56"/>
      <c r="AY56" s="1"/>
    </row>
    <row r="57" spans="1:51" ht="14.1" customHeight="1" thickBot="1" x14ac:dyDescent="0.2">
      <c r="A57" s="174"/>
      <c r="B57" s="763"/>
      <c r="C57" s="763"/>
      <c r="D57" s="763"/>
      <c r="E57" s="763"/>
      <c r="F57" s="763"/>
      <c r="G57" s="763"/>
      <c r="H57" s="763"/>
      <c r="I57" s="763"/>
      <c r="J57" s="763"/>
      <c r="K57" s="763"/>
      <c r="L57" s="763"/>
      <c r="M57" s="763"/>
      <c r="N57" s="763"/>
      <c r="O57" s="763"/>
      <c r="P57" s="763"/>
      <c r="Q57" s="763"/>
      <c r="R57" s="174"/>
      <c r="S57" s="196"/>
      <c r="T57" s="234" t="s">
        <v>445</v>
      </c>
      <c r="U57" s="203">
        <f t="shared" ref="U57" si="9">ROUNDDOWN((AA12/2),0)+(AA15)</f>
        <v>6</v>
      </c>
      <c r="V57" s="236" t="s">
        <v>507</v>
      </c>
      <c r="W57" s="236" t="s">
        <v>507</v>
      </c>
      <c r="X57" s="203">
        <f>IF(H21&lt;18,0,2)+IF(H20&lt;18,0,1)</f>
        <v>0</v>
      </c>
      <c r="Y57" s="238" t="s">
        <v>507</v>
      </c>
      <c r="Z57" s="57">
        <f>IF(T43="ON",ROUNDDOWN(AA10/3,0),"0")</f>
        <v>1</v>
      </c>
      <c r="AA57" s="253">
        <f t="shared" si="8"/>
        <v>7</v>
      </c>
      <c r="AB57" s="197"/>
      <c r="AC57" s="198"/>
      <c r="AD57" s="198"/>
      <c r="AE57" s="198"/>
      <c r="AF57" s="198"/>
      <c r="AG57" s="198"/>
      <c r="AH57" s="198"/>
      <c r="AI57" s="198"/>
      <c r="AJ57" s="198"/>
      <c r="AK57" s="197"/>
      <c r="AL57"/>
      <c r="AM57"/>
      <c r="AN57"/>
      <c r="AO57"/>
      <c r="AP57"/>
      <c r="AQ57"/>
      <c r="AR57"/>
      <c r="AS57"/>
      <c r="AT57"/>
      <c r="AU57"/>
      <c r="AV57"/>
      <c r="AW57"/>
      <c r="AX57"/>
      <c r="AY57" s="1"/>
    </row>
    <row r="58" spans="1:51" ht="14.1" customHeight="1" thickBot="1" x14ac:dyDescent="0.2">
      <c r="A58" s="174"/>
      <c r="B58" s="763"/>
      <c r="C58" s="763"/>
      <c r="D58" s="763"/>
      <c r="E58" s="763"/>
      <c r="F58" s="763"/>
      <c r="G58" s="763"/>
      <c r="H58" s="763"/>
      <c r="I58" s="763"/>
      <c r="J58" s="763"/>
      <c r="K58" s="763"/>
      <c r="L58" s="763"/>
      <c r="M58" s="763"/>
      <c r="N58" s="763"/>
      <c r="O58" s="763"/>
      <c r="P58" s="763"/>
      <c r="Q58" s="763"/>
      <c r="R58" s="174"/>
      <c r="S58" s="196"/>
      <c r="T58" s="234" t="s">
        <v>448</v>
      </c>
      <c r="U58" s="203">
        <f>ROUNDDOWN((AA13/2),0)+ROUNDDOWN((AA14/2),0)</f>
        <v>4</v>
      </c>
      <c r="V58" s="236" t="s">
        <v>507</v>
      </c>
      <c r="W58" s="236" t="s">
        <v>507</v>
      </c>
      <c r="X58" s="236" t="s">
        <v>507</v>
      </c>
      <c r="Y58" s="238" t="str">
        <f>IF(C13="大器",3,"0")</f>
        <v>0</v>
      </c>
      <c r="Z58" s="57"/>
      <c r="AA58" s="253">
        <f>SUM(U58:Z58)</f>
        <v>4</v>
      </c>
      <c r="AB58" s="197"/>
      <c r="AC58" s="198"/>
      <c r="AD58" s="198"/>
      <c r="AE58" s="198"/>
      <c r="AF58" s="198"/>
      <c r="AG58" s="198"/>
      <c r="AH58" s="198"/>
      <c r="AI58" s="198"/>
      <c r="AJ58" s="198"/>
      <c r="AK58" s="197"/>
      <c r="AL58"/>
      <c r="AM58"/>
      <c r="AN58"/>
      <c r="AO58"/>
      <c r="AP58"/>
      <c r="AQ58"/>
      <c r="AR58"/>
      <c r="AS58"/>
      <c r="AT58"/>
      <c r="AU58"/>
      <c r="AV58"/>
      <c r="AW58"/>
      <c r="AX58"/>
      <c r="AY58" s="1"/>
    </row>
    <row r="59" spans="1:51" ht="14.1" customHeight="1" thickBot="1" x14ac:dyDescent="0.2">
      <c r="A59" s="174"/>
      <c r="B59" s="763"/>
      <c r="C59" s="763"/>
      <c r="D59" s="763"/>
      <c r="E59" s="763"/>
      <c r="F59" s="763"/>
      <c r="G59" s="763"/>
      <c r="H59" s="763"/>
      <c r="I59" s="763"/>
      <c r="J59" s="763"/>
      <c r="K59" s="763"/>
      <c r="L59" s="763"/>
      <c r="M59" s="763"/>
      <c r="N59" s="763"/>
      <c r="O59" s="763"/>
      <c r="P59" s="763"/>
      <c r="Q59" s="763"/>
      <c r="R59" s="174"/>
      <c r="S59" s="196"/>
      <c r="T59" s="215" t="s">
        <v>527</v>
      </c>
      <c r="U59" s="237">
        <f>ROUNDDOWN(((AA12)+(AA16))/4,0)</f>
        <v>2</v>
      </c>
      <c r="V59" s="239" t="s">
        <v>507</v>
      </c>
      <c r="W59" s="239" t="s">
        <v>507</v>
      </c>
      <c r="X59" s="237">
        <f>IF(H19&lt;18,0,1)</f>
        <v>0</v>
      </c>
      <c r="Y59" s="237" t="str">
        <f>IF(C13="熟練",1,"　")</f>
        <v>　</v>
      </c>
      <c r="Z59" s="73"/>
      <c r="AA59" s="254">
        <f t="shared" si="8"/>
        <v>2</v>
      </c>
      <c r="AB59" s="197"/>
      <c r="AC59" s="198"/>
      <c r="AD59" s="198"/>
      <c r="AE59" s="198"/>
      <c r="AF59" s="198"/>
      <c r="AG59" s="198"/>
      <c r="AH59" s="198"/>
      <c r="AI59" s="198"/>
      <c r="AJ59" s="198"/>
      <c r="AK59" s="197"/>
      <c r="AL59"/>
      <c r="AM59"/>
      <c r="AN59"/>
      <c r="AO59"/>
      <c r="AP59"/>
      <c r="AQ59"/>
      <c r="AR59"/>
      <c r="AS59"/>
      <c r="AT59"/>
      <c r="AU59"/>
      <c r="AV59"/>
      <c r="AW59"/>
      <c r="AX59"/>
      <c r="AY59" s="1"/>
    </row>
    <row r="60" spans="1:51" ht="14.1" customHeight="1" thickBot="1" x14ac:dyDescent="0.2">
      <c r="A60" s="174"/>
      <c r="B60" s="763"/>
      <c r="C60" s="763"/>
      <c r="D60" s="763"/>
      <c r="E60" s="763"/>
      <c r="F60" s="763"/>
      <c r="G60" s="763"/>
      <c r="H60" s="763"/>
      <c r="I60" s="763"/>
      <c r="J60" s="763"/>
      <c r="K60" s="763"/>
      <c r="L60" s="763"/>
      <c r="M60" s="763"/>
      <c r="N60" s="763"/>
      <c r="O60" s="763"/>
      <c r="P60" s="763"/>
      <c r="Q60" s="763"/>
      <c r="R60" s="174"/>
      <c r="S60" s="196"/>
      <c r="T60" s="196"/>
      <c r="U60" s="196"/>
      <c r="V60" s="196"/>
      <c r="W60" s="196"/>
      <c r="X60" s="196"/>
      <c r="Y60" s="196"/>
      <c r="Z60" s="196"/>
      <c r="AA60" s="196"/>
      <c r="AB60" s="196"/>
      <c r="AC60" s="198"/>
      <c r="AD60" s="198"/>
      <c r="AE60" s="198"/>
      <c r="AF60" s="198"/>
      <c r="AG60" s="198"/>
      <c r="AH60" s="198"/>
      <c r="AI60" s="198"/>
      <c r="AJ60" s="198"/>
      <c r="AK60" s="197"/>
      <c r="AL60"/>
      <c r="AM60"/>
      <c r="AN60"/>
      <c r="AO60"/>
      <c r="AP60"/>
      <c r="AQ60"/>
      <c r="AR60"/>
      <c r="AS60"/>
      <c r="AT60"/>
      <c r="AU60"/>
      <c r="AV60"/>
      <c r="AW60"/>
      <c r="AX60"/>
      <c r="AY60" s="1"/>
    </row>
    <row r="61" spans="1:51" ht="14.1" customHeight="1" thickBot="1" x14ac:dyDescent="0.2">
      <c r="A61" s="174"/>
      <c r="B61" s="763"/>
      <c r="C61" s="763"/>
      <c r="D61" s="763"/>
      <c r="E61" s="763"/>
      <c r="F61" s="763"/>
      <c r="G61" s="763"/>
      <c r="H61" s="763"/>
      <c r="I61" s="763"/>
      <c r="J61" s="763"/>
      <c r="K61" s="763"/>
      <c r="L61" s="763"/>
      <c r="M61" s="763"/>
      <c r="N61" s="763"/>
      <c r="O61" s="763"/>
      <c r="P61" s="763"/>
      <c r="Q61" s="763"/>
      <c r="R61" s="174"/>
      <c r="S61" s="196"/>
      <c r="T61" s="766" t="s">
        <v>612</v>
      </c>
      <c r="U61" s="766"/>
      <c r="V61" s="766"/>
      <c r="W61" s="766"/>
      <c r="X61" s="766"/>
      <c r="Y61" s="766"/>
      <c r="Z61" s="766"/>
      <c r="AA61" s="766"/>
      <c r="AB61" s="197"/>
      <c r="AC61" s="198"/>
      <c r="AD61" s="198"/>
      <c r="AE61" s="198"/>
      <c r="AF61" s="198"/>
      <c r="AG61" s="198"/>
      <c r="AH61" s="198"/>
      <c r="AI61" s="198"/>
      <c r="AJ61" s="198"/>
      <c r="AK61" s="197"/>
      <c r="AL61"/>
      <c r="AM61"/>
      <c r="AN61"/>
      <c r="AO61"/>
      <c r="AP61"/>
      <c r="AQ61"/>
      <c r="AR61"/>
      <c r="AS61"/>
      <c r="AT61"/>
      <c r="AU61"/>
      <c r="AV61"/>
      <c r="AW61"/>
      <c r="AX61"/>
      <c r="AY61" s="1"/>
    </row>
    <row r="62" spans="1:51" ht="14.1" customHeight="1" thickBot="1" x14ac:dyDescent="0.2">
      <c r="A62" s="174"/>
      <c r="B62" s="763"/>
      <c r="C62" s="763"/>
      <c r="D62" s="763"/>
      <c r="E62" s="763"/>
      <c r="F62" s="763"/>
      <c r="G62" s="763"/>
      <c r="H62" s="763"/>
      <c r="I62" s="763"/>
      <c r="J62" s="763"/>
      <c r="K62" s="763"/>
      <c r="L62" s="763"/>
      <c r="M62" s="763"/>
      <c r="N62" s="763"/>
      <c r="O62" s="763"/>
      <c r="P62" s="763"/>
      <c r="Q62" s="763"/>
      <c r="R62" s="174"/>
      <c r="S62" s="196"/>
      <c r="T62" s="774"/>
      <c r="U62" s="774"/>
      <c r="V62" s="240" t="s">
        <v>613</v>
      </c>
      <c r="W62" s="203" t="s">
        <v>614</v>
      </c>
      <c r="X62" s="203" t="s">
        <v>615</v>
      </c>
      <c r="Y62" s="203"/>
      <c r="Z62" s="775" t="s">
        <v>544</v>
      </c>
      <c r="AA62" s="775"/>
      <c r="AB62" s="197"/>
      <c r="AC62" s="198"/>
      <c r="AD62" s="198"/>
      <c r="AE62" s="198"/>
      <c r="AF62" s="198"/>
      <c r="AG62" s="198"/>
      <c r="AH62" s="198"/>
      <c r="AI62" s="198"/>
      <c r="AJ62" s="198"/>
      <c r="AK62" s="197"/>
      <c r="AL62"/>
      <c r="AM62"/>
      <c r="AN62"/>
      <c r="AO62"/>
      <c r="AP62"/>
      <c r="AQ62"/>
      <c r="AR62"/>
      <c r="AS62"/>
      <c r="AT62"/>
      <c r="AU62"/>
      <c r="AV62"/>
      <c r="AW62"/>
      <c r="AX62"/>
      <c r="AY62" s="1"/>
    </row>
    <row r="63" spans="1:51" ht="14.1" customHeight="1" thickBot="1" x14ac:dyDescent="0.2">
      <c r="A63" s="174"/>
      <c r="B63" s="763"/>
      <c r="C63" s="763"/>
      <c r="D63" s="763"/>
      <c r="E63" s="763"/>
      <c r="F63" s="763"/>
      <c r="G63" s="763"/>
      <c r="H63" s="763"/>
      <c r="I63" s="763"/>
      <c r="J63" s="763"/>
      <c r="K63" s="763"/>
      <c r="L63" s="763"/>
      <c r="M63" s="763"/>
      <c r="N63" s="763"/>
      <c r="O63" s="763"/>
      <c r="P63" s="763"/>
      <c r="Q63" s="763"/>
      <c r="R63" s="174"/>
      <c r="S63" s="196"/>
      <c r="T63" s="774" t="s">
        <v>616</v>
      </c>
      <c r="U63" s="774"/>
      <c r="V63" s="203">
        <f>AA10</f>
        <v>4</v>
      </c>
      <c r="W63" s="236">
        <f>ROUNDDOWN((AA11/2),0)</f>
        <v>2</v>
      </c>
      <c r="X63" s="203"/>
      <c r="Y63" s="203"/>
      <c r="Z63" s="776">
        <f t="shared" ref="Z63:Z64" si="10">ROUNDDOWN((V63+W63)/2,0)</f>
        <v>3</v>
      </c>
      <c r="AA63" s="776" t="s">
        <v>617</v>
      </c>
      <c r="AB63" s="197"/>
      <c r="AC63" s="198"/>
      <c r="AD63" s="198"/>
      <c r="AE63" s="198"/>
      <c r="AF63" s="198"/>
      <c r="AG63" s="198"/>
      <c r="AH63" s="198"/>
      <c r="AI63" s="198"/>
      <c r="AJ63" s="198"/>
      <c r="AK63" s="197"/>
      <c r="AL63"/>
      <c r="AM63"/>
      <c r="AN63"/>
      <c r="AO63"/>
      <c r="AP63"/>
      <c r="AQ63"/>
      <c r="AR63"/>
      <c r="AS63"/>
      <c r="AT63"/>
      <c r="AU63"/>
      <c r="AV63"/>
      <c r="AW63"/>
      <c r="AX63"/>
      <c r="AY63" s="1"/>
    </row>
    <row r="64" spans="1:51" ht="14.1" customHeight="1" thickBot="1" x14ac:dyDescent="0.2">
      <c r="A64" s="174"/>
      <c r="B64" s="763"/>
      <c r="C64" s="763"/>
      <c r="D64" s="763"/>
      <c r="E64" s="763"/>
      <c r="F64" s="763"/>
      <c r="G64" s="763"/>
      <c r="H64" s="763"/>
      <c r="I64" s="763"/>
      <c r="J64" s="763"/>
      <c r="K64" s="763"/>
      <c r="L64" s="763"/>
      <c r="M64" s="763"/>
      <c r="N64" s="763"/>
      <c r="O64" s="763"/>
      <c r="P64" s="763"/>
      <c r="Q64" s="763"/>
      <c r="R64" s="174"/>
      <c r="S64" s="196"/>
      <c r="T64" s="774" t="s">
        <v>618</v>
      </c>
      <c r="U64" s="774"/>
      <c r="V64" s="203">
        <f>ROUNDDOWN((AA14/2),0)+ROUNDDOWN((AA15/2),0)</f>
        <v>4</v>
      </c>
      <c r="W64" s="203">
        <v>10</v>
      </c>
      <c r="X64" s="203"/>
      <c r="Y64" s="203"/>
      <c r="Z64" s="776">
        <f t="shared" si="10"/>
        <v>7</v>
      </c>
      <c r="AA64" s="776" t="s">
        <v>617</v>
      </c>
      <c r="AB64" s="196"/>
      <c r="AC64" s="198"/>
      <c r="AD64" s="198"/>
      <c r="AE64" s="198"/>
      <c r="AF64" s="198"/>
      <c r="AG64" s="198"/>
      <c r="AH64" s="198"/>
      <c r="AI64" s="198"/>
      <c r="AJ64" s="198"/>
      <c r="AK64" s="197"/>
      <c r="AL64"/>
      <c r="AM64"/>
      <c r="AN64"/>
      <c r="AO64"/>
      <c r="AP64"/>
      <c r="AQ64"/>
      <c r="AR64"/>
      <c r="AS64"/>
      <c r="AT64"/>
      <c r="AU64"/>
      <c r="AV64"/>
      <c r="AW64"/>
      <c r="AX64"/>
      <c r="AY64" s="1"/>
    </row>
    <row r="65" spans="1:51" ht="14.1" customHeight="1" thickBot="1" x14ac:dyDescent="0.2">
      <c r="A65" s="174"/>
      <c r="B65" s="763"/>
      <c r="C65" s="763"/>
      <c r="D65" s="763"/>
      <c r="E65" s="763"/>
      <c r="F65" s="763"/>
      <c r="G65" s="763"/>
      <c r="H65" s="763"/>
      <c r="I65" s="763"/>
      <c r="J65" s="763"/>
      <c r="K65" s="763"/>
      <c r="L65" s="763"/>
      <c r="M65" s="763"/>
      <c r="N65" s="763"/>
      <c r="O65" s="763"/>
      <c r="P65" s="763"/>
      <c r="Q65" s="763"/>
      <c r="R65" s="174"/>
      <c r="S65" s="196"/>
      <c r="T65" s="772" t="s">
        <v>619</v>
      </c>
      <c r="U65" s="772"/>
      <c r="V65" s="237">
        <f>AA58</f>
        <v>4</v>
      </c>
      <c r="W65" s="237">
        <f>ROUNDDOWN((AA55/2),0)</f>
        <v>3</v>
      </c>
      <c r="X65" s="237">
        <v>4</v>
      </c>
      <c r="Y65" s="237"/>
      <c r="Z65" s="773">
        <f>ROUNDDOWN((V65+W65)/2,0)+X65</f>
        <v>7</v>
      </c>
      <c r="AA65" s="773" t="s">
        <v>617</v>
      </c>
      <c r="AB65" s="196"/>
      <c r="AC65" s="198"/>
      <c r="AD65" s="198"/>
      <c r="AE65" s="198"/>
      <c r="AF65" s="198"/>
      <c r="AG65" s="198"/>
      <c r="AH65" s="198"/>
      <c r="AI65" s="198"/>
      <c r="AJ65" s="198"/>
      <c r="AK65" s="197"/>
      <c r="AL65"/>
      <c r="AM65"/>
      <c r="AN65"/>
      <c r="AO65"/>
      <c r="AP65"/>
      <c r="AQ65"/>
      <c r="AR65"/>
      <c r="AS65"/>
      <c r="AT65"/>
      <c r="AU65"/>
      <c r="AV65"/>
      <c r="AW65"/>
      <c r="AX65"/>
      <c r="AY65" s="1"/>
    </row>
    <row r="66" spans="1:51" ht="14.1" customHeight="1" thickBot="1" x14ac:dyDescent="0.2">
      <c r="A66" s="174"/>
      <c r="B66" s="763"/>
      <c r="C66" s="763"/>
      <c r="D66" s="763"/>
      <c r="E66" s="763"/>
      <c r="F66" s="763"/>
      <c r="G66" s="763"/>
      <c r="H66" s="763"/>
      <c r="I66" s="763"/>
      <c r="J66" s="763"/>
      <c r="K66" s="763"/>
      <c r="L66" s="763"/>
      <c r="M66" s="763"/>
      <c r="N66" s="763"/>
      <c r="O66" s="763"/>
      <c r="P66" s="763"/>
      <c r="Q66" s="763"/>
      <c r="R66" s="174"/>
      <c r="S66" s="196"/>
      <c r="T66" s="196"/>
      <c r="U66" s="196"/>
      <c r="V66" s="196"/>
      <c r="W66" s="196"/>
      <c r="X66" s="196"/>
      <c r="Y66" s="196"/>
      <c r="Z66" s="196"/>
      <c r="AA66" s="196"/>
      <c r="AB66" s="196"/>
      <c r="AC66" s="198"/>
      <c r="AD66" s="198"/>
      <c r="AE66" s="198"/>
      <c r="AF66" s="198"/>
      <c r="AG66" s="198"/>
      <c r="AH66" s="198"/>
      <c r="AI66" s="198"/>
      <c r="AJ66" s="198"/>
      <c r="AK66" s="198"/>
      <c r="AL66"/>
      <c r="AM66"/>
      <c r="AN66"/>
      <c r="AO66"/>
      <c r="AP66"/>
      <c r="AQ66"/>
      <c r="AR66"/>
      <c r="AS66"/>
      <c r="AT66"/>
      <c r="AU66"/>
      <c r="AV66"/>
      <c r="AW66"/>
      <c r="AX66"/>
      <c r="AY66" s="1"/>
    </row>
    <row r="67" spans="1:51" ht="14.1" customHeight="1" x14ac:dyDescent="0.15">
      <c r="A67" s="174"/>
      <c r="B67" s="174"/>
      <c r="C67" s="174"/>
      <c r="D67" s="174"/>
      <c r="E67" s="174"/>
      <c r="F67" s="174"/>
      <c r="G67" s="174"/>
      <c r="H67" s="174"/>
      <c r="I67" s="174"/>
      <c r="J67" s="174"/>
      <c r="K67" s="174"/>
      <c r="L67" s="174"/>
      <c r="M67" s="174"/>
      <c r="N67" s="174"/>
      <c r="O67" s="174"/>
      <c r="P67" s="174"/>
      <c r="Q67" s="174"/>
      <c r="R67" s="174"/>
      <c r="S67" s="196"/>
      <c r="T67" s="196"/>
      <c r="U67" s="196"/>
      <c r="V67" s="196"/>
      <c r="W67" s="196"/>
      <c r="X67" s="196"/>
      <c r="Y67" s="196"/>
      <c r="Z67" s="196"/>
      <c r="AA67" s="196"/>
      <c r="AB67" s="196"/>
      <c r="AC67" s="196"/>
      <c r="AD67" s="196"/>
      <c r="AE67" s="196"/>
      <c r="AF67" s="196"/>
      <c r="AG67" s="196"/>
      <c r="AH67" s="196"/>
      <c r="AI67" s="196"/>
      <c r="AJ67" s="196"/>
      <c r="AK67" s="196"/>
      <c r="AL67"/>
      <c r="AM67"/>
      <c r="AN67"/>
      <c r="AO67"/>
      <c r="AP67"/>
      <c r="AQ67"/>
      <c r="AR67"/>
      <c r="AS67"/>
      <c r="AT67"/>
      <c r="AU67"/>
      <c r="AV67"/>
      <c r="AW67"/>
      <c r="AX67"/>
      <c r="AY67" s="1"/>
    </row>
    <row r="68" spans="1:51" ht="14.1" customHeight="1" x14ac:dyDescent="0.15">
      <c r="A68" s="174"/>
      <c r="B68" s="174"/>
      <c r="C68" s="174"/>
      <c r="D68" s="174"/>
      <c r="E68" s="174"/>
      <c r="F68" s="174"/>
      <c r="G68" s="174"/>
      <c r="H68" s="174"/>
      <c r="I68" s="174"/>
      <c r="J68" s="174"/>
      <c r="K68" s="174"/>
      <c r="L68" s="174"/>
      <c r="M68" s="174"/>
      <c r="N68" s="174"/>
      <c r="O68" s="174"/>
      <c r="P68" s="174"/>
      <c r="Q68" s="174"/>
      <c r="R68" s="174"/>
      <c r="S68" s="196"/>
      <c r="T68" s="196"/>
      <c r="U68" s="196"/>
      <c r="V68" s="196"/>
      <c r="W68" s="196"/>
      <c r="X68" s="196"/>
      <c r="Y68" s="196"/>
      <c r="Z68" s="196"/>
      <c r="AA68" s="196"/>
      <c r="AB68" s="196"/>
      <c r="AC68" s="196"/>
      <c r="AD68" s="196"/>
      <c r="AE68" s="196"/>
      <c r="AF68" s="196"/>
      <c r="AG68" s="196"/>
      <c r="AH68" s="196"/>
      <c r="AI68" s="196"/>
      <c r="AJ68" s="196"/>
      <c r="AK68" s="196"/>
      <c r="AL68"/>
      <c r="AM68"/>
      <c r="AN68"/>
      <c r="AO68"/>
      <c r="AP68"/>
      <c r="AQ68"/>
      <c r="AR68"/>
      <c r="AS68"/>
      <c r="AT68"/>
      <c r="AU68"/>
      <c r="AV68"/>
      <c r="AW68"/>
      <c r="AX68"/>
      <c r="AY68" s="1"/>
    </row>
  </sheetData>
  <sheetProtection selectLockedCells="1" selectUnlockedCells="1"/>
  <mergeCells count="269">
    <mergeCell ref="J34:N34"/>
    <mergeCell ref="O34:Q34"/>
    <mergeCell ref="B30:D30"/>
    <mergeCell ref="F30:H30"/>
    <mergeCell ref="O30:Q30"/>
    <mergeCell ref="B7:C8"/>
    <mergeCell ref="D7:I8"/>
    <mergeCell ref="C10:D11"/>
    <mergeCell ref="F10:G11"/>
    <mergeCell ref="J11:K12"/>
    <mergeCell ref="C13:D14"/>
    <mergeCell ref="G33:G34"/>
    <mergeCell ref="H25:H26"/>
    <mergeCell ref="H27:H28"/>
    <mergeCell ref="H31:H32"/>
    <mergeCell ref="H33:H34"/>
    <mergeCell ref="D33:D34"/>
    <mergeCell ref="E10:E11"/>
    <mergeCell ref="E13:E14"/>
    <mergeCell ref="F31:F32"/>
    <mergeCell ref="F33:F34"/>
    <mergeCell ref="D19:D20"/>
    <mergeCell ref="D21:D22"/>
    <mergeCell ref="D23:D24"/>
    <mergeCell ref="B10:B11"/>
    <mergeCell ref="B13:B14"/>
    <mergeCell ref="B31:B32"/>
    <mergeCell ref="B33:B34"/>
    <mergeCell ref="B35:B36"/>
    <mergeCell ref="C31:C32"/>
    <mergeCell ref="C33:C34"/>
    <mergeCell ref="C35:C36"/>
    <mergeCell ref="B41:D41"/>
    <mergeCell ref="B38:I38"/>
    <mergeCell ref="G35:G36"/>
    <mergeCell ref="H35:H36"/>
    <mergeCell ref="D35:D36"/>
    <mergeCell ref="F35:F36"/>
    <mergeCell ref="D25:D26"/>
    <mergeCell ref="B27:C28"/>
    <mergeCell ref="F27:G28"/>
    <mergeCell ref="B19:C20"/>
    <mergeCell ref="B21:C22"/>
    <mergeCell ref="B23:C24"/>
    <mergeCell ref="B25:C26"/>
    <mergeCell ref="F25:G26"/>
    <mergeCell ref="D27:D28"/>
    <mergeCell ref="D31:D32"/>
    <mergeCell ref="T61:AA61"/>
    <mergeCell ref="B51:D51"/>
    <mergeCell ref="E51:G51"/>
    <mergeCell ref="H51:I51"/>
    <mergeCell ref="H46:I46"/>
    <mergeCell ref="B47:D47"/>
    <mergeCell ref="E47:G47"/>
    <mergeCell ref="H47:I47"/>
    <mergeCell ref="B42:D42"/>
    <mergeCell ref="E42:G42"/>
    <mergeCell ref="H42:I42"/>
    <mergeCell ref="J42:Q42"/>
    <mergeCell ref="X42:Z42"/>
    <mergeCell ref="B53:Q55"/>
    <mergeCell ref="B56:Q66"/>
    <mergeCell ref="T65:U65"/>
    <mergeCell ref="Z65:AA65"/>
    <mergeCell ref="T62:U62"/>
    <mergeCell ref="Z62:AA62"/>
    <mergeCell ref="T63:U63"/>
    <mergeCell ref="Z63:AA63"/>
    <mergeCell ref="T64:U64"/>
    <mergeCell ref="Z64:AA64"/>
    <mergeCell ref="T42:U42"/>
    <mergeCell ref="AD51:AF51"/>
    <mergeCell ref="B52:Q52"/>
    <mergeCell ref="AD52:AF52"/>
    <mergeCell ref="J43:Q51"/>
    <mergeCell ref="AD44:AF46"/>
    <mergeCell ref="B49:D49"/>
    <mergeCell ref="E49:G49"/>
    <mergeCell ref="H49:I49"/>
    <mergeCell ref="V49:W49"/>
    <mergeCell ref="AD49:AF49"/>
    <mergeCell ref="B50:D50"/>
    <mergeCell ref="E50:G50"/>
    <mergeCell ref="H50:I50"/>
    <mergeCell ref="V50:W50"/>
    <mergeCell ref="AD50:AF50"/>
    <mergeCell ref="T47:AA47"/>
    <mergeCell ref="AD47:AF47"/>
    <mergeCell ref="B48:D48"/>
    <mergeCell ref="E48:G48"/>
    <mergeCell ref="H48:I48"/>
    <mergeCell ref="V48:W48"/>
    <mergeCell ref="AD48:AF48"/>
    <mergeCell ref="B46:D46"/>
    <mergeCell ref="E46:G46"/>
    <mergeCell ref="AC43:AJ43"/>
    <mergeCell ref="B44:D44"/>
    <mergeCell ref="E44:G44"/>
    <mergeCell ref="H44:I44"/>
    <mergeCell ref="B45:D45"/>
    <mergeCell ref="E45:G45"/>
    <mergeCell ref="H45:I45"/>
    <mergeCell ref="AC44:AC46"/>
    <mergeCell ref="AG45:AG46"/>
    <mergeCell ref="AH45:AH46"/>
    <mergeCell ref="B43:D43"/>
    <mergeCell ref="E43:G43"/>
    <mergeCell ref="H43:I43"/>
    <mergeCell ref="AI45:AI46"/>
    <mergeCell ref="AJ45:AJ46"/>
    <mergeCell ref="T43:U45"/>
    <mergeCell ref="AC41:AD41"/>
    <mergeCell ref="AE41:AJ41"/>
    <mergeCell ref="AE39:AJ39"/>
    <mergeCell ref="B40:D40"/>
    <mergeCell ref="E40:G40"/>
    <mergeCell ref="H40:I40"/>
    <mergeCell ref="T40:U40"/>
    <mergeCell ref="AC40:AD40"/>
    <mergeCell ref="AE40:AJ40"/>
    <mergeCell ref="E41:G41"/>
    <mergeCell ref="H41:I41"/>
    <mergeCell ref="X41:Z41"/>
    <mergeCell ref="J39:Q41"/>
    <mergeCell ref="AC38:AD38"/>
    <mergeCell ref="AE38:AJ38"/>
    <mergeCell ref="B39:D39"/>
    <mergeCell ref="E39:G39"/>
    <mergeCell ref="H39:I39"/>
    <mergeCell ref="T39:U39"/>
    <mergeCell ref="AC39:AD39"/>
    <mergeCell ref="O36:P36"/>
    <mergeCell ref="AC36:AD36"/>
    <mergeCell ref="AE36:AJ36"/>
    <mergeCell ref="T37:U37"/>
    <mergeCell ref="AC37:AD37"/>
    <mergeCell ref="AE37:AJ37"/>
    <mergeCell ref="J38:Q38"/>
    <mergeCell ref="T38:U38"/>
    <mergeCell ref="J35:N36"/>
    <mergeCell ref="T35:W36"/>
    <mergeCell ref="AC34:AD34"/>
    <mergeCell ref="AE34:AJ34"/>
    <mergeCell ref="O35:P35"/>
    <mergeCell ref="X35:AA35"/>
    <mergeCell ref="AC35:AD35"/>
    <mergeCell ref="AE35:AJ35"/>
    <mergeCell ref="O32:Q32"/>
    <mergeCell ref="AC32:AD32"/>
    <mergeCell ref="AE32:AJ32"/>
    <mergeCell ref="O33:Q33"/>
    <mergeCell ref="AC33:AD33"/>
    <mergeCell ref="AE33:AJ33"/>
    <mergeCell ref="T33:AA34"/>
    <mergeCell ref="U32:Z32"/>
    <mergeCell ref="AC30:AD30"/>
    <mergeCell ref="AE30:AJ30"/>
    <mergeCell ref="O31:Q31"/>
    <mergeCell ref="AC31:AD31"/>
    <mergeCell ref="AE31:AJ31"/>
    <mergeCell ref="G31:G32"/>
    <mergeCell ref="J14:N33"/>
    <mergeCell ref="O27:Q27"/>
    <mergeCell ref="AC27:AJ27"/>
    <mergeCell ref="O28:Q28"/>
    <mergeCell ref="O29:Q29"/>
    <mergeCell ref="AC29:AD29"/>
    <mergeCell ref="AE29:AJ29"/>
    <mergeCell ref="F22:G22"/>
    <mergeCell ref="T22:Y22"/>
    <mergeCell ref="AC22:AD22"/>
    <mergeCell ref="AE22:AG22"/>
    <mergeCell ref="AH22:AJ22"/>
    <mergeCell ref="F23:G23"/>
    <mergeCell ref="AC23:AD23"/>
    <mergeCell ref="AE23:AG23"/>
    <mergeCell ref="AH23:AJ23"/>
    <mergeCell ref="F20:G20"/>
    <mergeCell ref="AC20:AD20"/>
    <mergeCell ref="AE20:AG20"/>
    <mergeCell ref="AH20:AJ20"/>
    <mergeCell ref="F21:G21"/>
    <mergeCell ref="AC21:AD21"/>
    <mergeCell ref="AE21:AG21"/>
    <mergeCell ref="AH21:AJ21"/>
    <mergeCell ref="F18:G18"/>
    <mergeCell ref="AC18:AD18"/>
    <mergeCell ref="AE18:AG18"/>
    <mergeCell ref="AH18:AJ18"/>
    <mergeCell ref="F19:G19"/>
    <mergeCell ref="AC19:AD19"/>
    <mergeCell ref="AE19:AG19"/>
    <mergeCell ref="AH19:AJ19"/>
    <mergeCell ref="U19:W20"/>
    <mergeCell ref="X19:Z19"/>
    <mergeCell ref="X20:Z20"/>
    <mergeCell ref="AE14:AF14"/>
    <mergeCell ref="AG14:AH14"/>
    <mergeCell ref="B16:D16"/>
    <mergeCell ref="F16:H16"/>
    <mergeCell ref="F17:G17"/>
    <mergeCell ref="AC17:AJ17"/>
    <mergeCell ref="D17:D18"/>
    <mergeCell ref="B17:C18"/>
    <mergeCell ref="F13:G14"/>
    <mergeCell ref="O14:P14"/>
    <mergeCell ref="AC12:AJ12"/>
    <mergeCell ref="J13:N13"/>
    <mergeCell ref="AE13:AF13"/>
    <mergeCell ref="AG13:AH13"/>
    <mergeCell ref="AC9:AD9"/>
    <mergeCell ref="AG9:AH9"/>
    <mergeCell ref="J10:Q10"/>
    <mergeCell ref="L11:M11"/>
    <mergeCell ref="N11:O11"/>
    <mergeCell ref="P11:Q11"/>
    <mergeCell ref="L12:M12"/>
    <mergeCell ref="N12:O12"/>
    <mergeCell ref="P12:Q12"/>
    <mergeCell ref="AC7:AD7"/>
    <mergeCell ref="AG7:AH7"/>
    <mergeCell ref="K8:L8"/>
    <mergeCell ref="N8:O8"/>
    <mergeCell ref="P8:Q8"/>
    <mergeCell ref="T8:Z8"/>
    <mergeCell ref="AC8:AD8"/>
    <mergeCell ref="AG8:AH8"/>
    <mergeCell ref="T6:U6"/>
    <mergeCell ref="AC6:AD6"/>
    <mergeCell ref="AG6:AH6"/>
    <mergeCell ref="K7:L7"/>
    <mergeCell ref="N7:O7"/>
    <mergeCell ref="P7:Q7"/>
    <mergeCell ref="T7:U7"/>
    <mergeCell ref="V7:W7"/>
    <mergeCell ref="X7:Y7"/>
    <mergeCell ref="Z7:AA7"/>
    <mergeCell ref="P5:Q5"/>
    <mergeCell ref="AC5:AD5"/>
    <mergeCell ref="AG5:AH5"/>
    <mergeCell ref="B6:C6"/>
    <mergeCell ref="D6:E6"/>
    <mergeCell ref="F6:G6"/>
    <mergeCell ref="H6:I6"/>
    <mergeCell ref="J6:L6"/>
    <mergeCell ref="N6:O6"/>
    <mergeCell ref="P6:Q6"/>
    <mergeCell ref="B5:C5"/>
    <mergeCell ref="D5:E5"/>
    <mergeCell ref="F5:G5"/>
    <mergeCell ref="H5:I5"/>
    <mergeCell ref="J5:L5"/>
    <mergeCell ref="N5:O5"/>
    <mergeCell ref="B2:H2"/>
    <mergeCell ref="B3:H4"/>
    <mergeCell ref="I3:I4"/>
    <mergeCell ref="AC3:AE3"/>
    <mergeCell ref="AG3:AI3"/>
    <mergeCell ref="N4:O4"/>
    <mergeCell ref="P4:Q4"/>
    <mergeCell ref="AC4:AD4"/>
    <mergeCell ref="AG4:AH4"/>
    <mergeCell ref="J2:L2"/>
    <mergeCell ref="N2:Q2"/>
    <mergeCell ref="T2:AA2"/>
    <mergeCell ref="N3:O3"/>
    <mergeCell ref="P3:Q3"/>
    <mergeCell ref="J3:L4"/>
  </mergeCells>
  <phoneticPr fontId="50"/>
  <dataValidations count="6">
    <dataValidation operator="equal" allowBlank="1" showErrorMessage="1" sqref="V7:W7" xr:uid="{00000000-0002-0000-0300-000000000000}">
      <formula1>0</formula1>
    </dataValidation>
    <dataValidation type="list" operator="equal" allowBlank="1" sqref="P13:Q13" xr:uid="{00000000-0002-0000-0300-000001000000}">
      <formula1>"-,力技,威圧,観察眼,察知,知識,技術,隠密,俊敏,話術,読心,閃き,幸運"</formula1>
    </dataValidation>
    <dataValidation type="list" operator="equal" allowBlank="1" sqref="J35" xr:uid="{00000000-0002-0000-0300-000002000000}">
      <formula1>"－,秩序にして善,秩序にして中立（善）,秩序にして中立,秩序にして中立（悪）,秩序にして悪,中立にして善,中立にして中庸（秩序・善）,中立にして中庸（秩序）,中立にして中庸（秩序・悪）,中立にして中庸（善）,真なる中立,中立にして中庸（悪）,中立にして中庸（混沌・善）,中立にして中庸（混沌）,中立にして中庸（混沌・悪）,中立にして悪（秩序）,中立にして悪,中立にして悪（混沌）,混沌にして善,混沌にして中立（善）,混沌にして中立,混沌にして中立（悪）,混沌にして悪"</formula1>
    </dataValidation>
    <dataValidation type="list" operator="equal" allowBlank="1" sqref="K35:N36" xr:uid="{00000000-0002-0000-0300-000003000000}">
      <formula1>"－,秩序にして善,秩序にして中立,秩序にして悪,中立にして善,真なる中立,中立にして悪,混沌にして善,混沌にして中立,混沌にして悪"</formula1>
    </dataValidation>
    <dataValidation type="list" allowBlank="1" showInputMessage="1" showErrorMessage="1" sqref="I3:I4" xr:uid="{EDC448E1-3C61-4431-A5C1-8045C0138DCC}">
      <formula1>"バニラ,蟹"</formula1>
    </dataValidation>
    <dataValidation type="list" allowBlank="1" showErrorMessage="1" sqref="T43:U45" xr:uid="{D2A72BA4-D8FD-4E16-B1B6-243D8AFB9FA1}">
      <formula1>"ON,OFF"</formula1>
    </dataValidation>
  </dataValidations>
  <pageMargins left="0.7" right="0.7" top="0.75" bottom="0.75" header="0.51180555555555551" footer="0.51180555555555551"/>
  <pageSetup paperSize="9" orientation="portrait" horizontalDpi="300" verticalDpi="300"/>
  <headerFooter scaleWithDoc="0" alignWithMargins="0"/>
  <drawing r:id="rId1"/>
  <extLst>
    <ext xmlns:x14="http://schemas.microsoft.com/office/spreadsheetml/2009/9/main" uri="{CCE6A557-97BC-4b89-ADB6-D9C93CAAB3DF}">
      <x14:dataValidations xmlns:xm="http://schemas.microsoft.com/office/excel/2006/main" count="17">
        <x14:dataValidation type="list" operator="equal" allowBlank="1" xr:uid="{00000000-0002-0000-0300-000004000000}">
          <x14:formula1>
            <xm:f>リスト!$C$13:$C$19</xm:f>
          </x14:formula1>
          <xm:sqref>P3</xm:sqref>
        </x14:dataValidation>
        <x14:dataValidation type="list" operator="equal" allowBlank="1" xr:uid="{00000000-0002-0000-0300-000008000000}">
          <x14:formula1>
            <xm:f>リスト!$C$22:$C$27</xm:f>
          </x14:formula1>
          <xm:sqref>Q6 P4:Q5</xm:sqref>
        </x14:dataValidation>
        <x14:dataValidation type="list" operator="equal" allowBlank="1" showErrorMessage="1" xr:uid="{00000000-0002-0000-0300-00000B000000}">
          <x14:formula1>
            <xm:f>リスト!$A$2:$A$8</xm:f>
          </x14:formula1>
          <xm:sqref>C10:D10</xm:sqref>
        </x14:dataValidation>
        <x14:dataValidation type="list" operator="equal" allowBlank="1" xr:uid="{00000000-0002-0000-0300-000010000000}">
          <x14:formula1>
            <xm:f>リスト!$C$2:$C$7</xm:f>
          </x14:formula1>
          <xm:sqref>F13:G13 G14</xm:sqref>
        </x14:dataValidation>
        <x14:dataValidation type="list" operator="equal" xr:uid="{00000000-0002-0000-0300-000005000000}">
          <x14:formula1>
            <xm:f>リスト!$M$2:$M$6</xm:f>
          </x14:formula1>
          <xm:sqref>Q3 L7</xm:sqref>
        </x14:dataValidation>
        <x14:dataValidation type="list" operator="equal" allowBlank="1" xr:uid="{00000000-0002-0000-0300-000006000000}">
          <x14:formula1>
            <xm:f>リスト!$T$2:$T$8</xm:f>
          </x14:formula1>
          <xm:sqref>H6:I6</xm:sqref>
        </x14:dataValidation>
        <x14:dataValidation type="list" operator="equal" xr:uid="{00000000-0002-0000-0300-000007000000}">
          <x14:formula1>
            <xm:f>リスト!$BE$2:$BE$65</xm:f>
          </x14:formula1>
          <xm:sqref>J6:L6</xm:sqref>
        </x14:dataValidation>
        <x14:dataValidation type="list" operator="equal" xr:uid="{00000000-0002-0000-0300-000009000000}">
          <x14:formula1>
            <xm:f>リスト!$M$2:$M$9</xm:f>
          </x14:formula1>
          <xm:sqref>K7</xm:sqref>
        </x14:dataValidation>
        <x14:dataValidation type="list" operator="equal" xr:uid="{00000000-0002-0000-0300-00000A000000}">
          <x14:formula1>
            <xm:f>リスト!$H$2:$H$6</xm:f>
          </x14:formula1>
          <xm:sqref>K8:L8</xm:sqref>
        </x14:dataValidation>
        <x14:dataValidation type="list" operator="equal" allowBlank="1" xr:uid="{00000000-0002-0000-0300-00000E000000}">
          <x14:formula1>
            <xm:f>リスト!$AN$2:$AN$74</xm:f>
          </x14:formula1>
          <xm:sqref>J12 L11:M12</xm:sqref>
        </x14:dataValidation>
        <x14:dataValidation type="list" operator="equal" allowBlank="1" xr:uid="{00000000-0002-0000-0300-000012000000}">
          <x14:formula1>
            <xm:f>リスト!$AU$2:$AU$8</xm:f>
          </x14:formula1>
          <xm:sqref>P6:P8 N7:O8 Q7:Q8</xm:sqref>
        </x14:dataValidation>
        <x14:dataValidation type="list" allowBlank="1" showInputMessage="1" showErrorMessage="1" xr:uid="{DC54E802-4F0B-4EB7-BC8F-C2D98B3544A0}">
          <x14:formula1>
            <xm:f>リスト!$AP$2:$AP$110</xm:f>
          </x14:formula1>
          <xm:sqref>P12:Q12</xm:sqref>
        </x14:dataValidation>
        <x14:dataValidation type="list" allowBlank="1" showInputMessage="1" showErrorMessage="1" xr:uid="{AB27E901-E4A5-4012-886E-E68D68DF69B7}">
          <x14:formula1>
            <xm:f>リスト!$BB$2:$BB$25</xm:f>
          </x14:formula1>
          <xm:sqref>C13:D14</xm:sqref>
        </x14:dataValidation>
        <x14:dataValidation type="list" operator="equal" xr:uid="{1301BE5C-727E-4D34-B69C-5452A443F3B7}">
          <x14:formula1>
            <xm:f>リスト!$F$2:$F$9</xm:f>
          </x14:formula1>
          <xm:sqref>F10:G11</xm:sqref>
        </x14:dataValidation>
        <x14:dataValidation type="list" operator="equal" allowBlank="1" xr:uid="{00000000-0002-0000-0300-000013000000}">
          <x14:formula1>
            <xm:f>リスト!$AH$2:$AH$43</xm:f>
          </x14:formula1>
          <xm:sqref>B40:D51</xm:sqref>
        </x14:dataValidation>
        <x14:dataValidation type="list" operator="equal" allowBlank="1" xr:uid="{00000000-0002-0000-0300-000014000000}">
          <x14:formula1>
            <xm:f>リスト!$AW$2:$AW$30</xm:f>
          </x14:formula1>
          <xm:sqref>E40:G49</xm:sqref>
        </x14:dataValidation>
        <x14:dataValidation type="list" allowBlank="1" showInputMessage="1" showErrorMessage="1" xr:uid="{A9FE786D-73A0-4155-AAC4-93F9B769D657}">
          <x14:formula1>
            <xm:f>リスト!AP2:AP110</xm:f>
          </x14:formula1>
          <xm:sqref>P11:Q11</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3"/>
  <dimension ref="A1:V95"/>
  <sheetViews>
    <sheetView workbookViewId="0"/>
  </sheetViews>
  <sheetFormatPr defaultColWidth="10" defaultRowHeight="14.1" customHeight="1" x14ac:dyDescent="0.15"/>
  <sheetData>
    <row r="1" spans="1:22" ht="14.1" customHeight="1" thickBot="1" x14ac:dyDescent="0.2">
      <c r="A1" s="268"/>
      <c r="B1" s="268"/>
      <c r="C1" s="268"/>
      <c r="D1" s="268"/>
      <c r="E1" s="268"/>
      <c r="F1" s="268"/>
      <c r="G1" s="268"/>
      <c r="H1" s="268"/>
      <c r="I1" s="268"/>
      <c r="J1" s="268"/>
      <c r="K1" s="268"/>
      <c r="L1" s="197"/>
      <c r="M1" s="197"/>
      <c r="N1" s="197"/>
      <c r="O1" s="197"/>
      <c r="P1" s="197"/>
      <c r="Q1" s="197"/>
      <c r="R1" s="197"/>
      <c r="S1" s="197"/>
      <c r="T1" s="197"/>
      <c r="U1" s="197"/>
      <c r="V1" s="197"/>
    </row>
    <row r="2" spans="1:22" ht="14.1" customHeight="1" thickBot="1" x14ac:dyDescent="0.2">
      <c r="A2" s="268"/>
      <c r="B2" s="847" t="s">
        <v>710</v>
      </c>
      <c r="C2" s="848"/>
      <c r="D2" s="848"/>
      <c r="E2" s="848"/>
      <c r="F2" s="848"/>
      <c r="G2" s="848"/>
      <c r="H2" s="848"/>
      <c r="I2" s="848"/>
      <c r="J2" s="849"/>
      <c r="K2" s="268"/>
      <c r="L2" s="197"/>
      <c r="M2" s="736" t="s">
        <v>711</v>
      </c>
      <c r="N2" s="736"/>
      <c r="O2" s="736"/>
      <c r="P2" s="736"/>
      <c r="Q2" s="736"/>
      <c r="R2" s="736"/>
      <c r="S2" s="736"/>
      <c r="T2" s="736"/>
      <c r="U2" s="736"/>
      <c r="V2" s="197"/>
    </row>
    <row r="3" spans="1:22" ht="14.1" customHeight="1" thickBot="1" x14ac:dyDescent="0.2">
      <c r="A3" s="268"/>
      <c r="B3" s="850"/>
      <c r="C3" s="851"/>
      <c r="D3" s="851"/>
      <c r="E3" s="851"/>
      <c r="F3" s="851"/>
      <c r="G3" s="851"/>
      <c r="H3" s="851"/>
      <c r="I3" s="851"/>
      <c r="J3" s="852"/>
      <c r="K3" s="268"/>
      <c r="L3" s="197"/>
      <c r="M3" s="736"/>
      <c r="N3" s="736"/>
      <c r="O3" s="736"/>
      <c r="P3" s="736"/>
      <c r="Q3" s="736"/>
      <c r="R3" s="736"/>
      <c r="S3" s="736"/>
      <c r="T3" s="736"/>
      <c r="U3" s="736"/>
      <c r="V3" s="197"/>
    </row>
    <row r="4" spans="1:22" ht="27.6" customHeight="1" thickBot="1" x14ac:dyDescent="0.2">
      <c r="A4" s="268"/>
      <c r="B4" s="856" t="s">
        <v>527</v>
      </c>
      <c r="C4" s="857"/>
      <c r="D4" s="426">
        <f>キャラシート!H27-D5</f>
        <v>2</v>
      </c>
      <c r="E4" s="858" t="s">
        <v>620</v>
      </c>
      <c r="F4" s="857"/>
      <c r="G4" s="426">
        <f>ROUNDDOWN((キャラシート!H25)/2,0)</f>
        <v>2</v>
      </c>
      <c r="H4" s="858" t="s">
        <v>621</v>
      </c>
      <c r="I4" s="857"/>
      <c r="J4" s="427">
        <f>ROUNDDOWN((キャラシート!H25)/3,0)</f>
        <v>1</v>
      </c>
      <c r="K4" s="268"/>
      <c r="L4" s="197"/>
      <c r="M4" s="736"/>
      <c r="N4" s="736"/>
      <c r="O4" s="736"/>
      <c r="P4" s="736"/>
      <c r="Q4" s="736"/>
      <c r="R4" s="736"/>
      <c r="S4" s="736"/>
      <c r="T4" s="736"/>
      <c r="U4" s="736"/>
      <c r="V4" s="197"/>
    </row>
    <row r="5" spans="1:22" ht="27.6" customHeight="1" thickBot="1" x14ac:dyDescent="0.2">
      <c r="A5" s="269"/>
      <c r="B5" s="859" t="s">
        <v>729</v>
      </c>
      <c r="C5" s="860"/>
      <c r="D5" s="443">
        <f>IF(キャラシート!I3="蟹",計算用!E99,計算用!E98)+IF(キャラシート!B40="－","0",VLOOKUP(キャラシート!B40,リスト!$AH$3:$AI$43,2,FALSE))+IF(キャラシート!B41="－","0",VLOOKUP(キャラシート!B41,リスト!$AH$3:$AI$43,2,FALSE()))+IF(キャラシート!B42="－","0",VLOOKUP(キャラシート!B42,リスト!$AH$3:$AI$43,2,FALSE()))+IF(キャラシート!B43="－","0",VLOOKUP(キャラシート!B43,リスト!$AH$3:$AI$43,2,FALSE()))+IF(キャラシート!B44="－","0",VLOOKUP(キャラシート!B44,リスト!$AH$3:$AI$43,2,FALSE()))+IF(キャラシート!B45="－","0",VLOOKUP(キャラシート!B45,リスト!$AH$3:$AI$43,2,FALSE()))+IF(キャラシート!B46="－","0",VLOOKUP(キャラシート!B46,リスト!$AH$3:$AI$43,2,FALSE()))+IF(キャラシート!B47="－","0",VLOOKUP(キャラシート!B47,リスト!$AH$3:$AI$43,2,FALSE()))+IF(キャラシート!B48="－","0",VLOOKUP(キャラシート!B48,リスト!$AH$3:$AI$43,2,FALSE()))+IF(キャラシート!B49="－","0",VLOOKUP(キャラシート!B49,リスト!$AH$3:$AI$43,2,FALSE()))+IF(キャラシート!B50="－","0",VLOOKUP(キャラシート!B50,リスト!$AH$3:$AI$43,2,FALSE()))+IF(キャラシート!B51="－","0",VLOOKUP(キャラシート!B51,リスト!$AH$3:$AI$43,2,FALSE))</f>
        <v>0</v>
      </c>
      <c r="E5" s="861"/>
      <c r="F5" s="862"/>
      <c r="G5" s="428"/>
      <c r="H5" s="861"/>
      <c r="I5" s="862"/>
      <c r="J5" s="429"/>
      <c r="K5" s="268"/>
      <c r="L5" s="197"/>
      <c r="M5" s="736"/>
      <c r="N5" s="736"/>
      <c r="O5" s="736"/>
      <c r="P5" s="736"/>
      <c r="Q5" s="736"/>
      <c r="R5" s="736"/>
      <c r="S5" s="736"/>
      <c r="T5" s="736"/>
      <c r="U5" s="736"/>
      <c r="V5" s="197"/>
    </row>
    <row r="6" spans="1:22" ht="14.1" customHeight="1" x14ac:dyDescent="0.15">
      <c r="A6" s="269"/>
      <c r="B6" s="269"/>
      <c r="C6" s="269"/>
      <c r="D6" s="269"/>
      <c r="E6" s="269"/>
      <c r="F6" s="269"/>
      <c r="G6" s="269"/>
      <c r="H6" s="269"/>
      <c r="I6" s="269"/>
      <c r="J6" s="269"/>
      <c r="K6" s="268"/>
      <c r="L6" s="197"/>
      <c r="M6" s="197"/>
      <c r="N6" s="197"/>
      <c r="O6" s="197"/>
      <c r="P6" s="197"/>
      <c r="Q6" s="197"/>
      <c r="R6" s="197"/>
      <c r="S6" s="197"/>
      <c r="T6" s="197"/>
      <c r="U6" s="197"/>
      <c r="V6" s="197"/>
    </row>
    <row r="7" spans="1:22" ht="14.1" customHeight="1" thickBot="1" x14ac:dyDescent="0.2">
      <c r="A7" s="268"/>
      <c r="B7" s="268"/>
      <c r="C7" s="268"/>
      <c r="D7" s="268"/>
      <c r="E7" s="268"/>
      <c r="F7" s="268"/>
      <c r="G7" s="268"/>
      <c r="H7" s="268"/>
      <c r="I7" s="268"/>
      <c r="J7" s="268"/>
      <c r="K7" s="268"/>
      <c r="L7" s="197"/>
      <c r="M7" s="197"/>
      <c r="N7" s="197"/>
      <c r="O7" s="197"/>
      <c r="P7" s="197"/>
      <c r="Q7" s="197"/>
      <c r="R7" s="197"/>
      <c r="S7" s="197"/>
      <c r="T7" s="197"/>
      <c r="U7" s="197"/>
      <c r="V7" s="197"/>
    </row>
    <row r="8" spans="1:22" ht="14.1" customHeight="1" x14ac:dyDescent="0.15">
      <c r="A8" s="268"/>
      <c r="B8" s="803" t="s">
        <v>450</v>
      </c>
      <c r="C8" s="804"/>
      <c r="D8" s="804"/>
      <c r="E8" s="804"/>
      <c r="F8" s="805"/>
      <c r="G8" s="265" t="s">
        <v>622</v>
      </c>
      <c r="H8" s="440" t="s">
        <v>270</v>
      </c>
      <c r="I8" s="440" t="s">
        <v>623</v>
      </c>
      <c r="J8" s="266" t="s">
        <v>624</v>
      </c>
      <c r="K8" s="269"/>
      <c r="L8" s="197"/>
      <c r="M8" s="806" t="s">
        <v>450</v>
      </c>
      <c r="N8" s="806"/>
      <c r="O8" s="806"/>
      <c r="P8" s="806"/>
      <c r="Q8" s="806"/>
      <c r="R8" s="807" t="s">
        <v>625</v>
      </c>
      <c r="S8" s="807"/>
      <c r="T8" s="265" t="s">
        <v>622</v>
      </c>
      <c r="U8" s="270" t="s">
        <v>623</v>
      </c>
      <c r="V8" s="197"/>
    </row>
    <row r="9" spans="1:22" ht="14.1" customHeight="1" x14ac:dyDescent="0.15">
      <c r="A9" s="268"/>
      <c r="B9" s="841"/>
      <c r="C9" s="842"/>
      <c r="D9" s="842"/>
      <c r="E9" s="842"/>
      <c r="F9" s="843"/>
      <c r="G9" s="821" t="s">
        <v>18</v>
      </c>
      <c r="H9" s="823" t="s">
        <v>18</v>
      </c>
      <c r="I9" s="838">
        <f>IF(キャラシート!$I$3="蟹",計算用!C12,計算用!C6)</f>
        <v>0</v>
      </c>
      <c r="J9" s="854">
        <f>IF(キャラシート!$I$3="蟹",計算用!D12,計算用!D6)</f>
        <v>0</v>
      </c>
      <c r="K9" s="268"/>
      <c r="L9" s="197"/>
      <c r="M9" s="831"/>
      <c r="N9" s="831"/>
      <c r="O9" s="831"/>
      <c r="P9" s="831"/>
      <c r="Q9" s="831"/>
      <c r="R9" s="829" t="s">
        <v>18</v>
      </c>
      <c r="S9" s="829"/>
      <c r="T9" s="840" t="s">
        <v>18</v>
      </c>
      <c r="U9" s="853"/>
      <c r="V9" s="197"/>
    </row>
    <row r="10" spans="1:22" ht="14.1" customHeight="1" x14ac:dyDescent="0.15">
      <c r="A10" s="269"/>
      <c r="B10" s="844"/>
      <c r="C10" s="845"/>
      <c r="D10" s="845"/>
      <c r="E10" s="845"/>
      <c r="F10" s="846"/>
      <c r="G10" s="822"/>
      <c r="H10" s="824"/>
      <c r="I10" s="839"/>
      <c r="J10" s="855"/>
      <c r="K10" s="269"/>
      <c r="L10" s="197"/>
      <c r="M10" s="831"/>
      <c r="N10" s="831"/>
      <c r="O10" s="831"/>
      <c r="P10" s="831"/>
      <c r="Q10" s="831"/>
      <c r="R10" s="829"/>
      <c r="S10" s="829"/>
      <c r="T10" s="840"/>
      <c r="U10" s="853"/>
      <c r="V10" s="197"/>
    </row>
    <row r="11" spans="1:22" ht="14.1" customHeight="1" x14ac:dyDescent="0.15">
      <c r="A11" s="268"/>
      <c r="B11" s="808" t="s">
        <v>9</v>
      </c>
      <c r="C11" s="809"/>
      <c r="D11" s="810"/>
      <c r="E11" s="811" t="s">
        <v>10</v>
      </c>
      <c r="F11" s="809"/>
      <c r="G11" s="810"/>
      <c r="H11" s="811" t="s">
        <v>11</v>
      </c>
      <c r="I11" s="809"/>
      <c r="J11" s="812"/>
      <c r="K11" s="268"/>
      <c r="L11" s="197"/>
      <c r="M11" s="831"/>
      <c r="N11" s="831"/>
      <c r="O11" s="831"/>
      <c r="P11" s="831"/>
      <c r="Q11" s="831"/>
      <c r="R11" s="829"/>
      <c r="S11" s="829"/>
      <c r="T11" s="840"/>
      <c r="U11" s="853"/>
      <c r="V11" s="197"/>
    </row>
    <row r="12" spans="1:22" ht="14.1" customHeight="1" x14ac:dyDescent="0.15">
      <c r="A12" s="269"/>
      <c r="B12" s="825" t="s">
        <v>18</v>
      </c>
      <c r="C12" s="827" t="s">
        <v>18</v>
      </c>
      <c r="D12" s="827" t="s">
        <v>18</v>
      </c>
      <c r="E12" s="441" t="s">
        <v>18</v>
      </c>
      <c r="F12" s="441" t="s">
        <v>18</v>
      </c>
      <c r="G12" s="441" t="s">
        <v>18</v>
      </c>
      <c r="H12" s="441" t="s">
        <v>18</v>
      </c>
      <c r="I12" s="441" t="s">
        <v>18</v>
      </c>
      <c r="J12" s="267" t="s">
        <v>18</v>
      </c>
      <c r="K12" s="269"/>
      <c r="L12" s="197"/>
      <c r="M12" s="813" t="s">
        <v>626</v>
      </c>
      <c r="N12" s="813"/>
      <c r="O12" s="813"/>
      <c r="P12" s="813"/>
      <c r="Q12" s="813"/>
      <c r="R12" s="813"/>
      <c r="S12" s="813"/>
      <c r="T12" s="813"/>
      <c r="U12" s="813"/>
      <c r="V12" s="197"/>
    </row>
    <row r="13" spans="1:22" ht="14.1" customHeight="1" x14ac:dyDescent="0.15">
      <c r="A13" s="268"/>
      <c r="B13" s="826"/>
      <c r="C13" s="828"/>
      <c r="D13" s="828"/>
      <c r="E13" s="441" t="s">
        <v>18</v>
      </c>
      <c r="F13" s="441" t="s">
        <v>18</v>
      </c>
      <c r="G13" s="441" t="s">
        <v>18</v>
      </c>
      <c r="H13" s="441" t="s">
        <v>18</v>
      </c>
      <c r="I13" s="441" t="s">
        <v>18</v>
      </c>
      <c r="J13" s="267" t="s">
        <v>18</v>
      </c>
      <c r="K13" s="268"/>
      <c r="L13" s="197"/>
      <c r="M13" s="830"/>
      <c r="N13" s="830"/>
      <c r="O13" s="830"/>
      <c r="P13" s="830"/>
      <c r="Q13" s="830"/>
      <c r="R13" s="830"/>
      <c r="S13" s="830"/>
      <c r="T13" s="830"/>
      <c r="U13" s="830"/>
      <c r="V13" s="197"/>
    </row>
    <row r="14" spans="1:22" ht="14.1" customHeight="1" x14ac:dyDescent="0.15">
      <c r="A14" s="269"/>
      <c r="B14" s="814" t="s">
        <v>626</v>
      </c>
      <c r="C14" s="815"/>
      <c r="D14" s="815"/>
      <c r="E14" s="815"/>
      <c r="F14" s="815"/>
      <c r="G14" s="815"/>
      <c r="H14" s="815"/>
      <c r="I14" s="815"/>
      <c r="J14" s="816"/>
      <c r="K14" s="269"/>
      <c r="L14" s="197"/>
      <c r="M14" s="830"/>
      <c r="N14" s="830"/>
      <c r="O14" s="830"/>
      <c r="P14" s="830"/>
      <c r="Q14" s="830"/>
      <c r="R14" s="830"/>
      <c r="S14" s="830"/>
      <c r="T14" s="830"/>
      <c r="U14" s="830"/>
      <c r="V14" s="197"/>
    </row>
    <row r="15" spans="1:22" ht="14.1" customHeight="1" x14ac:dyDescent="0.15">
      <c r="A15" s="268"/>
      <c r="B15" s="832"/>
      <c r="C15" s="833"/>
      <c r="D15" s="833"/>
      <c r="E15" s="833"/>
      <c r="F15" s="833"/>
      <c r="G15" s="833"/>
      <c r="H15" s="833"/>
      <c r="I15" s="833"/>
      <c r="J15" s="834"/>
      <c r="K15" s="268"/>
      <c r="L15" s="197"/>
      <c r="M15" s="830"/>
      <c r="N15" s="830"/>
      <c r="O15" s="830"/>
      <c r="P15" s="830"/>
      <c r="Q15" s="830"/>
      <c r="R15" s="830"/>
      <c r="S15" s="830"/>
      <c r="T15" s="830"/>
      <c r="U15" s="830"/>
      <c r="V15" s="197"/>
    </row>
    <row r="16" spans="1:22" ht="14.1" customHeight="1" x14ac:dyDescent="0.15">
      <c r="A16" s="269"/>
      <c r="B16" s="835"/>
      <c r="C16" s="836"/>
      <c r="D16" s="836"/>
      <c r="E16" s="836"/>
      <c r="F16" s="836"/>
      <c r="G16" s="836"/>
      <c r="H16" s="836"/>
      <c r="I16" s="836"/>
      <c r="J16" s="837"/>
      <c r="K16" s="269"/>
      <c r="L16" s="197"/>
      <c r="M16" s="830"/>
      <c r="N16" s="830"/>
      <c r="O16" s="830"/>
      <c r="P16" s="830"/>
      <c r="Q16" s="830"/>
      <c r="R16" s="830"/>
      <c r="S16" s="830"/>
      <c r="T16" s="830"/>
      <c r="U16" s="830"/>
      <c r="V16" s="197"/>
    </row>
    <row r="17" spans="1:22" ht="14.1" customHeight="1" thickBot="1" x14ac:dyDescent="0.2">
      <c r="A17" s="269"/>
      <c r="B17" s="817" t="s">
        <v>627</v>
      </c>
      <c r="C17" s="818"/>
      <c r="D17" s="818"/>
      <c r="E17" s="818"/>
      <c r="F17" s="818"/>
      <c r="G17" s="818"/>
      <c r="H17" s="818"/>
      <c r="I17" s="818"/>
      <c r="J17" s="819"/>
      <c r="K17" s="268"/>
      <c r="L17" s="197"/>
      <c r="M17" s="820" t="s">
        <v>628</v>
      </c>
      <c r="N17" s="820"/>
      <c r="O17" s="820"/>
      <c r="P17" s="820"/>
      <c r="Q17" s="820"/>
      <c r="R17" s="820"/>
      <c r="S17" s="820"/>
      <c r="T17" s="820"/>
      <c r="U17" s="820"/>
      <c r="V17" s="197"/>
    </row>
    <row r="18" spans="1:22" ht="14.1" customHeight="1" thickBot="1" x14ac:dyDescent="0.2">
      <c r="A18" s="268"/>
      <c r="B18" s="268"/>
      <c r="C18" s="268"/>
      <c r="D18" s="268"/>
      <c r="E18" s="268"/>
      <c r="F18" s="268"/>
      <c r="G18" s="268"/>
      <c r="H18" s="268"/>
      <c r="I18" s="268"/>
      <c r="J18" s="268"/>
      <c r="K18" s="269"/>
      <c r="L18" s="197"/>
      <c r="M18" s="197"/>
      <c r="N18" s="197"/>
      <c r="O18" s="197"/>
      <c r="P18" s="197"/>
      <c r="Q18" s="197"/>
      <c r="R18" s="197"/>
      <c r="S18" s="197"/>
      <c r="T18" s="197"/>
      <c r="U18" s="197"/>
      <c r="V18" s="197"/>
    </row>
    <row r="19" spans="1:22" ht="14.1" customHeight="1" x14ac:dyDescent="0.15">
      <c r="A19" s="269"/>
      <c r="B19" s="803" t="s">
        <v>450</v>
      </c>
      <c r="C19" s="804"/>
      <c r="D19" s="804"/>
      <c r="E19" s="804"/>
      <c r="F19" s="805"/>
      <c r="G19" s="265" t="s">
        <v>622</v>
      </c>
      <c r="H19" s="440" t="s">
        <v>270</v>
      </c>
      <c r="I19" s="440" t="s">
        <v>623</v>
      </c>
      <c r="J19" s="266" t="s">
        <v>624</v>
      </c>
      <c r="K19" s="269"/>
      <c r="L19" s="197"/>
      <c r="M19" s="806" t="s">
        <v>450</v>
      </c>
      <c r="N19" s="806"/>
      <c r="O19" s="806"/>
      <c r="P19" s="806"/>
      <c r="Q19" s="806"/>
      <c r="R19" s="807" t="s">
        <v>625</v>
      </c>
      <c r="S19" s="807"/>
      <c r="T19" s="265" t="s">
        <v>622</v>
      </c>
      <c r="U19" s="270" t="s">
        <v>623</v>
      </c>
      <c r="V19" s="197"/>
    </row>
    <row r="20" spans="1:22" ht="14.1" customHeight="1" x14ac:dyDescent="0.15">
      <c r="A20" s="268"/>
      <c r="B20" s="841"/>
      <c r="C20" s="842"/>
      <c r="D20" s="842"/>
      <c r="E20" s="842"/>
      <c r="F20" s="843"/>
      <c r="G20" s="821" t="s">
        <v>18</v>
      </c>
      <c r="H20" s="823" t="s">
        <v>18</v>
      </c>
      <c r="I20" s="838">
        <f>IF(キャラシート!$I$3="蟹",計算用!C24,計算用!C18)</f>
        <v>0</v>
      </c>
      <c r="J20" s="854">
        <f>IF(キャラシート!$I$3="蟹",計算用!D24,計算用!D18)</f>
        <v>0</v>
      </c>
      <c r="K20" s="268"/>
      <c r="L20" s="197"/>
      <c r="M20" s="831"/>
      <c r="N20" s="831"/>
      <c r="O20" s="831"/>
      <c r="P20" s="831"/>
      <c r="Q20" s="831"/>
      <c r="R20" s="829" t="s">
        <v>18</v>
      </c>
      <c r="S20" s="829"/>
      <c r="T20" s="840" t="s">
        <v>18</v>
      </c>
      <c r="U20" s="853"/>
      <c r="V20" s="197"/>
    </row>
    <row r="21" spans="1:22" ht="14.1" customHeight="1" x14ac:dyDescent="0.15">
      <c r="A21" s="269"/>
      <c r="B21" s="844"/>
      <c r="C21" s="845"/>
      <c r="D21" s="845"/>
      <c r="E21" s="845"/>
      <c r="F21" s="846"/>
      <c r="G21" s="822"/>
      <c r="H21" s="824"/>
      <c r="I21" s="839"/>
      <c r="J21" s="855"/>
      <c r="K21" s="269"/>
      <c r="L21" s="197"/>
      <c r="M21" s="831"/>
      <c r="N21" s="831"/>
      <c r="O21" s="831"/>
      <c r="P21" s="831"/>
      <c r="Q21" s="831"/>
      <c r="R21" s="829"/>
      <c r="S21" s="829"/>
      <c r="T21" s="840"/>
      <c r="U21" s="853"/>
      <c r="V21" s="197"/>
    </row>
    <row r="22" spans="1:22" ht="14.1" customHeight="1" x14ac:dyDescent="0.15">
      <c r="A22" s="268"/>
      <c r="B22" s="808" t="s">
        <v>9</v>
      </c>
      <c r="C22" s="809"/>
      <c r="D22" s="810"/>
      <c r="E22" s="811" t="s">
        <v>10</v>
      </c>
      <c r="F22" s="809"/>
      <c r="G22" s="810"/>
      <c r="H22" s="811" t="s">
        <v>11</v>
      </c>
      <c r="I22" s="809"/>
      <c r="J22" s="812"/>
      <c r="K22" s="268"/>
      <c r="L22" s="197"/>
      <c r="M22" s="831"/>
      <c r="N22" s="831"/>
      <c r="O22" s="831"/>
      <c r="P22" s="831"/>
      <c r="Q22" s="831"/>
      <c r="R22" s="829"/>
      <c r="S22" s="829"/>
      <c r="T22" s="840"/>
      <c r="U22" s="853"/>
      <c r="V22" s="197"/>
    </row>
    <row r="23" spans="1:22" ht="14.1" customHeight="1" x14ac:dyDescent="0.15">
      <c r="A23" s="269"/>
      <c r="B23" s="825" t="s">
        <v>18</v>
      </c>
      <c r="C23" s="827" t="s">
        <v>18</v>
      </c>
      <c r="D23" s="827" t="s">
        <v>18</v>
      </c>
      <c r="E23" s="441" t="s">
        <v>18</v>
      </c>
      <c r="F23" s="441" t="s">
        <v>18</v>
      </c>
      <c r="G23" s="441" t="s">
        <v>18</v>
      </c>
      <c r="H23" s="441" t="s">
        <v>18</v>
      </c>
      <c r="I23" s="441" t="s">
        <v>18</v>
      </c>
      <c r="J23" s="267" t="s">
        <v>18</v>
      </c>
      <c r="K23" s="269"/>
      <c r="L23" s="197"/>
      <c r="M23" s="813" t="s">
        <v>626</v>
      </c>
      <c r="N23" s="813"/>
      <c r="O23" s="813"/>
      <c r="P23" s="813"/>
      <c r="Q23" s="813"/>
      <c r="R23" s="813"/>
      <c r="S23" s="813"/>
      <c r="T23" s="813"/>
      <c r="U23" s="813"/>
      <c r="V23" s="197"/>
    </row>
    <row r="24" spans="1:22" ht="14.1" customHeight="1" x14ac:dyDescent="0.15">
      <c r="A24" s="268"/>
      <c r="B24" s="826"/>
      <c r="C24" s="828"/>
      <c r="D24" s="828"/>
      <c r="E24" s="441" t="s">
        <v>18</v>
      </c>
      <c r="F24" s="441" t="s">
        <v>18</v>
      </c>
      <c r="G24" s="441" t="s">
        <v>18</v>
      </c>
      <c r="H24" s="441" t="s">
        <v>18</v>
      </c>
      <c r="I24" s="441" t="s">
        <v>18</v>
      </c>
      <c r="J24" s="267" t="s">
        <v>18</v>
      </c>
      <c r="K24" s="268"/>
      <c r="L24" s="197"/>
      <c r="M24" s="830"/>
      <c r="N24" s="830"/>
      <c r="O24" s="830"/>
      <c r="P24" s="830"/>
      <c r="Q24" s="830"/>
      <c r="R24" s="830"/>
      <c r="S24" s="830"/>
      <c r="T24" s="830"/>
      <c r="U24" s="830"/>
      <c r="V24" s="197"/>
    </row>
    <row r="25" spans="1:22" ht="14.1" customHeight="1" x14ac:dyDescent="0.15">
      <c r="A25" s="269"/>
      <c r="B25" s="814" t="s">
        <v>626</v>
      </c>
      <c r="C25" s="815"/>
      <c r="D25" s="815"/>
      <c r="E25" s="815"/>
      <c r="F25" s="815"/>
      <c r="G25" s="815"/>
      <c r="H25" s="815"/>
      <c r="I25" s="815"/>
      <c r="J25" s="816"/>
      <c r="K25" s="269"/>
      <c r="L25" s="197"/>
      <c r="M25" s="830"/>
      <c r="N25" s="830"/>
      <c r="O25" s="830"/>
      <c r="P25" s="830"/>
      <c r="Q25" s="830"/>
      <c r="R25" s="830"/>
      <c r="S25" s="830"/>
      <c r="T25" s="830"/>
      <c r="U25" s="830"/>
      <c r="V25" s="197"/>
    </row>
    <row r="26" spans="1:22" ht="14.1" customHeight="1" x14ac:dyDescent="0.15">
      <c r="A26" s="268"/>
      <c r="B26" s="832"/>
      <c r="C26" s="833"/>
      <c r="D26" s="833"/>
      <c r="E26" s="833"/>
      <c r="F26" s="833"/>
      <c r="G26" s="833"/>
      <c r="H26" s="833"/>
      <c r="I26" s="833"/>
      <c r="J26" s="834"/>
      <c r="K26" s="268"/>
      <c r="L26" s="197"/>
      <c r="M26" s="830"/>
      <c r="N26" s="830"/>
      <c r="O26" s="830"/>
      <c r="P26" s="830"/>
      <c r="Q26" s="830"/>
      <c r="R26" s="830"/>
      <c r="S26" s="830"/>
      <c r="T26" s="830"/>
      <c r="U26" s="830"/>
      <c r="V26" s="197"/>
    </row>
    <row r="27" spans="1:22" ht="14.1" customHeight="1" x14ac:dyDescent="0.15">
      <c r="A27" s="269"/>
      <c r="B27" s="835"/>
      <c r="C27" s="836"/>
      <c r="D27" s="836"/>
      <c r="E27" s="836"/>
      <c r="F27" s="836"/>
      <c r="G27" s="836"/>
      <c r="H27" s="836"/>
      <c r="I27" s="836"/>
      <c r="J27" s="837"/>
      <c r="K27" s="269"/>
      <c r="L27" s="197"/>
      <c r="M27" s="830"/>
      <c r="N27" s="830"/>
      <c r="O27" s="830"/>
      <c r="P27" s="830"/>
      <c r="Q27" s="830"/>
      <c r="R27" s="830"/>
      <c r="S27" s="830"/>
      <c r="T27" s="830"/>
      <c r="U27" s="830"/>
      <c r="V27" s="197"/>
    </row>
    <row r="28" spans="1:22" ht="14.1" customHeight="1" thickBot="1" x14ac:dyDescent="0.2">
      <c r="A28" s="268"/>
      <c r="B28" s="817" t="s">
        <v>627</v>
      </c>
      <c r="C28" s="818"/>
      <c r="D28" s="818"/>
      <c r="E28" s="818"/>
      <c r="F28" s="818"/>
      <c r="G28" s="818"/>
      <c r="H28" s="818"/>
      <c r="I28" s="818"/>
      <c r="J28" s="819"/>
      <c r="K28" s="268"/>
      <c r="L28" s="197"/>
      <c r="M28" s="820" t="s">
        <v>628</v>
      </c>
      <c r="N28" s="820"/>
      <c r="O28" s="820"/>
      <c r="P28" s="820"/>
      <c r="Q28" s="820"/>
      <c r="R28" s="820"/>
      <c r="S28" s="820"/>
      <c r="T28" s="820"/>
      <c r="U28" s="820"/>
      <c r="V28" s="197"/>
    </row>
    <row r="29" spans="1:22" ht="14.1" customHeight="1" thickBot="1" x14ac:dyDescent="0.2">
      <c r="A29" s="269"/>
      <c r="B29" s="269"/>
      <c r="C29" s="269"/>
      <c r="D29" s="269"/>
      <c r="E29" s="269"/>
      <c r="F29" s="269"/>
      <c r="G29" s="269"/>
      <c r="H29" s="269"/>
      <c r="I29" s="269"/>
      <c r="J29" s="269"/>
      <c r="K29" s="268"/>
      <c r="L29" s="197"/>
      <c r="M29" s="197"/>
      <c r="N29" s="197"/>
      <c r="O29" s="197"/>
      <c r="P29" s="197"/>
      <c r="Q29" s="197"/>
      <c r="R29" s="197"/>
      <c r="S29" s="197"/>
      <c r="T29" s="197"/>
      <c r="U29" s="197"/>
      <c r="V29" s="197"/>
    </row>
    <row r="30" spans="1:22" ht="14.1" customHeight="1" x14ac:dyDescent="0.15">
      <c r="A30" s="268"/>
      <c r="B30" s="803" t="s">
        <v>450</v>
      </c>
      <c r="C30" s="804"/>
      <c r="D30" s="804"/>
      <c r="E30" s="804"/>
      <c r="F30" s="805"/>
      <c r="G30" s="265" t="s">
        <v>622</v>
      </c>
      <c r="H30" s="440" t="s">
        <v>270</v>
      </c>
      <c r="I30" s="440" t="s">
        <v>623</v>
      </c>
      <c r="J30" s="266" t="s">
        <v>624</v>
      </c>
      <c r="K30" s="269"/>
      <c r="L30" s="197"/>
      <c r="M30" s="806" t="s">
        <v>450</v>
      </c>
      <c r="N30" s="806"/>
      <c r="O30" s="806"/>
      <c r="P30" s="806"/>
      <c r="Q30" s="806"/>
      <c r="R30" s="807" t="s">
        <v>625</v>
      </c>
      <c r="S30" s="807"/>
      <c r="T30" s="265" t="s">
        <v>622</v>
      </c>
      <c r="U30" s="270" t="s">
        <v>623</v>
      </c>
      <c r="V30" s="197"/>
    </row>
    <row r="31" spans="1:22" ht="14.1" customHeight="1" x14ac:dyDescent="0.15">
      <c r="A31" s="269"/>
      <c r="B31" s="841"/>
      <c r="C31" s="842"/>
      <c r="D31" s="842"/>
      <c r="E31" s="842"/>
      <c r="F31" s="843"/>
      <c r="G31" s="821" t="s">
        <v>18</v>
      </c>
      <c r="H31" s="823" t="s">
        <v>18</v>
      </c>
      <c r="I31" s="838">
        <f>IF(キャラシート!$I$3="蟹",計算用!C36,計算用!C30)</f>
        <v>0</v>
      </c>
      <c r="J31" s="854">
        <f>IF(キャラシート!$I$3="蟹",計算用!D36,計算用!D30)</f>
        <v>0</v>
      </c>
      <c r="K31" s="268"/>
      <c r="L31" s="197"/>
      <c r="M31" s="831"/>
      <c r="N31" s="831"/>
      <c r="O31" s="831"/>
      <c r="P31" s="831"/>
      <c r="Q31" s="831"/>
      <c r="R31" s="829" t="s">
        <v>18</v>
      </c>
      <c r="S31" s="829"/>
      <c r="T31" s="840" t="s">
        <v>18</v>
      </c>
      <c r="U31" s="853"/>
      <c r="V31" s="197"/>
    </row>
    <row r="32" spans="1:22" ht="14.1" customHeight="1" x14ac:dyDescent="0.15">
      <c r="A32" s="268"/>
      <c r="B32" s="844"/>
      <c r="C32" s="845"/>
      <c r="D32" s="845"/>
      <c r="E32" s="845"/>
      <c r="F32" s="846"/>
      <c r="G32" s="822"/>
      <c r="H32" s="824"/>
      <c r="I32" s="839"/>
      <c r="J32" s="855"/>
      <c r="K32" s="269"/>
      <c r="L32" s="197"/>
      <c r="M32" s="831"/>
      <c r="N32" s="831"/>
      <c r="O32" s="831"/>
      <c r="P32" s="831"/>
      <c r="Q32" s="831"/>
      <c r="R32" s="829"/>
      <c r="S32" s="829"/>
      <c r="T32" s="840"/>
      <c r="U32" s="853"/>
      <c r="V32" s="197"/>
    </row>
    <row r="33" spans="1:22" ht="14.1" customHeight="1" x14ac:dyDescent="0.15">
      <c r="A33" s="269"/>
      <c r="B33" s="808" t="s">
        <v>9</v>
      </c>
      <c r="C33" s="809"/>
      <c r="D33" s="810"/>
      <c r="E33" s="811" t="s">
        <v>10</v>
      </c>
      <c r="F33" s="809"/>
      <c r="G33" s="810"/>
      <c r="H33" s="811" t="s">
        <v>11</v>
      </c>
      <c r="I33" s="809"/>
      <c r="J33" s="812"/>
      <c r="K33" s="268"/>
      <c r="L33" s="197"/>
      <c r="M33" s="831"/>
      <c r="N33" s="831"/>
      <c r="O33" s="831"/>
      <c r="P33" s="831"/>
      <c r="Q33" s="831"/>
      <c r="R33" s="829"/>
      <c r="S33" s="829"/>
      <c r="T33" s="840"/>
      <c r="U33" s="853"/>
      <c r="V33" s="197"/>
    </row>
    <row r="34" spans="1:22" ht="14.1" customHeight="1" x14ac:dyDescent="0.15">
      <c r="A34" s="268"/>
      <c r="B34" s="825" t="s">
        <v>18</v>
      </c>
      <c r="C34" s="827" t="s">
        <v>18</v>
      </c>
      <c r="D34" s="827" t="s">
        <v>18</v>
      </c>
      <c r="E34" s="441" t="s">
        <v>18</v>
      </c>
      <c r="F34" s="441" t="s">
        <v>18</v>
      </c>
      <c r="G34" s="441" t="s">
        <v>18</v>
      </c>
      <c r="H34" s="441" t="s">
        <v>18</v>
      </c>
      <c r="I34" s="441" t="s">
        <v>18</v>
      </c>
      <c r="J34" s="267" t="s">
        <v>18</v>
      </c>
      <c r="K34" s="269"/>
      <c r="L34" s="197"/>
      <c r="M34" s="813" t="s">
        <v>626</v>
      </c>
      <c r="N34" s="813"/>
      <c r="O34" s="813"/>
      <c r="P34" s="813"/>
      <c r="Q34" s="813"/>
      <c r="R34" s="813"/>
      <c r="S34" s="813"/>
      <c r="T34" s="813"/>
      <c r="U34" s="813"/>
      <c r="V34" s="197"/>
    </row>
    <row r="35" spans="1:22" ht="14.1" customHeight="1" x14ac:dyDescent="0.15">
      <c r="A35" s="269"/>
      <c r="B35" s="826"/>
      <c r="C35" s="828"/>
      <c r="D35" s="828"/>
      <c r="E35" s="441" t="s">
        <v>18</v>
      </c>
      <c r="F35" s="441" t="s">
        <v>18</v>
      </c>
      <c r="G35" s="441" t="s">
        <v>18</v>
      </c>
      <c r="H35" s="441" t="s">
        <v>18</v>
      </c>
      <c r="I35" s="441" t="s">
        <v>18</v>
      </c>
      <c r="J35" s="267" t="s">
        <v>18</v>
      </c>
      <c r="K35" s="268"/>
      <c r="L35" s="197"/>
      <c r="M35" s="830"/>
      <c r="N35" s="830"/>
      <c r="O35" s="830"/>
      <c r="P35" s="830"/>
      <c r="Q35" s="830"/>
      <c r="R35" s="830"/>
      <c r="S35" s="830"/>
      <c r="T35" s="830"/>
      <c r="U35" s="830"/>
      <c r="V35" s="197"/>
    </row>
    <row r="36" spans="1:22" ht="14.1" customHeight="1" x14ac:dyDescent="0.15">
      <c r="A36" s="268"/>
      <c r="B36" s="814" t="s">
        <v>626</v>
      </c>
      <c r="C36" s="815"/>
      <c r="D36" s="815"/>
      <c r="E36" s="815"/>
      <c r="F36" s="815"/>
      <c r="G36" s="815"/>
      <c r="H36" s="815"/>
      <c r="I36" s="815"/>
      <c r="J36" s="816"/>
      <c r="K36" s="269"/>
      <c r="L36" s="197"/>
      <c r="M36" s="830"/>
      <c r="N36" s="830"/>
      <c r="O36" s="830"/>
      <c r="P36" s="830"/>
      <c r="Q36" s="830"/>
      <c r="R36" s="830"/>
      <c r="S36" s="830"/>
      <c r="T36" s="830"/>
      <c r="U36" s="830"/>
      <c r="V36" s="197"/>
    </row>
    <row r="37" spans="1:22" ht="14.1" customHeight="1" x14ac:dyDescent="0.15">
      <c r="A37" s="269"/>
      <c r="B37" s="832"/>
      <c r="C37" s="833"/>
      <c r="D37" s="833"/>
      <c r="E37" s="833"/>
      <c r="F37" s="833"/>
      <c r="G37" s="833"/>
      <c r="H37" s="833"/>
      <c r="I37" s="833"/>
      <c r="J37" s="834"/>
      <c r="K37" s="268"/>
      <c r="L37" s="197"/>
      <c r="M37" s="830"/>
      <c r="N37" s="830"/>
      <c r="O37" s="830"/>
      <c r="P37" s="830"/>
      <c r="Q37" s="830"/>
      <c r="R37" s="830"/>
      <c r="S37" s="830"/>
      <c r="T37" s="830"/>
      <c r="U37" s="830"/>
      <c r="V37" s="197"/>
    </row>
    <row r="38" spans="1:22" ht="14.1" customHeight="1" x14ac:dyDescent="0.15">
      <c r="A38" s="268"/>
      <c r="B38" s="835"/>
      <c r="C38" s="836"/>
      <c r="D38" s="836"/>
      <c r="E38" s="836"/>
      <c r="F38" s="836"/>
      <c r="G38" s="836"/>
      <c r="H38" s="836"/>
      <c r="I38" s="836"/>
      <c r="J38" s="837"/>
      <c r="K38" s="269"/>
      <c r="L38" s="197"/>
      <c r="M38" s="830"/>
      <c r="N38" s="830"/>
      <c r="O38" s="830"/>
      <c r="P38" s="830"/>
      <c r="Q38" s="830"/>
      <c r="R38" s="830"/>
      <c r="S38" s="830"/>
      <c r="T38" s="830"/>
      <c r="U38" s="830"/>
      <c r="V38" s="197"/>
    </row>
    <row r="39" spans="1:22" ht="14.1" customHeight="1" thickBot="1" x14ac:dyDescent="0.2">
      <c r="A39" s="269"/>
      <c r="B39" s="817" t="s">
        <v>627</v>
      </c>
      <c r="C39" s="818"/>
      <c r="D39" s="818"/>
      <c r="E39" s="818"/>
      <c r="F39" s="818"/>
      <c r="G39" s="818"/>
      <c r="H39" s="818"/>
      <c r="I39" s="818"/>
      <c r="J39" s="819"/>
      <c r="K39" s="268"/>
      <c r="L39" s="197"/>
      <c r="M39" s="820" t="s">
        <v>628</v>
      </c>
      <c r="N39" s="820"/>
      <c r="O39" s="820"/>
      <c r="P39" s="820"/>
      <c r="Q39" s="820"/>
      <c r="R39" s="820"/>
      <c r="S39" s="820"/>
      <c r="T39" s="820"/>
      <c r="U39" s="820"/>
      <c r="V39" s="197"/>
    </row>
    <row r="40" spans="1:22" ht="14.1" customHeight="1" thickBot="1" x14ac:dyDescent="0.2">
      <c r="A40" s="268"/>
      <c r="B40" s="268"/>
      <c r="C40" s="268"/>
      <c r="D40" s="268"/>
      <c r="E40" s="268"/>
      <c r="F40" s="268"/>
      <c r="G40" s="268"/>
      <c r="H40" s="268"/>
      <c r="I40" s="268"/>
      <c r="J40" s="268"/>
      <c r="K40" s="269"/>
      <c r="L40" s="197"/>
      <c r="M40" s="197"/>
      <c r="N40" s="197"/>
      <c r="O40" s="197"/>
      <c r="P40" s="197"/>
      <c r="Q40" s="197"/>
      <c r="R40" s="197"/>
      <c r="S40" s="197"/>
      <c r="T40" s="197"/>
      <c r="U40" s="197"/>
      <c r="V40" s="197"/>
    </row>
    <row r="41" spans="1:22" ht="14.1" customHeight="1" x14ac:dyDescent="0.15">
      <c r="A41" s="269"/>
      <c r="B41" s="803" t="s">
        <v>450</v>
      </c>
      <c r="C41" s="804"/>
      <c r="D41" s="804"/>
      <c r="E41" s="804"/>
      <c r="F41" s="805"/>
      <c r="G41" s="265" t="s">
        <v>622</v>
      </c>
      <c r="H41" s="440" t="s">
        <v>270</v>
      </c>
      <c r="I41" s="440" t="s">
        <v>623</v>
      </c>
      <c r="J41" s="266" t="s">
        <v>624</v>
      </c>
      <c r="K41" s="269"/>
      <c r="L41" s="197"/>
      <c r="M41" s="806" t="s">
        <v>450</v>
      </c>
      <c r="N41" s="806"/>
      <c r="O41" s="806"/>
      <c r="P41" s="806"/>
      <c r="Q41" s="806"/>
      <c r="R41" s="807" t="s">
        <v>625</v>
      </c>
      <c r="S41" s="807"/>
      <c r="T41" s="265" t="s">
        <v>622</v>
      </c>
      <c r="U41" s="270" t="s">
        <v>623</v>
      </c>
      <c r="V41" s="197"/>
    </row>
    <row r="42" spans="1:22" ht="14.1" customHeight="1" x14ac:dyDescent="0.15">
      <c r="A42" s="268"/>
      <c r="B42" s="841"/>
      <c r="C42" s="842"/>
      <c r="D42" s="842"/>
      <c r="E42" s="842"/>
      <c r="F42" s="843"/>
      <c r="G42" s="821" t="s">
        <v>18</v>
      </c>
      <c r="H42" s="823" t="s">
        <v>18</v>
      </c>
      <c r="I42" s="838">
        <f>IF(キャラシート!$I$3="蟹",計算用!C48,計算用!C42)</f>
        <v>0</v>
      </c>
      <c r="J42" s="854">
        <f>IF(キャラシート!$I$3="蟹",計算用!D48,計算用!D42)</f>
        <v>0</v>
      </c>
      <c r="K42" s="268"/>
      <c r="L42" s="197"/>
      <c r="M42" s="831"/>
      <c r="N42" s="831"/>
      <c r="O42" s="831"/>
      <c r="P42" s="831"/>
      <c r="Q42" s="831"/>
      <c r="R42" s="829" t="s">
        <v>18</v>
      </c>
      <c r="S42" s="829"/>
      <c r="T42" s="840" t="s">
        <v>18</v>
      </c>
      <c r="U42" s="853"/>
      <c r="V42" s="197"/>
    </row>
    <row r="43" spans="1:22" ht="14.1" customHeight="1" x14ac:dyDescent="0.15">
      <c r="A43" s="269"/>
      <c r="B43" s="844"/>
      <c r="C43" s="845"/>
      <c r="D43" s="845"/>
      <c r="E43" s="845"/>
      <c r="F43" s="846"/>
      <c r="G43" s="822"/>
      <c r="H43" s="824"/>
      <c r="I43" s="839"/>
      <c r="J43" s="855"/>
      <c r="K43" s="269"/>
      <c r="L43" s="197"/>
      <c r="M43" s="831"/>
      <c r="N43" s="831"/>
      <c r="O43" s="831"/>
      <c r="P43" s="831"/>
      <c r="Q43" s="831"/>
      <c r="R43" s="829"/>
      <c r="S43" s="829"/>
      <c r="T43" s="840"/>
      <c r="U43" s="853"/>
      <c r="V43" s="197"/>
    </row>
    <row r="44" spans="1:22" ht="14.1" customHeight="1" x14ac:dyDescent="0.15">
      <c r="A44" s="268"/>
      <c r="B44" s="808" t="s">
        <v>9</v>
      </c>
      <c r="C44" s="809"/>
      <c r="D44" s="810"/>
      <c r="E44" s="811" t="s">
        <v>10</v>
      </c>
      <c r="F44" s="809"/>
      <c r="G44" s="810"/>
      <c r="H44" s="811" t="s">
        <v>11</v>
      </c>
      <c r="I44" s="809"/>
      <c r="J44" s="812"/>
      <c r="K44" s="268"/>
      <c r="L44" s="197"/>
      <c r="M44" s="831"/>
      <c r="N44" s="831"/>
      <c r="O44" s="831"/>
      <c r="P44" s="831"/>
      <c r="Q44" s="831"/>
      <c r="R44" s="829"/>
      <c r="S44" s="829"/>
      <c r="T44" s="840"/>
      <c r="U44" s="853"/>
      <c r="V44" s="197"/>
    </row>
    <row r="45" spans="1:22" ht="14.1" customHeight="1" x14ac:dyDescent="0.15">
      <c r="A45" s="269"/>
      <c r="B45" s="825" t="s">
        <v>18</v>
      </c>
      <c r="C45" s="827" t="s">
        <v>18</v>
      </c>
      <c r="D45" s="827" t="s">
        <v>18</v>
      </c>
      <c r="E45" s="441" t="s">
        <v>18</v>
      </c>
      <c r="F45" s="441" t="s">
        <v>18</v>
      </c>
      <c r="G45" s="441" t="s">
        <v>18</v>
      </c>
      <c r="H45" s="441" t="s">
        <v>18</v>
      </c>
      <c r="I45" s="441" t="s">
        <v>18</v>
      </c>
      <c r="J45" s="267" t="s">
        <v>18</v>
      </c>
      <c r="K45" s="269"/>
      <c r="L45" s="197"/>
      <c r="M45" s="813" t="s">
        <v>626</v>
      </c>
      <c r="N45" s="813"/>
      <c r="O45" s="813"/>
      <c r="P45" s="813"/>
      <c r="Q45" s="813"/>
      <c r="R45" s="813"/>
      <c r="S45" s="813"/>
      <c r="T45" s="813"/>
      <c r="U45" s="813"/>
      <c r="V45" s="197"/>
    </row>
    <row r="46" spans="1:22" ht="14.1" customHeight="1" x14ac:dyDescent="0.15">
      <c r="A46" s="268"/>
      <c r="B46" s="826"/>
      <c r="C46" s="828"/>
      <c r="D46" s="828"/>
      <c r="E46" s="441" t="s">
        <v>18</v>
      </c>
      <c r="F46" s="441" t="s">
        <v>18</v>
      </c>
      <c r="G46" s="441" t="s">
        <v>18</v>
      </c>
      <c r="H46" s="441" t="s">
        <v>18</v>
      </c>
      <c r="I46" s="441" t="s">
        <v>18</v>
      </c>
      <c r="J46" s="267" t="s">
        <v>18</v>
      </c>
      <c r="K46" s="268"/>
      <c r="L46" s="197"/>
      <c r="M46" s="830"/>
      <c r="N46" s="830"/>
      <c r="O46" s="830"/>
      <c r="P46" s="830"/>
      <c r="Q46" s="830"/>
      <c r="R46" s="830"/>
      <c r="S46" s="830"/>
      <c r="T46" s="830"/>
      <c r="U46" s="830"/>
      <c r="V46" s="197"/>
    </row>
    <row r="47" spans="1:22" ht="14.1" customHeight="1" x14ac:dyDescent="0.15">
      <c r="A47" s="269"/>
      <c r="B47" s="814" t="s">
        <v>626</v>
      </c>
      <c r="C47" s="815"/>
      <c r="D47" s="815"/>
      <c r="E47" s="815"/>
      <c r="F47" s="815"/>
      <c r="G47" s="815"/>
      <c r="H47" s="815"/>
      <c r="I47" s="815"/>
      <c r="J47" s="816"/>
      <c r="K47" s="269"/>
      <c r="L47" s="197"/>
      <c r="M47" s="830"/>
      <c r="N47" s="830"/>
      <c r="O47" s="830"/>
      <c r="P47" s="830"/>
      <c r="Q47" s="830"/>
      <c r="R47" s="830"/>
      <c r="S47" s="830"/>
      <c r="T47" s="830"/>
      <c r="U47" s="830"/>
      <c r="V47" s="197"/>
    </row>
    <row r="48" spans="1:22" ht="14.1" customHeight="1" x14ac:dyDescent="0.15">
      <c r="A48" s="268"/>
      <c r="B48" s="832"/>
      <c r="C48" s="833"/>
      <c r="D48" s="833"/>
      <c r="E48" s="833"/>
      <c r="F48" s="833"/>
      <c r="G48" s="833"/>
      <c r="H48" s="833"/>
      <c r="I48" s="833"/>
      <c r="J48" s="834"/>
      <c r="K48" s="268"/>
      <c r="L48" s="197"/>
      <c r="M48" s="830"/>
      <c r="N48" s="830"/>
      <c r="O48" s="830"/>
      <c r="P48" s="830"/>
      <c r="Q48" s="830"/>
      <c r="R48" s="830"/>
      <c r="S48" s="830"/>
      <c r="T48" s="830"/>
      <c r="U48" s="830"/>
      <c r="V48" s="197"/>
    </row>
    <row r="49" spans="1:22" ht="14.1" customHeight="1" x14ac:dyDescent="0.15">
      <c r="A49" s="269"/>
      <c r="B49" s="835"/>
      <c r="C49" s="836"/>
      <c r="D49" s="836"/>
      <c r="E49" s="836"/>
      <c r="F49" s="836"/>
      <c r="G49" s="836"/>
      <c r="H49" s="836"/>
      <c r="I49" s="836"/>
      <c r="J49" s="837"/>
      <c r="K49" s="269"/>
      <c r="L49" s="197"/>
      <c r="M49" s="830"/>
      <c r="N49" s="830"/>
      <c r="O49" s="830"/>
      <c r="P49" s="830"/>
      <c r="Q49" s="830"/>
      <c r="R49" s="830"/>
      <c r="S49" s="830"/>
      <c r="T49" s="830"/>
      <c r="U49" s="830"/>
      <c r="V49" s="197"/>
    </row>
    <row r="50" spans="1:22" ht="14.1" customHeight="1" thickBot="1" x14ac:dyDescent="0.2">
      <c r="A50" s="268"/>
      <c r="B50" s="817" t="s">
        <v>627</v>
      </c>
      <c r="C50" s="818"/>
      <c r="D50" s="818"/>
      <c r="E50" s="818"/>
      <c r="F50" s="818"/>
      <c r="G50" s="818"/>
      <c r="H50" s="818"/>
      <c r="I50" s="818"/>
      <c r="J50" s="819"/>
      <c r="K50" s="268"/>
      <c r="L50" s="197"/>
      <c r="M50" s="820" t="s">
        <v>628</v>
      </c>
      <c r="N50" s="820"/>
      <c r="O50" s="820"/>
      <c r="P50" s="820"/>
      <c r="Q50" s="820"/>
      <c r="R50" s="820"/>
      <c r="S50" s="820"/>
      <c r="T50" s="820"/>
      <c r="U50" s="820"/>
      <c r="V50" s="197"/>
    </row>
    <row r="51" spans="1:22" ht="14.1" customHeight="1" thickBot="1" x14ac:dyDescent="0.2">
      <c r="A51" s="269"/>
      <c r="B51" s="269"/>
      <c r="C51" s="269"/>
      <c r="D51" s="269"/>
      <c r="E51" s="269"/>
      <c r="F51" s="269"/>
      <c r="G51" s="269"/>
      <c r="H51" s="269"/>
      <c r="I51" s="269"/>
      <c r="J51" s="269"/>
      <c r="K51" s="268"/>
      <c r="L51" s="197"/>
      <c r="M51" s="197"/>
      <c r="N51" s="197"/>
      <c r="O51" s="197"/>
      <c r="P51" s="197"/>
      <c r="Q51" s="197"/>
      <c r="R51" s="197"/>
      <c r="S51" s="197"/>
      <c r="T51" s="197"/>
      <c r="U51" s="197"/>
      <c r="V51" s="197"/>
    </row>
    <row r="52" spans="1:22" ht="14.1" customHeight="1" x14ac:dyDescent="0.15">
      <c r="A52" s="268"/>
      <c r="B52" s="803" t="s">
        <v>450</v>
      </c>
      <c r="C52" s="804"/>
      <c r="D52" s="804"/>
      <c r="E52" s="804"/>
      <c r="F52" s="805"/>
      <c r="G52" s="265" t="s">
        <v>622</v>
      </c>
      <c r="H52" s="440" t="s">
        <v>270</v>
      </c>
      <c r="I52" s="440" t="s">
        <v>623</v>
      </c>
      <c r="J52" s="266" t="s">
        <v>624</v>
      </c>
      <c r="K52" s="269"/>
      <c r="L52" s="197"/>
      <c r="M52" s="806" t="s">
        <v>450</v>
      </c>
      <c r="N52" s="806"/>
      <c r="O52" s="806"/>
      <c r="P52" s="806"/>
      <c r="Q52" s="806"/>
      <c r="R52" s="807" t="s">
        <v>625</v>
      </c>
      <c r="S52" s="807"/>
      <c r="T52" s="265" t="s">
        <v>622</v>
      </c>
      <c r="U52" s="270" t="s">
        <v>623</v>
      </c>
      <c r="V52" s="197"/>
    </row>
    <row r="53" spans="1:22" ht="14.1" customHeight="1" x14ac:dyDescent="0.15">
      <c r="A53" s="269"/>
      <c r="B53" s="841"/>
      <c r="C53" s="842"/>
      <c r="D53" s="842"/>
      <c r="E53" s="842"/>
      <c r="F53" s="843"/>
      <c r="G53" s="821" t="s">
        <v>18</v>
      </c>
      <c r="H53" s="823" t="s">
        <v>18</v>
      </c>
      <c r="I53" s="838">
        <f>IF(キャラシート!$I$3="蟹",計算用!C60,計算用!C54)</f>
        <v>0</v>
      </c>
      <c r="J53" s="854">
        <f>IF(キャラシート!$I$3="蟹",計算用!D60,計算用!D54)</f>
        <v>0</v>
      </c>
      <c r="K53" s="268"/>
      <c r="L53" s="197"/>
      <c r="M53" s="831"/>
      <c r="N53" s="831"/>
      <c r="O53" s="831"/>
      <c r="P53" s="831"/>
      <c r="Q53" s="831"/>
      <c r="R53" s="829" t="s">
        <v>18</v>
      </c>
      <c r="S53" s="829"/>
      <c r="T53" s="840" t="s">
        <v>18</v>
      </c>
      <c r="U53" s="853"/>
      <c r="V53" s="197"/>
    </row>
    <row r="54" spans="1:22" ht="14.1" customHeight="1" x14ac:dyDescent="0.15">
      <c r="A54" s="268"/>
      <c r="B54" s="844"/>
      <c r="C54" s="845"/>
      <c r="D54" s="845"/>
      <c r="E54" s="845"/>
      <c r="F54" s="846"/>
      <c r="G54" s="822"/>
      <c r="H54" s="824"/>
      <c r="I54" s="839"/>
      <c r="J54" s="855"/>
      <c r="K54" s="269"/>
      <c r="L54" s="197"/>
      <c r="M54" s="831"/>
      <c r="N54" s="831"/>
      <c r="O54" s="831"/>
      <c r="P54" s="831"/>
      <c r="Q54" s="831"/>
      <c r="R54" s="829"/>
      <c r="S54" s="829"/>
      <c r="T54" s="840"/>
      <c r="U54" s="853"/>
      <c r="V54" s="197"/>
    </row>
    <row r="55" spans="1:22" ht="14.1" customHeight="1" x14ac:dyDescent="0.15">
      <c r="A55" s="269"/>
      <c r="B55" s="808" t="s">
        <v>9</v>
      </c>
      <c r="C55" s="809"/>
      <c r="D55" s="810"/>
      <c r="E55" s="811" t="s">
        <v>10</v>
      </c>
      <c r="F55" s="809"/>
      <c r="G55" s="810"/>
      <c r="H55" s="811" t="s">
        <v>11</v>
      </c>
      <c r="I55" s="809"/>
      <c r="J55" s="812"/>
      <c r="K55" s="268"/>
      <c r="L55" s="197"/>
      <c r="M55" s="831"/>
      <c r="N55" s="831"/>
      <c r="O55" s="831"/>
      <c r="P55" s="831"/>
      <c r="Q55" s="831"/>
      <c r="R55" s="829"/>
      <c r="S55" s="829"/>
      <c r="T55" s="840"/>
      <c r="U55" s="853"/>
      <c r="V55" s="197"/>
    </row>
    <row r="56" spans="1:22" ht="14.1" customHeight="1" x14ac:dyDescent="0.15">
      <c r="A56" s="268"/>
      <c r="B56" s="825" t="s">
        <v>18</v>
      </c>
      <c r="C56" s="827" t="s">
        <v>18</v>
      </c>
      <c r="D56" s="827" t="s">
        <v>18</v>
      </c>
      <c r="E56" s="441" t="s">
        <v>18</v>
      </c>
      <c r="F56" s="441" t="s">
        <v>18</v>
      </c>
      <c r="G56" s="441" t="s">
        <v>18</v>
      </c>
      <c r="H56" s="441" t="s">
        <v>18</v>
      </c>
      <c r="I56" s="441" t="s">
        <v>18</v>
      </c>
      <c r="J56" s="267" t="s">
        <v>18</v>
      </c>
      <c r="K56" s="269"/>
      <c r="L56" s="197"/>
      <c r="M56" s="813" t="s">
        <v>626</v>
      </c>
      <c r="N56" s="813"/>
      <c r="O56" s="813"/>
      <c r="P56" s="813"/>
      <c r="Q56" s="813"/>
      <c r="R56" s="813"/>
      <c r="S56" s="813"/>
      <c r="T56" s="813"/>
      <c r="U56" s="813"/>
      <c r="V56" s="197"/>
    </row>
    <row r="57" spans="1:22" ht="14.1" customHeight="1" x14ac:dyDescent="0.15">
      <c r="A57" s="269"/>
      <c r="B57" s="826"/>
      <c r="C57" s="828"/>
      <c r="D57" s="828"/>
      <c r="E57" s="441" t="s">
        <v>18</v>
      </c>
      <c r="F57" s="441" t="s">
        <v>18</v>
      </c>
      <c r="G57" s="441" t="s">
        <v>18</v>
      </c>
      <c r="H57" s="441" t="s">
        <v>18</v>
      </c>
      <c r="I57" s="441" t="s">
        <v>18</v>
      </c>
      <c r="J57" s="267" t="s">
        <v>18</v>
      </c>
      <c r="K57" s="268"/>
      <c r="L57" s="197"/>
      <c r="M57" s="830"/>
      <c r="N57" s="830"/>
      <c r="O57" s="830"/>
      <c r="P57" s="830"/>
      <c r="Q57" s="830"/>
      <c r="R57" s="830"/>
      <c r="S57" s="830"/>
      <c r="T57" s="830"/>
      <c r="U57" s="830"/>
      <c r="V57" s="197"/>
    </row>
    <row r="58" spans="1:22" ht="14.1" customHeight="1" x14ac:dyDescent="0.15">
      <c r="A58" s="268"/>
      <c r="B58" s="814" t="s">
        <v>626</v>
      </c>
      <c r="C58" s="815"/>
      <c r="D58" s="815"/>
      <c r="E58" s="815"/>
      <c r="F58" s="815"/>
      <c r="G58" s="815"/>
      <c r="H58" s="815"/>
      <c r="I58" s="815"/>
      <c r="J58" s="816"/>
      <c r="K58" s="269"/>
      <c r="L58" s="197"/>
      <c r="M58" s="830"/>
      <c r="N58" s="830"/>
      <c r="O58" s="830"/>
      <c r="P58" s="830"/>
      <c r="Q58" s="830"/>
      <c r="R58" s="830"/>
      <c r="S58" s="830"/>
      <c r="T58" s="830"/>
      <c r="U58" s="830"/>
      <c r="V58" s="197"/>
    </row>
    <row r="59" spans="1:22" ht="14.1" customHeight="1" x14ac:dyDescent="0.15">
      <c r="A59" s="269"/>
      <c r="B59" s="832"/>
      <c r="C59" s="833"/>
      <c r="D59" s="833"/>
      <c r="E59" s="833"/>
      <c r="F59" s="833"/>
      <c r="G59" s="833"/>
      <c r="H59" s="833"/>
      <c r="I59" s="833"/>
      <c r="J59" s="834"/>
      <c r="K59" s="268"/>
      <c r="L59" s="197"/>
      <c r="M59" s="830"/>
      <c r="N59" s="830"/>
      <c r="O59" s="830"/>
      <c r="P59" s="830"/>
      <c r="Q59" s="830"/>
      <c r="R59" s="830"/>
      <c r="S59" s="830"/>
      <c r="T59" s="830"/>
      <c r="U59" s="830"/>
      <c r="V59" s="197"/>
    </row>
    <row r="60" spans="1:22" ht="14.1" customHeight="1" x14ac:dyDescent="0.15">
      <c r="A60" s="268"/>
      <c r="B60" s="835"/>
      <c r="C60" s="836"/>
      <c r="D60" s="836"/>
      <c r="E60" s="836"/>
      <c r="F60" s="836"/>
      <c r="G60" s="836"/>
      <c r="H60" s="836"/>
      <c r="I60" s="836"/>
      <c r="J60" s="837"/>
      <c r="K60" s="269"/>
      <c r="L60" s="197"/>
      <c r="M60" s="830"/>
      <c r="N60" s="830"/>
      <c r="O60" s="830"/>
      <c r="P60" s="830"/>
      <c r="Q60" s="830"/>
      <c r="R60" s="830"/>
      <c r="S60" s="830"/>
      <c r="T60" s="830"/>
      <c r="U60" s="830"/>
      <c r="V60" s="197"/>
    </row>
    <row r="61" spans="1:22" ht="14.1" customHeight="1" thickBot="1" x14ac:dyDescent="0.2">
      <c r="A61" s="269"/>
      <c r="B61" s="817" t="s">
        <v>627</v>
      </c>
      <c r="C61" s="818"/>
      <c r="D61" s="818"/>
      <c r="E61" s="818"/>
      <c r="F61" s="818"/>
      <c r="G61" s="818"/>
      <c r="H61" s="818"/>
      <c r="I61" s="818"/>
      <c r="J61" s="819"/>
      <c r="K61" s="268"/>
      <c r="L61" s="197"/>
      <c r="M61" s="820" t="s">
        <v>628</v>
      </c>
      <c r="N61" s="820"/>
      <c r="O61" s="820"/>
      <c r="P61" s="820"/>
      <c r="Q61" s="820"/>
      <c r="R61" s="820"/>
      <c r="S61" s="820"/>
      <c r="T61" s="820"/>
      <c r="U61" s="820"/>
      <c r="V61" s="197"/>
    </row>
    <row r="62" spans="1:22" ht="14.1" customHeight="1" thickBot="1" x14ac:dyDescent="0.2">
      <c r="A62" s="268"/>
      <c r="B62" s="268"/>
      <c r="C62" s="268"/>
      <c r="D62" s="268"/>
      <c r="E62" s="268"/>
      <c r="F62" s="268"/>
      <c r="G62" s="268"/>
      <c r="H62" s="268"/>
      <c r="I62" s="268"/>
      <c r="J62" s="268"/>
      <c r="K62" s="269"/>
      <c r="L62" s="197"/>
      <c r="M62" s="197"/>
      <c r="N62" s="197"/>
      <c r="O62" s="197"/>
      <c r="P62" s="197"/>
      <c r="Q62" s="197"/>
      <c r="R62" s="197"/>
      <c r="S62" s="197"/>
      <c r="T62" s="197"/>
      <c r="U62" s="197"/>
      <c r="V62" s="197"/>
    </row>
    <row r="63" spans="1:22" ht="14.1" customHeight="1" x14ac:dyDescent="0.15">
      <c r="A63" s="269"/>
      <c r="B63" s="803" t="s">
        <v>450</v>
      </c>
      <c r="C63" s="804"/>
      <c r="D63" s="804"/>
      <c r="E63" s="804"/>
      <c r="F63" s="805"/>
      <c r="G63" s="265" t="s">
        <v>622</v>
      </c>
      <c r="H63" s="440" t="s">
        <v>270</v>
      </c>
      <c r="I63" s="440" t="s">
        <v>623</v>
      </c>
      <c r="J63" s="266" t="s">
        <v>624</v>
      </c>
      <c r="K63" s="269"/>
      <c r="L63" s="197"/>
      <c r="M63" s="806" t="s">
        <v>450</v>
      </c>
      <c r="N63" s="806"/>
      <c r="O63" s="806"/>
      <c r="P63" s="806"/>
      <c r="Q63" s="806"/>
      <c r="R63" s="807" t="s">
        <v>625</v>
      </c>
      <c r="S63" s="807"/>
      <c r="T63" s="265" t="s">
        <v>622</v>
      </c>
      <c r="U63" s="270" t="s">
        <v>623</v>
      </c>
      <c r="V63" s="197"/>
    </row>
    <row r="64" spans="1:22" ht="14.1" customHeight="1" x14ac:dyDescent="0.15">
      <c r="A64" s="268"/>
      <c r="B64" s="841"/>
      <c r="C64" s="842"/>
      <c r="D64" s="842"/>
      <c r="E64" s="842"/>
      <c r="F64" s="843"/>
      <c r="G64" s="821" t="s">
        <v>18</v>
      </c>
      <c r="H64" s="823" t="s">
        <v>18</v>
      </c>
      <c r="I64" s="838">
        <f>IF(キャラシート!$I$3="蟹",計算用!C72,計算用!C66)</f>
        <v>0</v>
      </c>
      <c r="J64" s="854">
        <f>IF(キャラシート!$I$3="蟹",計算用!D72,計算用!D66)</f>
        <v>0</v>
      </c>
      <c r="K64" s="268"/>
      <c r="L64" s="197"/>
      <c r="M64" s="831"/>
      <c r="N64" s="831"/>
      <c r="O64" s="831"/>
      <c r="P64" s="831"/>
      <c r="Q64" s="831"/>
      <c r="R64" s="829" t="s">
        <v>18</v>
      </c>
      <c r="S64" s="829"/>
      <c r="T64" s="840" t="s">
        <v>18</v>
      </c>
      <c r="U64" s="853"/>
      <c r="V64" s="197"/>
    </row>
    <row r="65" spans="1:22" ht="14.1" customHeight="1" x14ac:dyDescent="0.15">
      <c r="A65" s="269"/>
      <c r="B65" s="844"/>
      <c r="C65" s="845"/>
      <c r="D65" s="845"/>
      <c r="E65" s="845"/>
      <c r="F65" s="846"/>
      <c r="G65" s="822"/>
      <c r="H65" s="824"/>
      <c r="I65" s="839"/>
      <c r="J65" s="855"/>
      <c r="K65" s="269"/>
      <c r="L65" s="197"/>
      <c r="M65" s="831"/>
      <c r="N65" s="831"/>
      <c r="O65" s="831"/>
      <c r="P65" s="831"/>
      <c r="Q65" s="831"/>
      <c r="R65" s="829"/>
      <c r="S65" s="829"/>
      <c r="T65" s="840"/>
      <c r="U65" s="853"/>
      <c r="V65" s="197"/>
    </row>
    <row r="66" spans="1:22" ht="14.1" customHeight="1" x14ac:dyDescent="0.15">
      <c r="A66" s="268"/>
      <c r="B66" s="808" t="s">
        <v>9</v>
      </c>
      <c r="C66" s="809"/>
      <c r="D66" s="810"/>
      <c r="E66" s="811" t="s">
        <v>10</v>
      </c>
      <c r="F66" s="809"/>
      <c r="G66" s="810"/>
      <c r="H66" s="811" t="s">
        <v>11</v>
      </c>
      <c r="I66" s="809"/>
      <c r="J66" s="812"/>
      <c r="K66" s="268"/>
      <c r="L66" s="197"/>
      <c r="M66" s="831"/>
      <c r="N66" s="831"/>
      <c r="O66" s="831"/>
      <c r="P66" s="831"/>
      <c r="Q66" s="831"/>
      <c r="R66" s="829"/>
      <c r="S66" s="829"/>
      <c r="T66" s="840"/>
      <c r="U66" s="853"/>
      <c r="V66" s="197"/>
    </row>
    <row r="67" spans="1:22" ht="14.1" customHeight="1" x14ac:dyDescent="0.15">
      <c r="A67" s="269"/>
      <c r="B67" s="825" t="s">
        <v>18</v>
      </c>
      <c r="C67" s="827" t="s">
        <v>18</v>
      </c>
      <c r="D67" s="827" t="s">
        <v>18</v>
      </c>
      <c r="E67" s="441" t="s">
        <v>18</v>
      </c>
      <c r="F67" s="441" t="s">
        <v>18</v>
      </c>
      <c r="G67" s="441" t="s">
        <v>18</v>
      </c>
      <c r="H67" s="441" t="s">
        <v>18</v>
      </c>
      <c r="I67" s="441" t="s">
        <v>18</v>
      </c>
      <c r="J67" s="267" t="s">
        <v>18</v>
      </c>
      <c r="K67" s="269"/>
      <c r="L67" s="197"/>
      <c r="M67" s="813" t="s">
        <v>626</v>
      </c>
      <c r="N67" s="813"/>
      <c r="O67" s="813"/>
      <c r="P67" s="813"/>
      <c r="Q67" s="813"/>
      <c r="R67" s="813"/>
      <c r="S67" s="813"/>
      <c r="T67" s="813"/>
      <c r="U67" s="813"/>
      <c r="V67" s="197"/>
    </row>
    <row r="68" spans="1:22" ht="14.1" customHeight="1" x14ac:dyDescent="0.15">
      <c r="A68" s="268"/>
      <c r="B68" s="826"/>
      <c r="C68" s="828"/>
      <c r="D68" s="828"/>
      <c r="E68" s="441" t="s">
        <v>18</v>
      </c>
      <c r="F68" s="441" t="s">
        <v>18</v>
      </c>
      <c r="G68" s="441" t="s">
        <v>18</v>
      </c>
      <c r="H68" s="441" t="s">
        <v>18</v>
      </c>
      <c r="I68" s="441" t="s">
        <v>18</v>
      </c>
      <c r="J68" s="267" t="s">
        <v>18</v>
      </c>
      <c r="K68" s="268"/>
      <c r="L68" s="197"/>
      <c r="M68" s="830"/>
      <c r="N68" s="830"/>
      <c r="O68" s="830"/>
      <c r="P68" s="830"/>
      <c r="Q68" s="830"/>
      <c r="R68" s="830"/>
      <c r="S68" s="830"/>
      <c r="T68" s="830"/>
      <c r="U68" s="830"/>
      <c r="V68" s="197"/>
    </row>
    <row r="69" spans="1:22" ht="14.1" customHeight="1" x14ac:dyDescent="0.15">
      <c r="A69" s="269"/>
      <c r="B69" s="814" t="s">
        <v>626</v>
      </c>
      <c r="C69" s="815"/>
      <c r="D69" s="815"/>
      <c r="E69" s="815"/>
      <c r="F69" s="815"/>
      <c r="G69" s="815"/>
      <c r="H69" s="815"/>
      <c r="I69" s="815"/>
      <c r="J69" s="816"/>
      <c r="K69" s="269"/>
      <c r="L69" s="197"/>
      <c r="M69" s="830"/>
      <c r="N69" s="830"/>
      <c r="O69" s="830"/>
      <c r="P69" s="830"/>
      <c r="Q69" s="830"/>
      <c r="R69" s="830"/>
      <c r="S69" s="830"/>
      <c r="T69" s="830"/>
      <c r="U69" s="830"/>
      <c r="V69" s="197"/>
    </row>
    <row r="70" spans="1:22" ht="14.1" customHeight="1" x14ac:dyDescent="0.15">
      <c r="A70" s="268"/>
      <c r="B70" s="832"/>
      <c r="C70" s="833"/>
      <c r="D70" s="833"/>
      <c r="E70" s="833"/>
      <c r="F70" s="833"/>
      <c r="G70" s="833"/>
      <c r="H70" s="833"/>
      <c r="I70" s="833"/>
      <c r="J70" s="834"/>
      <c r="K70" s="268"/>
      <c r="L70" s="197"/>
      <c r="M70" s="830"/>
      <c r="N70" s="830"/>
      <c r="O70" s="830"/>
      <c r="P70" s="830"/>
      <c r="Q70" s="830"/>
      <c r="R70" s="830"/>
      <c r="S70" s="830"/>
      <c r="T70" s="830"/>
      <c r="U70" s="830"/>
      <c r="V70" s="197"/>
    </row>
    <row r="71" spans="1:22" ht="14.1" customHeight="1" x14ac:dyDescent="0.15">
      <c r="A71" s="269"/>
      <c r="B71" s="835"/>
      <c r="C71" s="836"/>
      <c r="D71" s="836"/>
      <c r="E71" s="836"/>
      <c r="F71" s="836"/>
      <c r="G71" s="836"/>
      <c r="H71" s="836"/>
      <c r="I71" s="836"/>
      <c r="J71" s="837"/>
      <c r="K71" s="269"/>
      <c r="L71" s="197"/>
      <c r="M71" s="830"/>
      <c r="N71" s="830"/>
      <c r="O71" s="830"/>
      <c r="P71" s="830"/>
      <c r="Q71" s="830"/>
      <c r="R71" s="830"/>
      <c r="S71" s="830"/>
      <c r="T71" s="830"/>
      <c r="U71" s="830"/>
      <c r="V71" s="197"/>
    </row>
    <row r="72" spans="1:22" ht="14.1" customHeight="1" thickBot="1" x14ac:dyDescent="0.2">
      <c r="A72" s="268"/>
      <c r="B72" s="817" t="s">
        <v>627</v>
      </c>
      <c r="C72" s="818"/>
      <c r="D72" s="818"/>
      <c r="E72" s="818"/>
      <c r="F72" s="818"/>
      <c r="G72" s="818"/>
      <c r="H72" s="818"/>
      <c r="I72" s="818"/>
      <c r="J72" s="819"/>
      <c r="K72" s="268"/>
      <c r="L72" s="197"/>
      <c r="M72" s="820" t="s">
        <v>628</v>
      </c>
      <c r="N72" s="820"/>
      <c r="O72" s="820"/>
      <c r="P72" s="820"/>
      <c r="Q72" s="820"/>
      <c r="R72" s="820"/>
      <c r="S72" s="820"/>
      <c r="T72" s="820"/>
      <c r="U72" s="820"/>
      <c r="V72" s="197"/>
    </row>
    <row r="73" spans="1:22" ht="14.1" customHeight="1" thickBot="1" x14ac:dyDescent="0.2">
      <c r="A73" s="269"/>
      <c r="B73" s="269"/>
      <c r="C73" s="269"/>
      <c r="D73" s="269"/>
      <c r="E73" s="269"/>
      <c r="F73" s="269"/>
      <c r="G73" s="269"/>
      <c r="H73" s="269"/>
      <c r="I73" s="269"/>
      <c r="J73" s="269"/>
      <c r="K73" s="268"/>
      <c r="L73" s="197"/>
      <c r="M73" s="197"/>
      <c r="N73" s="197"/>
      <c r="O73" s="197"/>
      <c r="P73" s="197"/>
      <c r="Q73" s="197"/>
      <c r="R73" s="197"/>
      <c r="S73" s="197"/>
      <c r="T73" s="197"/>
      <c r="U73" s="197"/>
      <c r="V73" s="197"/>
    </row>
    <row r="74" spans="1:22" ht="14.1" customHeight="1" x14ac:dyDescent="0.15">
      <c r="A74" s="268"/>
      <c r="B74" s="803" t="s">
        <v>450</v>
      </c>
      <c r="C74" s="804"/>
      <c r="D74" s="804"/>
      <c r="E74" s="804"/>
      <c r="F74" s="805"/>
      <c r="G74" s="265" t="s">
        <v>622</v>
      </c>
      <c r="H74" s="440" t="s">
        <v>270</v>
      </c>
      <c r="I74" s="440" t="s">
        <v>623</v>
      </c>
      <c r="J74" s="266" t="s">
        <v>624</v>
      </c>
      <c r="K74" s="269"/>
      <c r="L74" s="197"/>
      <c r="M74" s="806" t="s">
        <v>450</v>
      </c>
      <c r="N74" s="806"/>
      <c r="O74" s="806"/>
      <c r="P74" s="806"/>
      <c r="Q74" s="806"/>
      <c r="R74" s="807" t="s">
        <v>625</v>
      </c>
      <c r="S74" s="807"/>
      <c r="T74" s="265" t="s">
        <v>622</v>
      </c>
      <c r="U74" s="270" t="s">
        <v>623</v>
      </c>
      <c r="V74" s="197"/>
    </row>
    <row r="75" spans="1:22" ht="14.1" customHeight="1" x14ac:dyDescent="0.15">
      <c r="A75" s="269"/>
      <c r="B75" s="841"/>
      <c r="C75" s="842"/>
      <c r="D75" s="842"/>
      <c r="E75" s="842"/>
      <c r="F75" s="843"/>
      <c r="G75" s="821" t="s">
        <v>18</v>
      </c>
      <c r="H75" s="823" t="s">
        <v>18</v>
      </c>
      <c r="I75" s="838">
        <f>IF(キャラシート!$I$3="蟹",計算用!C84,計算用!C78)</f>
        <v>0</v>
      </c>
      <c r="J75" s="854">
        <f>IF(キャラシート!$I$3="蟹",計算用!D84,計算用!D78)</f>
        <v>0</v>
      </c>
      <c r="K75" s="268"/>
      <c r="L75" s="197"/>
      <c r="M75" s="831"/>
      <c r="N75" s="831"/>
      <c r="O75" s="831"/>
      <c r="P75" s="831"/>
      <c r="Q75" s="831"/>
      <c r="R75" s="829" t="s">
        <v>18</v>
      </c>
      <c r="S75" s="829"/>
      <c r="T75" s="840" t="s">
        <v>18</v>
      </c>
      <c r="U75" s="853"/>
      <c r="V75" s="197"/>
    </row>
    <row r="76" spans="1:22" ht="14.1" customHeight="1" x14ac:dyDescent="0.15">
      <c r="A76" s="268"/>
      <c r="B76" s="844"/>
      <c r="C76" s="845"/>
      <c r="D76" s="845"/>
      <c r="E76" s="845"/>
      <c r="F76" s="846"/>
      <c r="G76" s="822"/>
      <c r="H76" s="824"/>
      <c r="I76" s="839"/>
      <c r="J76" s="855"/>
      <c r="K76" s="269"/>
      <c r="L76" s="197"/>
      <c r="M76" s="831"/>
      <c r="N76" s="831"/>
      <c r="O76" s="831"/>
      <c r="P76" s="831"/>
      <c r="Q76" s="831"/>
      <c r="R76" s="829"/>
      <c r="S76" s="829"/>
      <c r="T76" s="840"/>
      <c r="U76" s="853"/>
      <c r="V76" s="197"/>
    </row>
    <row r="77" spans="1:22" ht="14.1" customHeight="1" x14ac:dyDescent="0.15">
      <c r="A77" s="269"/>
      <c r="B77" s="808" t="s">
        <v>9</v>
      </c>
      <c r="C77" s="809"/>
      <c r="D77" s="810"/>
      <c r="E77" s="811" t="s">
        <v>10</v>
      </c>
      <c r="F77" s="809"/>
      <c r="G77" s="810"/>
      <c r="H77" s="811" t="s">
        <v>11</v>
      </c>
      <c r="I77" s="809"/>
      <c r="J77" s="812"/>
      <c r="K77" s="268"/>
      <c r="L77" s="197"/>
      <c r="M77" s="831"/>
      <c r="N77" s="831"/>
      <c r="O77" s="831"/>
      <c r="P77" s="831"/>
      <c r="Q77" s="831"/>
      <c r="R77" s="829"/>
      <c r="S77" s="829"/>
      <c r="T77" s="840"/>
      <c r="U77" s="853"/>
      <c r="V77" s="197"/>
    </row>
    <row r="78" spans="1:22" ht="14.1" customHeight="1" x14ac:dyDescent="0.15">
      <c r="A78" s="268"/>
      <c r="B78" s="825" t="s">
        <v>18</v>
      </c>
      <c r="C78" s="827" t="s">
        <v>18</v>
      </c>
      <c r="D78" s="827" t="s">
        <v>18</v>
      </c>
      <c r="E78" s="441" t="s">
        <v>18</v>
      </c>
      <c r="F78" s="441" t="s">
        <v>18</v>
      </c>
      <c r="G78" s="441" t="s">
        <v>18</v>
      </c>
      <c r="H78" s="441" t="s">
        <v>18</v>
      </c>
      <c r="I78" s="441" t="s">
        <v>18</v>
      </c>
      <c r="J78" s="267" t="s">
        <v>18</v>
      </c>
      <c r="K78" s="269"/>
      <c r="L78" s="197"/>
      <c r="M78" s="813" t="s">
        <v>626</v>
      </c>
      <c r="N78" s="813"/>
      <c r="O78" s="813"/>
      <c r="P78" s="813"/>
      <c r="Q78" s="813"/>
      <c r="R78" s="813"/>
      <c r="S78" s="813"/>
      <c r="T78" s="813"/>
      <c r="U78" s="813"/>
      <c r="V78" s="197"/>
    </row>
    <row r="79" spans="1:22" ht="14.1" customHeight="1" x14ac:dyDescent="0.15">
      <c r="A79" s="269"/>
      <c r="B79" s="826"/>
      <c r="C79" s="828"/>
      <c r="D79" s="828"/>
      <c r="E79" s="441" t="s">
        <v>18</v>
      </c>
      <c r="F79" s="441" t="s">
        <v>18</v>
      </c>
      <c r="G79" s="441" t="s">
        <v>18</v>
      </c>
      <c r="H79" s="441" t="s">
        <v>18</v>
      </c>
      <c r="I79" s="441" t="s">
        <v>18</v>
      </c>
      <c r="J79" s="267" t="s">
        <v>18</v>
      </c>
      <c r="K79" s="268"/>
      <c r="L79" s="197"/>
      <c r="M79" s="830"/>
      <c r="N79" s="830"/>
      <c r="O79" s="830"/>
      <c r="P79" s="830"/>
      <c r="Q79" s="830"/>
      <c r="R79" s="830"/>
      <c r="S79" s="830"/>
      <c r="T79" s="830"/>
      <c r="U79" s="830"/>
      <c r="V79" s="197"/>
    </row>
    <row r="80" spans="1:22" ht="14.1" customHeight="1" x14ac:dyDescent="0.15">
      <c r="A80" s="268"/>
      <c r="B80" s="814" t="s">
        <v>626</v>
      </c>
      <c r="C80" s="815"/>
      <c r="D80" s="815"/>
      <c r="E80" s="815"/>
      <c r="F80" s="815"/>
      <c r="G80" s="815"/>
      <c r="H80" s="815"/>
      <c r="I80" s="815"/>
      <c r="J80" s="816"/>
      <c r="K80" s="269"/>
      <c r="L80" s="197"/>
      <c r="M80" s="830"/>
      <c r="N80" s="830"/>
      <c r="O80" s="830"/>
      <c r="P80" s="830"/>
      <c r="Q80" s="830"/>
      <c r="R80" s="830"/>
      <c r="S80" s="830"/>
      <c r="T80" s="830"/>
      <c r="U80" s="830"/>
      <c r="V80" s="197"/>
    </row>
    <row r="81" spans="1:22" ht="14.1" customHeight="1" x14ac:dyDescent="0.15">
      <c r="A81" s="269"/>
      <c r="B81" s="832"/>
      <c r="C81" s="833"/>
      <c r="D81" s="833"/>
      <c r="E81" s="833"/>
      <c r="F81" s="833"/>
      <c r="G81" s="833"/>
      <c r="H81" s="833"/>
      <c r="I81" s="833"/>
      <c r="J81" s="834"/>
      <c r="K81" s="268"/>
      <c r="L81" s="197"/>
      <c r="M81" s="830"/>
      <c r="N81" s="830"/>
      <c r="O81" s="830"/>
      <c r="P81" s="830"/>
      <c r="Q81" s="830"/>
      <c r="R81" s="830"/>
      <c r="S81" s="830"/>
      <c r="T81" s="830"/>
      <c r="U81" s="830"/>
      <c r="V81" s="197"/>
    </row>
    <row r="82" spans="1:22" ht="14.1" customHeight="1" x14ac:dyDescent="0.15">
      <c r="A82" s="268"/>
      <c r="B82" s="835"/>
      <c r="C82" s="836"/>
      <c r="D82" s="836"/>
      <c r="E82" s="836"/>
      <c r="F82" s="836"/>
      <c r="G82" s="836"/>
      <c r="H82" s="836"/>
      <c r="I82" s="836"/>
      <c r="J82" s="837"/>
      <c r="K82" s="269"/>
      <c r="L82" s="197"/>
      <c r="M82" s="830"/>
      <c r="N82" s="830"/>
      <c r="O82" s="830"/>
      <c r="P82" s="830"/>
      <c r="Q82" s="830"/>
      <c r="R82" s="830"/>
      <c r="S82" s="830"/>
      <c r="T82" s="830"/>
      <c r="U82" s="830"/>
      <c r="V82" s="197"/>
    </row>
    <row r="83" spans="1:22" ht="14.1" customHeight="1" thickBot="1" x14ac:dyDescent="0.2">
      <c r="A83" s="269"/>
      <c r="B83" s="817" t="s">
        <v>627</v>
      </c>
      <c r="C83" s="818"/>
      <c r="D83" s="818"/>
      <c r="E83" s="818"/>
      <c r="F83" s="818"/>
      <c r="G83" s="818"/>
      <c r="H83" s="818"/>
      <c r="I83" s="818"/>
      <c r="J83" s="819"/>
      <c r="K83" s="268"/>
      <c r="L83" s="197"/>
      <c r="M83" s="820" t="s">
        <v>628</v>
      </c>
      <c r="N83" s="820"/>
      <c r="O83" s="820"/>
      <c r="P83" s="820"/>
      <c r="Q83" s="820"/>
      <c r="R83" s="820"/>
      <c r="S83" s="820"/>
      <c r="T83" s="820"/>
      <c r="U83" s="820"/>
      <c r="V83" s="197"/>
    </row>
    <row r="84" spans="1:22" ht="14.1" customHeight="1" thickBot="1" x14ac:dyDescent="0.2">
      <c r="A84" s="268"/>
      <c r="B84" s="268"/>
      <c r="C84" s="268"/>
      <c r="D84" s="268"/>
      <c r="E84" s="268"/>
      <c r="F84" s="268"/>
      <c r="G84" s="268"/>
      <c r="H84" s="268"/>
      <c r="I84" s="268"/>
      <c r="J84" s="268"/>
      <c r="K84" s="269"/>
      <c r="L84" s="197"/>
      <c r="M84" s="197"/>
      <c r="N84" s="197"/>
      <c r="O84" s="197"/>
      <c r="P84" s="197"/>
      <c r="Q84" s="197"/>
      <c r="R84" s="197"/>
      <c r="S84" s="197"/>
      <c r="T84" s="197"/>
      <c r="U84" s="197"/>
      <c r="V84" s="197"/>
    </row>
    <row r="85" spans="1:22" ht="14.1" customHeight="1" x14ac:dyDescent="0.15">
      <c r="A85" s="269"/>
      <c r="B85" s="803" t="s">
        <v>450</v>
      </c>
      <c r="C85" s="804"/>
      <c r="D85" s="804"/>
      <c r="E85" s="804"/>
      <c r="F85" s="805"/>
      <c r="G85" s="265" t="s">
        <v>622</v>
      </c>
      <c r="H85" s="440" t="s">
        <v>270</v>
      </c>
      <c r="I85" s="440" t="s">
        <v>623</v>
      </c>
      <c r="J85" s="266" t="s">
        <v>624</v>
      </c>
      <c r="K85" s="269"/>
      <c r="L85" s="197"/>
      <c r="M85" s="806" t="s">
        <v>450</v>
      </c>
      <c r="N85" s="806"/>
      <c r="O85" s="806"/>
      <c r="P85" s="806"/>
      <c r="Q85" s="806"/>
      <c r="R85" s="807" t="s">
        <v>625</v>
      </c>
      <c r="S85" s="807"/>
      <c r="T85" s="265" t="s">
        <v>622</v>
      </c>
      <c r="U85" s="270" t="s">
        <v>623</v>
      </c>
      <c r="V85" s="197"/>
    </row>
    <row r="86" spans="1:22" ht="14.1" customHeight="1" x14ac:dyDescent="0.15">
      <c r="A86" s="268"/>
      <c r="B86" s="841"/>
      <c r="C86" s="842"/>
      <c r="D86" s="842"/>
      <c r="E86" s="842"/>
      <c r="F86" s="843"/>
      <c r="G86" s="821" t="s">
        <v>18</v>
      </c>
      <c r="H86" s="823" t="s">
        <v>18</v>
      </c>
      <c r="I86" s="838">
        <f>IF(キャラシート!$I$3="蟹",計算用!C96,計算用!C90)</f>
        <v>0</v>
      </c>
      <c r="J86" s="854">
        <f>IF(キャラシート!$I$3="蟹",計算用!D96,計算用!D90)</f>
        <v>0</v>
      </c>
      <c r="K86" s="268"/>
      <c r="L86" s="197"/>
      <c r="M86" s="831"/>
      <c r="N86" s="831"/>
      <c r="O86" s="831"/>
      <c r="P86" s="831"/>
      <c r="Q86" s="831"/>
      <c r="R86" s="829" t="s">
        <v>18</v>
      </c>
      <c r="S86" s="829"/>
      <c r="T86" s="840" t="s">
        <v>18</v>
      </c>
      <c r="U86" s="853"/>
      <c r="V86" s="197"/>
    </row>
    <row r="87" spans="1:22" ht="14.1" customHeight="1" x14ac:dyDescent="0.15">
      <c r="A87" s="269"/>
      <c r="B87" s="844"/>
      <c r="C87" s="845"/>
      <c r="D87" s="845"/>
      <c r="E87" s="845"/>
      <c r="F87" s="846"/>
      <c r="G87" s="822"/>
      <c r="H87" s="824"/>
      <c r="I87" s="839"/>
      <c r="J87" s="855"/>
      <c r="K87" s="269"/>
      <c r="L87" s="197"/>
      <c r="M87" s="831"/>
      <c r="N87" s="831"/>
      <c r="O87" s="831"/>
      <c r="P87" s="831"/>
      <c r="Q87" s="831"/>
      <c r="R87" s="829"/>
      <c r="S87" s="829"/>
      <c r="T87" s="840"/>
      <c r="U87" s="853"/>
      <c r="V87" s="197"/>
    </row>
    <row r="88" spans="1:22" ht="14.1" customHeight="1" x14ac:dyDescent="0.15">
      <c r="A88" s="268"/>
      <c r="B88" s="808" t="s">
        <v>9</v>
      </c>
      <c r="C88" s="809"/>
      <c r="D88" s="810"/>
      <c r="E88" s="811" t="s">
        <v>10</v>
      </c>
      <c r="F88" s="809"/>
      <c r="G88" s="810"/>
      <c r="H88" s="811" t="s">
        <v>11</v>
      </c>
      <c r="I88" s="809"/>
      <c r="J88" s="812"/>
      <c r="K88" s="268"/>
      <c r="L88" s="197"/>
      <c r="M88" s="831"/>
      <c r="N88" s="831"/>
      <c r="O88" s="831"/>
      <c r="P88" s="831"/>
      <c r="Q88" s="831"/>
      <c r="R88" s="829"/>
      <c r="S88" s="829"/>
      <c r="T88" s="840"/>
      <c r="U88" s="853"/>
      <c r="V88" s="197"/>
    </row>
    <row r="89" spans="1:22" ht="14.1" customHeight="1" x14ac:dyDescent="0.15">
      <c r="A89" s="269"/>
      <c r="B89" s="825" t="s">
        <v>18</v>
      </c>
      <c r="C89" s="827" t="s">
        <v>18</v>
      </c>
      <c r="D89" s="827" t="s">
        <v>18</v>
      </c>
      <c r="E89" s="441" t="s">
        <v>18</v>
      </c>
      <c r="F89" s="441" t="s">
        <v>18</v>
      </c>
      <c r="G89" s="441" t="s">
        <v>18</v>
      </c>
      <c r="H89" s="441" t="s">
        <v>18</v>
      </c>
      <c r="I89" s="441" t="s">
        <v>18</v>
      </c>
      <c r="J89" s="267" t="s">
        <v>18</v>
      </c>
      <c r="K89" s="269"/>
      <c r="L89" s="197"/>
      <c r="M89" s="813" t="s">
        <v>626</v>
      </c>
      <c r="N89" s="813"/>
      <c r="O89" s="813"/>
      <c r="P89" s="813"/>
      <c r="Q89" s="813"/>
      <c r="R89" s="813"/>
      <c r="S89" s="813"/>
      <c r="T89" s="813"/>
      <c r="U89" s="813"/>
      <c r="V89" s="197"/>
    </row>
    <row r="90" spans="1:22" ht="14.1" customHeight="1" x14ac:dyDescent="0.15">
      <c r="A90" s="268"/>
      <c r="B90" s="826"/>
      <c r="C90" s="828"/>
      <c r="D90" s="828"/>
      <c r="E90" s="441" t="s">
        <v>18</v>
      </c>
      <c r="F90" s="441" t="s">
        <v>18</v>
      </c>
      <c r="G90" s="441" t="s">
        <v>18</v>
      </c>
      <c r="H90" s="441" t="s">
        <v>18</v>
      </c>
      <c r="I90" s="441" t="s">
        <v>18</v>
      </c>
      <c r="J90" s="267" t="s">
        <v>18</v>
      </c>
      <c r="K90" s="268"/>
      <c r="L90" s="197"/>
      <c r="M90" s="830"/>
      <c r="N90" s="830"/>
      <c r="O90" s="830"/>
      <c r="P90" s="830"/>
      <c r="Q90" s="830"/>
      <c r="R90" s="830"/>
      <c r="S90" s="830"/>
      <c r="T90" s="830"/>
      <c r="U90" s="830"/>
      <c r="V90" s="197"/>
    </row>
    <row r="91" spans="1:22" ht="14.1" customHeight="1" x14ac:dyDescent="0.15">
      <c r="A91" s="269"/>
      <c r="B91" s="814" t="s">
        <v>626</v>
      </c>
      <c r="C91" s="815"/>
      <c r="D91" s="815"/>
      <c r="E91" s="815"/>
      <c r="F91" s="815"/>
      <c r="G91" s="815"/>
      <c r="H91" s="815"/>
      <c r="I91" s="815"/>
      <c r="J91" s="816"/>
      <c r="K91" s="269"/>
      <c r="L91" s="197"/>
      <c r="M91" s="830"/>
      <c r="N91" s="830"/>
      <c r="O91" s="830"/>
      <c r="P91" s="830"/>
      <c r="Q91" s="830"/>
      <c r="R91" s="830"/>
      <c r="S91" s="830"/>
      <c r="T91" s="830"/>
      <c r="U91" s="830"/>
      <c r="V91" s="197"/>
    </row>
    <row r="92" spans="1:22" ht="14.1" customHeight="1" x14ac:dyDescent="0.15">
      <c r="A92" s="268"/>
      <c r="B92" s="832"/>
      <c r="C92" s="833"/>
      <c r="D92" s="833"/>
      <c r="E92" s="833"/>
      <c r="F92" s="833"/>
      <c r="G92" s="833"/>
      <c r="H92" s="833"/>
      <c r="I92" s="833"/>
      <c r="J92" s="834"/>
      <c r="K92" s="268"/>
      <c r="L92" s="197"/>
      <c r="M92" s="830"/>
      <c r="N92" s="830"/>
      <c r="O92" s="830"/>
      <c r="P92" s="830"/>
      <c r="Q92" s="830"/>
      <c r="R92" s="830"/>
      <c r="S92" s="830"/>
      <c r="T92" s="830"/>
      <c r="U92" s="830"/>
      <c r="V92" s="197"/>
    </row>
    <row r="93" spans="1:22" ht="14.1" customHeight="1" x14ac:dyDescent="0.15">
      <c r="A93" s="269"/>
      <c r="B93" s="835"/>
      <c r="C93" s="836"/>
      <c r="D93" s="836"/>
      <c r="E93" s="836"/>
      <c r="F93" s="836"/>
      <c r="G93" s="836"/>
      <c r="H93" s="836"/>
      <c r="I93" s="836"/>
      <c r="J93" s="837"/>
      <c r="K93" s="269"/>
      <c r="L93" s="197"/>
      <c r="M93" s="830"/>
      <c r="N93" s="830"/>
      <c r="O93" s="830"/>
      <c r="P93" s="830"/>
      <c r="Q93" s="830"/>
      <c r="R93" s="830"/>
      <c r="S93" s="830"/>
      <c r="T93" s="830"/>
      <c r="U93" s="830"/>
      <c r="V93" s="197"/>
    </row>
    <row r="94" spans="1:22" ht="14.1" customHeight="1" thickBot="1" x14ac:dyDescent="0.2">
      <c r="A94" s="268"/>
      <c r="B94" s="817" t="s">
        <v>627</v>
      </c>
      <c r="C94" s="818"/>
      <c r="D94" s="818"/>
      <c r="E94" s="818"/>
      <c r="F94" s="818"/>
      <c r="G94" s="818"/>
      <c r="H94" s="818"/>
      <c r="I94" s="818"/>
      <c r="J94" s="819"/>
      <c r="K94" s="268"/>
      <c r="L94" s="197"/>
      <c r="M94" s="820" t="s">
        <v>628</v>
      </c>
      <c r="N94" s="820"/>
      <c r="O94" s="820"/>
      <c r="P94" s="820"/>
      <c r="Q94" s="820"/>
      <c r="R94" s="820"/>
      <c r="S94" s="820"/>
      <c r="T94" s="820"/>
      <c r="U94" s="820"/>
      <c r="V94" s="197"/>
    </row>
    <row r="95" spans="1:22" ht="14.1" customHeight="1" x14ac:dyDescent="0.15">
      <c r="A95" s="269"/>
      <c r="B95" s="269"/>
      <c r="C95" s="269"/>
      <c r="D95" s="269"/>
      <c r="E95" s="269"/>
      <c r="F95" s="269"/>
      <c r="G95" s="269"/>
      <c r="H95" s="269"/>
      <c r="I95" s="269"/>
      <c r="J95" s="269"/>
      <c r="K95" s="268"/>
      <c r="L95" s="197"/>
      <c r="M95" s="197"/>
      <c r="N95" s="197"/>
      <c r="O95" s="197"/>
      <c r="P95" s="197"/>
      <c r="Q95" s="197"/>
      <c r="R95" s="197"/>
      <c r="S95" s="197"/>
      <c r="T95" s="197"/>
      <c r="U95" s="197"/>
      <c r="V95" s="197"/>
    </row>
  </sheetData>
  <sheetProtection selectLockedCells="1" selectUnlockedCells="1"/>
  <mergeCells count="200">
    <mergeCell ref="B4:C4"/>
    <mergeCell ref="E4:F4"/>
    <mergeCell ref="H4:I4"/>
    <mergeCell ref="B5:C5"/>
    <mergeCell ref="E5:F5"/>
    <mergeCell ref="H5:I5"/>
    <mergeCell ref="B63:F63"/>
    <mergeCell ref="R74:S74"/>
    <mergeCell ref="M28:U28"/>
    <mergeCell ref="M20:Q22"/>
    <mergeCell ref="M39:U39"/>
    <mergeCell ref="M56:U56"/>
    <mergeCell ref="B58:J58"/>
    <mergeCell ref="B61:J61"/>
    <mergeCell ref="M61:U61"/>
    <mergeCell ref="J42:J43"/>
    <mergeCell ref="J53:J54"/>
    <mergeCell ref="B15:J16"/>
    <mergeCell ref="B20:F21"/>
    <mergeCell ref="B37:J38"/>
    <mergeCell ref="B42:F43"/>
    <mergeCell ref="I9:I10"/>
    <mergeCell ref="I20:I21"/>
    <mergeCell ref="I31:I32"/>
    <mergeCell ref="I86:I87"/>
    <mergeCell ref="B88:D88"/>
    <mergeCell ref="E88:G88"/>
    <mergeCell ref="H88:J88"/>
    <mergeCell ref="R42:S44"/>
    <mergeCell ref="M46:U49"/>
    <mergeCell ref="B48:J49"/>
    <mergeCell ref="B53:F54"/>
    <mergeCell ref="M53:Q55"/>
    <mergeCell ref="R53:S55"/>
    <mergeCell ref="D56:D57"/>
    <mergeCell ref="B74:F74"/>
    <mergeCell ref="G64:G65"/>
    <mergeCell ref="G75:G76"/>
    <mergeCell ref="G86:G87"/>
    <mergeCell ref="H64:H65"/>
    <mergeCell ref="H75:H76"/>
    <mergeCell ref="B81:J82"/>
    <mergeCell ref="H44:J44"/>
    <mergeCell ref="B47:J47"/>
    <mergeCell ref="B50:J50"/>
    <mergeCell ref="B45:B46"/>
    <mergeCell ref="C45:C46"/>
    <mergeCell ref="B77:D77"/>
    <mergeCell ref="B2:J3"/>
    <mergeCell ref="M2:U5"/>
    <mergeCell ref="B9:F10"/>
    <mergeCell ref="M9:Q11"/>
    <mergeCell ref="R9:S11"/>
    <mergeCell ref="T86:T88"/>
    <mergeCell ref="U9:U11"/>
    <mergeCell ref="U20:U22"/>
    <mergeCell ref="U31:U33"/>
    <mergeCell ref="U42:U44"/>
    <mergeCell ref="U53:U55"/>
    <mergeCell ref="U64:U66"/>
    <mergeCell ref="U75:U77"/>
    <mergeCell ref="U86:U88"/>
    <mergeCell ref="M13:U16"/>
    <mergeCell ref="J64:J65"/>
    <mergeCell ref="J75:J76"/>
    <mergeCell ref="J86:J87"/>
    <mergeCell ref="T9:T11"/>
    <mergeCell ref="T20:T22"/>
    <mergeCell ref="T31:T33"/>
    <mergeCell ref="J9:J10"/>
    <mergeCell ref="J20:J21"/>
    <mergeCell ref="J31:J32"/>
    <mergeCell ref="B28:J28"/>
    <mergeCell ref="B41:F41"/>
    <mergeCell ref="B26:J27"/>
    <mergeCell ref="B31:F32"/>
    <mergeCell ref="B36:J36"/>
    <mergeCell ref="B39:J39"/>
    <mergeCell ref="D45:D46"/>
    <mergeCell ref="B34:B35"/>
    <mergeCell ref="C34:C35"/>
    <mergeCell ref="B30:F30"/>
    <mergeCell ref="E77:G77"/>
    <mergeCell ref="H77:J77"/>
    <mergeCell ref="B66:D66"/>
    <mergeCell ref="E66:G66"/>
    <mergeCell ref="H66:J66"/>
    <mergeCell ref="M67:U67"/>
    <mergeCell ref="B69:J69"/>
    <mergeCell ref="B72:J72"/>
    <mergeCell ref="M72:U72"/>
    <mergeCell ref="B67:B68"/>
    <mergeCell ref="C67:C68"/>
    <mergeCell ref="D67:D68"/>
    <mergeCell ref="M64:Q66"/>
    <mergeCell ref="R64:S66"/>
    <mergeCell ref="B64:F65"/>
    <mergeCell ref="M68:U71"/>
    <mergeCell ref="B75:F76"/>
    <mergeCell ref="M75:Q77"/>
    <mergeCell ref="R75:S77"/>
    <mergeCell ref="T64:T66"/>
    <mergeCell ref="T75:T77"/>
    <mergeCell ref="I64:I65"/>
    <mergeCell ref="I75:I76"/>
    <mergeCell ref="B70:J71"/>
    <mergeCell ref="B91:J91"/>
    <mergeCell ref="B94:J94"/>
    <mergeCell ref="M94:U94"/>
    <mergeCell ref="B89:B90"/>
    <mergeCell ref="C89:C90"/>
    <mergeCell ref="D89:D90"/>
    <mergeCell ref="M78:U78"/>
    <mergeCell ref="B80:J80"/>
    <mergeCell ref="B83:J83"/>
    <mergeCell ref="M83:U83"/>
    <mergeCell ref="B85:F85"/>
    <mergeCell ref="M85:Q85"/>
    <mergeCell ref="R85:S85"/>
    <mergeCell ref="B78:B79"/>
    <mergeCell ref="C78:C79"/>
    <mergeCell ref="D78:D79"/>
    <mergeCell ref="M79:U82"/>
    <mergeCell ref="M86:Q88"/>
    <mergeCell ref="R86:S88"/>
    <mergeCell ref="M90:U93"/>
    <mergeCell ref="B92:J93"/>
    <mergeCell ref="H86:H87"/>
    <mergeCell ref="B86:F87"/>
    <mergeCell ref="M89:U89"/>
    <mergeCell ref="M74:Q74"/>
    <mergeCell ref="M63:Q63"/>
    <mergeCell ref="R63:S63"/>
    <mergeCell ref="B56:B57"/>
    <mergeCell ref="C56:C57"/>
    <mergeCell ref="M57:U60"/>
    <mergeCell ref="B59:J60"/>
    <mergeCell ref="M41:Q41"/>
    <mergeCell ref="R41:S41"/>
    <mergeCell ref="I42:I43"/>
    <mergeCell ref="I53:I54"/>
    <mergeCell ref="B44:D44"/>
    <mergeCell ref="E44:G44"/>
    <mergeCell ref="H42:H43"/>
    <mergeCell ref="H53:H54"/>
    <mergeCell ref="T42:T44"/>
    <mergeCell ref="T53:T55"/>
    <mergeCell ref="M52:Q52"/>
    <mergeCell ref="R52:S52"/>
    <mergeCell ref="E55:G55"/>
    <mergeCell ref="H55:J55"/>
    <mergeCell ref="M45:U45"/>
    <mergeCell ref="M50:U50"/>
    <mergeCell ref="M42:Q44"/>
    <mergeCell ref="B52:F52"/>
    <mergeCell ref="B55:D55"/>
    <mergeCell ref="G42:G43"/>
    <mergeCell ref="G53:G54"/>
    <mergeCell ref="M30:Q30"/>
    <mergeCell ref="R30:S30"/>
    <mergeCell ref="B33:D33"/>
    <mergeCell ref="E33:G33"/>
    <mergeCell ref="H33:J33"/>
    <mergeCell ref="D34:D35"/>
    <mergeCell ref="G31:G32"/>
    <mergeCell ref="M31:Q33"/>
    <mergeCell ref="R31:S33"/>
    <mergeCell ref="M34:U34"/>
    <mergeCell ref="M35:U38"/>
    <mergeCell ref="H31:H32"/>
    <mergeCell ref="M19:Q19"/>
    <mergeCell ref="R19:S19"/>
    <mergeCell ref="B12:B13"/>
    <mergeCell ref="C12:C13"/>
    <mergeCell ref="B22:D22"/>
    <mergeCell ref="E22:G22"/>
    <mergeCell ref="H22:J22"/>
    <mergeCell ref="M23:U23"/>
    <mergeCell ref="D12:D13"/>
    <mergeCell ref="G20:G21"/>
    <mergeCell ref="B23:B24"/>
    <mergeCell ref="C23:C24"/>
    <mergeCell ref="D23:D24"/>
    <mergeCell ref="B19:F19"/>
    <mergeCell ref="R20:S22"/>
    <mergeCell ref="M24:U27"/>
    <mergeCell ref="B25:J25"/>
    <mergeCell ref="H20:H21"/>
    <mergeCell ref="B8:F8"/>
    <mergeCell ref="M8:Q8"/>
    <mergeCell ref="R8:S8"/>
    <mergeCell ref="B11:D11"/>
    <mergeCell ref="E11:G11"/>
    <mergeCell ref="H11:J11"/>
    <mergeCell ref="M12:U12"/>
    <mergeCell ref="B14:J14"/>
    <mergeCell ref="B17:J17"/>
    <mergeCell ref="M17:U17"/>
    <mergeCell ref="G9:G10"/>
    <mergeCell ref="H9:H10"/>
  </mergeCells>
  <phoneticPr fontId="50"/>
  <dataValidations count="1">
    <dataValidation type="list" operator="equal" sqref="G20 T20 G31 T31 G42 T42 G53 T53 G64 T64 G75 T75 T86 G9 G86 T9" xr:uid="{00000000-0002-0000-0400-000000000000}">
      <formula1>"－,近,遠,精神,遠近両用"</formula1>
    </dataValidation>
  </dataValidations>
  <pageMargins left="0.78749999999999998" right="0.78749999999999998" top="1.0527777777777778" bottom="1.0527777777777778" header="0.78749999999999998" footer="0.78749999999999998"/>
  <pageSetup paperSize="9" orientation="portrait" horizontalDpi="300" verticalDpi="300"/>
  <headerFooter scaleWithDoc="0" alignWithMargins="0">
    <oddHeader>&amp;C&amp;"Times New Roman,標準"&amp;12&amp;A</oddHeader>
    <oddFooter>&amp;C&amp;"Times New Roman,標準"&amp;12ページ &amp;P</oddFooter>
  </headerFooter>
  <extLst>
    <ext xmlns:x14="http://schemas.microsoft.com/office/spreadsheetml/2009/9/main" uri="{CCE6A557-97BC-4b89-ADB6-D9C93CAAB3DF}">
      <x14:dataValidations xmlns:xm="http://schemas.microsoft.com/office/excel/2006/main" count="6">
        <x14:dataValidation type="list" operator="equal" allowBlank="1" xr:uid="{00000000-0002-0000-0400-000001000000}">
          <x14:formula1>
            <xm:f>リスト!$T$26:$T$33</xm:f>
          </x14:formula1>
          <xm:sqref>H20 H9 H86 H75 H64 H53 H42 H31</xm:sqref>
        </x14:dataValidation>
        <x14:dataValidation type="list" operator="equal" allowBlank="1" xr:uid="{00000000-0002-0000-0400-000004000000}">
          <x14:formula1>
            <xm:f>リスト!$V$2:$V$8</xm:f>
          </x14:formula1>
          <xm:sqref>B23:D23 B78:D78 B67:D67 B56:D56 B45:D45 B34:D34 B12:D12 B89:D89</xm:sqref>
        </x14:dataValidation>
        <x14:dataValidation type="list" operator="equal" allowBlank="1" xr:uid="{00000000-0002-0000-0400-000005000000}">
          <x14:formula1>
            <xm:f>リスト!$Z$2:$Z$16</xm:f>
          </x14:formula1>
          <xm:sqref>H23:J24 H12:J13 H67:J68 H56:J57 H89:J90 H45:J46 H78:J79 H34:J35</xm:sqref>
        </x14:dataValidation>
        <x14:dataValidation type="list" operator="equal" allowBlank="1" xr:uid="{00000000-0002-0000-0400-000006000000}">
          <x14:formula1>
            <xm:f>リスト!$X$2:$X$55</xm:f>
          </x14:formula1>
          <xm:sqref>E23:G24 E12:G13 E67:G68 E56:G57 E34:G35 E45:G46 E78:G79 E89:G90</xm:sqref>
        </x14:dataValidation>
        <x14:dataValidation type="list" operator="equal" allowBlank="1" xr:uid="{00000000-0002-0000-0400-000003000000}">
          <x14:formula1>
            <xm:f>リスト!$BA$2:$BA$154</xm:f>
          </x14:formula1>
          <xm:sqref>T22 T33 T44 T55 T66 T77 T88 T11</xm:sqref>
        </x14:dataValidation>
        <x14:dataValidation type="list" allowBlank="1" xr:uid="{C0D8532E-A224-434E-A379-5C0A680625FB}">
          <x14:formula1>
            <xm:f>リスト!$BA$2:$BA$166</xm:f>
          </x14:formula1>
          <xm:sqref>R86:S88 R9:S11 R75:S77 R64:S66 R53:S55 R42:S44 R31:S33 R20:S22</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202C36-2290-4D10-B375-489D525C0B9B}">
  <sheetPr codeName="Sheet4"/>
  <dimension ref="B1:AZ125"/>
  <sheetViews>
    <sheetView zoomScale="70" zoomScaleNormal="70" workbookViewId="0">
      <selection activeCell="Z41" sqref="Z41:Z57"/>
    </sheetView>
  </sheetViews>
  <sheetFormatPr defaultColWidth="8.85546875" defaultRowHeight="14.25" x14ac:dyDescent="0.15"/>
  <cols>
    <col min="10" max="10" width="8.85546875" customWidth="1"/>
    <col min="11" max="13" width="8.85546875" style="444" customWidth="1"/>
    <col min="14" max="14" width="10.7109375" style="444" customWidth="1"/>
    <col min="15" max="17" width="8.85546875" style="444" customWidth="1"/>
    <col min="18" max="18" width="9.85546875" style="444" customWidth="1"/>
    <col min="19" max="19" width="8.85546875" style="444" customWidth="1"/>
    <col min="20" max="20" width="8.85546875" customWidth="1"/>
    <col min="21" max="24" width="8.85546875" style="444" customWidth="1"/>
  </cols>
  <sheetData>
    <row r="1" spans="2:52" x14ac:dyDescent="0.15">
      <c r="B1" t="s">
        <v>730</v>
      </c>
      <c r="AG1" s="436" t="s">
        <v>731</v>
      </c>
      <c r="AI1" s="444"/>
      <c r="AJ1" s="444"/>
      <c r="AK1" s="444"/>
      <c r="AL1" s="444"/>
      <c r="AM1" s="444"/>
      <c r="AN1" s="444" t="s">
        <v>732</v>
      </c>
      <c r="AO1" s="444"/>
      <c r="AP1" s="444"/>
      <c r="AQ1" s="444"/>
      <c r="AS1" s="444"/>
      <c r="AT1" s="444"/>
      <c r="AU1" s="444" t="s">
        <v>733</v>
      </c>
      <c r="AV1" s="444"/>
    </row>
    <row r="2" spans="2:52" ht="17.25" x14ac:dyDescent="0.2">
      <c r="B2" s="445" t="s">
        <v>734</v>
      </c>
      <c r="C2" s="446" t="s">
        <v>623</v>
      </c>
      <c r="D2" s="446" t="s">
        <v>449</v>
      </c>
      <c r="E2" s="446" t="s">
        <v>735</v>
      </c>
      <c r="F2" s="447" t="s">
        <v>736</v>
      </c>
      <c r="G2" s="446" t="s">
        <v>737</v>
      </c>
      <c r="H2" s="448"/>
      <c r="I2" s="863" t="s">
        <v>738</v>
      </c>
      <c r="J2" s="863"/>
      <c r="K2" s="863"/>
      <c r="L2" s="449"/>
      <c r="M2" s="449"/>
      <c r="N2" s="449"/>
      <c r="O2" s="449"/>
      <c r="P2" s="449"/>
      <c r="Q2" s="449"/>
      <c r="R2" s="449"/>
      <c r="S2" s="449"/>
      <c r="U2" s="863" t="s">
        <v>739</v>
      </c>
      <c r="V2" s="863"/>
      <c r="W2" s="863"/>
      <c r="X2" s="449"/>
      <c r="Y2" s="449"/>
      <c r="Z2" s="449"/>
      <c r="AA2" s="449"/>
      <c r="AB2" s="449"/>
      <c r="AC2" s="449"/>
      <c r="AD2" s="449"/>
      <c r="AE2" s="449"/>
      <c r="AG2" s="445" t="s">
        <v>734</v>
      </c>
      <c r="AH2" s="446" t="s">
        <v>623</v>
      </c>
      <c r="AI2" s="446" t="s">
        <v>449</v>
      </c>
      <c r="AJ2" s="446" t="s">
        <v>735</v>
      </c>
      <c r="AK2" s="447" t="s">
        <v>736</v>
      </c>
      <c r="AL2" s="446" t="s">
        <v>737</v>
      </c>
      <c r="AM2" s="444"/>
      <c r="AN2" s="445" t="s">
        <v>734</v>
      </c>
      <c r="AO2" s="446" t="s">
        <v>623</v>
      </c>
      <c r="AP2" s="446" t="s">
        <v>449</v>
      </c>
      <c r="AQ2" s="446" t="s">
        <v>735</v>
      </c>
      <c r="AR2" s="447" t="s">
        <v>736</v>
      </c>
      <c r="AS2" s="446" t="s">
        <v>737</v>
      </c>
      <c r="AT2" s="444"/>
      <c r="AU2" s="445" t="s">
        <v>734</v>
      </c>
      <c r="AV2" s="446" t="s">
        <v>623</v>
      </c>
      <c r="AW2" s="446" t="s">
        <v>449</v>
      </c>
      <c r="AX2" s="446" t="s">
        <v>735</v>
      </c>
      <c r="AY2" s="447" t="s">
        <v>736</v>
      </c>
      <c r="AZ2" s="446" t="s">
        <v>737</v>
      </c>
    </row>
    <row r="3" spans="2:52" x14ac:dyDescent="0.15">
      <c r="B3" s="446" t="s">
        <v>9</v>
      </c>
      <c r="C3" s="450">
        <f>IF(応用技!B12="－","0",VLOOKUP(応用技!B12,計算用!$J$6:$L$11,2,FALSE()))
+IF(応用技!C12="－","0",VLOOKUP(応用技!C12,計算用!$J$6:$L$11,2,FALSE()))
+IF(応用技!D12="－","0",VLOOKUP(応用技!D12,計算用!$J$6:$L$11,2,FALSE()))
+COUNTIF(応用技!B12:D12,"防御発動")^2</f>
        <v>0</v>
      </c>
      <c r="D3" s="450">
        <f>IF(応用技!B12="－","0",VLOOKUP(応用技!B12,$J$6:$L$11,3,FALSE()))
+IF(応用技!C12="－","0",VLOOKUP(応用技!C12,$J$6:$L$11,3,FALSE()))
+IF(応用技!D12="－","0",VLOOKUP(応用技!D12,$J$6:$L$11,3,FALSE()))</f>
        <v>0</v>
      </c>
      <c r="E3" s="425"/>
      <c r="F3" s="447"/>
      <c r="G3" s="447"/>
      <c r="I3" s="451"/>
      <c r="J3" s="451"/>
      <c r="K3" s="449"/>
      <c r="L3" s="449"/>
      <c r="M3" s="449"/>
      <c r="N3" s="449"/>
      <c r="O3" s="449"/>
      <c r="P3" s="449"/>
      <c r="Q3" s="449"/>
      <c r="R3" s="449"/>
      <c r="S3" s="449"/>
      <c r="U3" s="451"/>
      <c r="V3" s="451"/>
      <c r="W3" s="449"/>
      <c r="X3" s="449"/>
      <c r="Y3" s="449"/>
      <c r="Z3" s="449"/>
      <c r="AA3" s="449"/>
      <c r="AB3" s="449"/>
      <c r="AC3" s="449"/>
      <c r="AD3" s="449"/>
      <c r="AE3" s="449"/>
      <c r="AG3" s="446" t="s">
        <v>9</v>
      </c>
      <c r="AH3" s="450">
        <f>IF(クリーチャー!P12="－","0",VLOOKUP(クリーチャー!P12,計算用!$J$6:$L$11,2,FALSE()))+IF(クリーチャー!Q12="－","0",VLOOKUP(クリーチャー!Q12,計算用!$J$6:$L$11,2,FALSE()))+IF(クリーチャー!R12="－","0",VLOOKUP(クリーチャー!R12,計算用!$J$6:$L$11,2,FALSE()))+COUNTIF(クリーチャー!P12:R12,"防御発動")^2</f>
        <v>0</v>
      </c>
      <c r="AI3" s="450">
        <f>IF(クリーチャー!P12="－","0",VLOOKUP(クリーチャー!P12,$J$6:$L$11,3,FALSE()))+IF(クリーチャー!Q12="－","0",VLOOKUP(クリーチャー!Q12,$J$6:$L$11,3,FALSE()))+IF(クリーチャー!R12="－","0",VLOOKUP(クリーチャー!R12,$J$6:$L$11,3,FALSE()))</f>
        <v>0</v>
      </c>
      <c r="AJ3" s="425"/>
      <c r="AK3" s="447"/>
      <c r="AL3" s="447"/>
      <c r="AM3" s="444"/>
      <c r="AN3" s="446" t="s">
        <v>9</v>
      </c>
      <c r="AO3" s="450">
        <f>IF(クリーチャー_2!P12="－","0",VLOOKUP(クリーチャー_2!P12,計算用!$J$6:$L$11,2,FALSE()))+IF(クリーチャー_2!Q12="－","0",VLOOKUP(クリーチャー_2!Q12,計算用!$J$6:$L$11,2,FALSE()))+IF(クリーチャー_2!R12="－","0",VLOOKUP(クリーチャー_2!R12,計算用!$J$6:$L$11,2,FALSE()))+COUNTIF(クリーチャー_2!P12:R12,"防御発動")^2</f>
        <v>0</v>
      </c>
      <c r="AP3" s="450">
        <f>IF(クリーチャー_2!P12="－","0",VLOOKUP(クリーチャー_2!P12,$J$6:$L$11,3,FALSE()))+IF(クリーチャー_2!Q12="－","0",VLOOKUP(クリーチャー_2!Q12,$J$6:$L$11,3,FALSE()))+IF(クリーチャー_2!R12="－","0",VLOOKUP(クリーチャー_2!R12,$J$6:$L$11,3,FALSE()))</f>
        <v>0</v>
      </c>
      <c r="AQ3" s="425"/>
      <c r="AR3" s="447"/>
      <c r="AS3" s="447"/>
      <c r="AT3" s="444"/>
      <c r="AU3" s="446" t="s">
        <v>9</v>
      </c>
      <c r="AV3" s="450">
        <f>IF(クリーチャー_3!P12="－","0",VLOOKUP(クリーチャー_3!P12,計算用!$J$6:$L$11,2,FALSE()))+IF(クリーチャー_3!Q12="－","0",VLOOKUP(クリーチャー_3!Q12,計算用!$J$6:$L$11,2,FALSE()))+IF(クリーチャー_3!R12="－","0",VLOOKUP(クリーチャー_3!R12,計算用!$J$6:$L$11,2,FALSE()))+COUNTIF(クリーチャー_3!P12:R12,"防御発動")^2</f>
        <v>0</v>
      </c>
      <c r="AW3" s="450">
        <f>IF(クリーチャー_3!P12="－","0",VLOOKUP(クリーチャー_3!P12,$J$6:$L$11,3,FALSE()))+IF(クリーチャー_3!Q12="－","0",VLOOKUP(クリーチャー_3!Q12,$J$6:$L$11,3,FALSE()))+IF(クリーチャー_3!R12="－","0",VLOOKUP(クリーチャー_3!R12,$J$6:$L$11,3,FALSE()))</f>
        <v>0</v>
      </c>
      <c r="AX3" s="425"/>
      <c r="AY3" s="447"/>
      <c r="AZ3" s="447"/>
    </row>
    <row r="4" spans="2:52" ht="15" thickBot="1" x14ac:dyDescent="0.2">
      <c r="B4" s="446" t="s">
        <v>10</v>
      </c>
      <c r="C4" s="450" cm="1">
        <f t="array" ref="C4">IF(応用技!E12="－","0",VLOOKUP(応用技!E12,$N$6:$R$49,2,FALSE()))+IF(応用技!F12="－","0",VLOOKUP(応用技!F12,N6:$R$49,2,FALSE()))+IF(応用技!G12="－","0",VLOOKUP(応用技!G12,$N$6:$R$49,2,FALSE()))+IF(応用技!E13="－","0",VLOOKUP(応用技!E13,$N$6:$R$49,2,FALSE()))+IF(応用技!F13="－","0",VLOOKUP(応用技!F13,$N$6:$R$49,2,FALSE()))+IF(応用技!G13="－","0",VLOOKUP(応用技!G13,$N$6:$R$49,2,FALSE()))+_xlfn.IFS(F4&gt;=2,1+2*(F4-1),F4=1,1,F4=0,0)+_xlfn.IFS(G4&gt;=2,1+2*(G4-1),G4=1,1,G4=0,0)</f>
        <v>0</v>
      </c>
      <c r="D4" s="450">
        <f>IF(応用技!E12="－","0",VLOOKUP(応用技!E12,$N$6:$R$49,3,FALSE()))
+IF(応用技!F12="－","0",VLOOKUP(応用技!F12,$N$6:$R$49,3,FALSE()))
+IF(応用技!G12="－","0",VLOOKUP(応用技!G12,$N$6:$R$49,3,FALSE()))
+IF(応用技!E13="－","0",VLOOKUP(応用技!E13,$N$6:$R$49,3,FALSE()))
+IF(応用技!F13="－","0",VLOOKUP(応用技!F13,$N$6:$R$49,3,FALSE()))
+IF(応用技!G13="－","0",VLOOKUP(応用技!G13,$N$6:$R$49,3,FALSE()))</f>
        <v>0</v>
      </c>
      <c r="E4" s="450">
        <f>IF(応用技!E12="－","0",VLOOKUP(応用技!E12,$N$6:$R$49,4,FALSE()))
+IF(応用技!F12="－","0",VLOOKUP(応用技!F12,$N$6:$R$49,4,FALSE()))
+IF(応用技!G12="－","0",VLOOKUP(応用技!G12,$N$6:$R$49,4,FALSE()))
+IF(応用技!E13="－","0",VLOOKUP(応用技!E13,$N$6:$R$49,4,FALSE()))
+IF(応用技!F13="－","0",VLOOKUP(応用技!F13,$N$6:$R$49,4,FALSE()))
+IF(応用技!G13="－","0",VLOOKUP(応用技!G13,$N$6:$R$49,4,FALSE()))</f>
        <v>0</v>
      </c>
      <c r="F4" s="447">
        <f>COUNTIFS(応用技!E12:G13,"強化*")</f>
        <v>0</v>
      </c>
      <c r="G4" s="447">
        <f>COUNTIFS(応用技!E12:G13,"減衰*")</f>
        <v>0</v>
      </c>
      <c r="I4" s="451"/>
      <c r="J4" s="452" t="s">
        <v>9</v>
      </c>
      <c r="K4" s="449"/>
      <c r="L4" s="449"/>
      <c r="M4" s="449"/>
      <c r="N4" s="453" t="s">
        <v>10</v>
      </c>
      <c r="O4" s="449"/>
      <c r="P4" s="449"/>
      <c r="Q4" s="449"/>
      <c r="R4" s="449"/>
      <c r="S4" s="449"/>
      <c r="U4" s="451"/>
      <c r="V4" s="452" t="s">
        <v>9</v>
      </c>
      <c r="W4" s="449"/>
      <c r="X4" s="449"/>
      <c r="Y4" s="449"/>
      <c r="Z4" s="453" t="s">
        <v>10</v>
      </c>
      <c r="AA4" s="449"/>
      <c r="AB4" s="449"/>
      <c r="AC4" s="449"/>
      <c r="AD4" s="449"/>
      <c r="AE4" s="449"/>
      <c r="AG4" s="446" t="s">
        <v>10</v>
      </c>
      <c r="AH4" s="450" cm="1">
        <f t="array" ref="AH4">IF(クリーチャー!S12="－","0",VLOOKUP(クリーチャー!S12,$N$6:$R$49,2,FALSE()))+IF(クリーチャー!T12="－","0",VLOOKUP(クリーチャー!T12,N6:$R$49,2,FALSE()))+IF(クリーチャー!U12="－","0",VLOOKUP(クリーチャー!U12,$N$6:$R$49,2,FALSE()))+IF(クリーチャー!S13="－","0",VLOOKUP(クリーチャー!S13,$N$6:$R$49,2,FALSE()))+IF(クリーチャー!T13="－","0",VLOOKUP(クリーチャー!T13,$N$6:$R$49,2,FALSE()))+IF(クリーチャー!U13="－","0",VLOOKUP(クリーチャー!U13,$N$6:$R$49,2,FALSE()))+_xlfn.IFS(AK4&gt;=2,1+2*(AK4-1),AK4=1,1,AK4=0,0)+_xlfn.IFS(AL4&gt;=2,1+2*(AL4-1),AL4=1,1,AL4=0,0)</f>
        <v>0</v>
      </c>
      <c r="AI4" s="450">
        <f>IF(クリーチャー!S12="－","0",VLOOKUP(クリーチャー!S12,$N$6:$R$49,3,FALSE()))+IF(クリーチャー!T12="－","0",VLOOKUP(クリーチャー!T12,$N$6:$R$49,3,FALSE()))+IF(クリーチャー!U12="－","0",VLOOKUP(クリーチャー!U12,$N$6:$R$49,3,FALSE()))+IF(クリーチャー!S13="－","0",VLOOKUP(クリーチャー!S13,$N$6:$R$49,3,FALSE()))+IF(クリーチャー!T13="－","0",VLOOKUP(クリーチャー!T13,$N$6:$R$49,3,FALSE()))+IF(クリーチャー!U13="－","0",VLOOKUP(クリーチャー!U13,$N$6:$R$49,3,FALSE()))</f>
        <v>0</v>
      </c>
      <c r="AJ4" s="450">
        <f>IF(クリーチャー!S12="－","0",VLOOKUP(クリーチャー!S12,$N$6:$R$49,4,FALSE()))+IF(クリーチャー!T12="－","0",VLOOKUP(クリーチャー!T12,$N$6:$R$49,4,FALSE()))+IF(クリーチャー!U12="－","0",VLOOKUP(クリーチャー!U12,$N$6:$R$49,4,FALSE()))+IF(クリーチャー!S13="－","0",VLOOKUP(クリーチャー!S13,$N$6:$R$49,4,FALSE()))+IF(クリーチャー!T13="－","0",VLOOKUP(クリーチャー!T13,$N$6:$R$49,4,FALSE()))+IF(クリーチャー!U13="－","0",VLOOKUP(クリーチャー!U13,$N$6:$R$49,4,FALSE()))</f>
        <v>0</v>
      </c>
      <c r="AK4" s="447">
        <f>COUNTIFS(クリーチャー!S12:U13,"強化*")</f>
        <v>0</v>
      </c>
      <c r="AL4" s="447">
        <f>COUNTIFS(クリーチャー!S12:U13,"減衰*")</f>
        <v>0</v>
      </c>
      <c r="AM4" s="444"/>
      <c r="AN4" s="446" t="s">
        <v>10</v>
      </c>
      <c r="AO4" s="450" cm="1">
        <f t="array" ref="AO4">IF(クリーチャー_2!S12="－","0",VLOOKUP(クリーチャー_2!S12,$N$6:$R$49,2,FALSE()))+IF(クリーチャー_2!T12="－","0",VLOOKUP(クリーチャー_2!T12,$N$6:$R$49,2,FALSE()))+IF(クリーチャー_2!U12="－","0",VLOOKUP(クリーチャー_2!U12,$N$6:$R$49,2,FALSE()))+IF(クリーチャー_2!S13="－","0",VLOOKUP(クリーチャー_2!S13,$N$6:$R$49,2,FALSE()))+IF(クリーチャー_2!T13="－","0",VLOOKUP(クリーチャー_2!T13,$N$6:$R$49,2,FALSE()))+IF(クリーチャー_2!U13="－","0",VLOOKUP(クリーチャー_2!U13,$N$6:$R$49,2,FALSE()))+_xlfn.IFS(AR4&gt;=2,1+2*(AR4-1),AR4=1,1,AR4=0,0)+_xlfn.IFS(AS4&gt;=2,1+2*(AS4-1),AS4=1,1,AS4=0,0)</f>
        <v>0</v>
      </c>
      <c r="AP4" s="450">
        <f>IF(クリーチャー_2!S12="－","0",VLOOKUP(クリーチャー_2!S12,$N$6:$R$49,3,FALSE()))+IF(クリーチャー_2!T12="－","0",VLOOKUP(クリーチャー_2!T12,$N$6:$R$49,3,FALSE()))+IF(クリーチャー_2!U12="－","0",VLOOKUP(クリーチャー_2!U12,$N$6:$R$49,3,FALSE()))+IF(クリーチャー_2!S13="－","0",VLOOKUP(クリーチャー_2!S13,$N$6:$R$49,3,FALSE()))+IF(クリーチャー_2!T13="－","0",VLOOKUP(クリーチャー_2!T13,$N$6:$R$49,3,FALSE()))+IF(クリーチャー_2!U13="－","0",VLOOKUP(クリーチャー_2!U13,$N$6:$R$49,3,FALSE()))</f>
        <v>0</v>
      </c>
      <c r="AQ4" s="450">
        <f>IF(クリーチャー_2!S12="－","0",VLOOKUP(クリーチャー_2!S12,$N$6:$R$49,4,FALSE()))+IF(クリーチャー_2!T12="－","0",VLOOKUP(クリーチャー_2!T12,$N$6:$R$49,4,FALSE()))+IF(クリーチャー_2!U12="－","0",VLOOKUP(クリーチャー_2!U12,$N$6:$R$49,4,FALSE()))+IF(クリーチャー_2!S13="－","0",VLOOKUP(クリーチャー_2!S13,$N$6:$R$49,4,FALSE()))+IF(クリーチャー_2!T13="－","0",VLOOKUP(クリーチャー_2!T13,$N$6:$R$49,4,FALSE()))+IF(クリーチャー_2!U13="－","0",VLOOKUP(クリーチャー_2!U13,$N$6:$R$49,4,FALSE()))</f>
        <v>0</v>
      </c>
      <c r="AR4" s="447">
        <f>COUNTIFS(クリーチャー_2!S12:U13,"強化*")</f>
        <v>0</v>
      </c>
      <c r="AS4" s="447">
        <f>COUNTIFS(クリーチャー_2!S12:U13,"減衰*")</f>
        <v>0</v>
      </c>
      <c r="AT4" s="444"/>
      <c r="AU4" s="446" t="s">
        <v>10</v>
      </c>
      <c r="AV4" s="450" cm="1">
        <f t="array" ref="AV4">IF(クリーチャー_3!S12="－","0",VLOOKUP(クリーチャー_3!S12,$N$6:$R$49,2,FALSE()))+IF(クリーチャー_3!T12="－","0",VLOOKUP(クリーチャー_3!T12,N6:$R$49,2,FALSE()))+IF(クリーチャー_3!U12="－","0",VLOOKUP(クリーチャー_3!U12,$N$6:$R$49,2,FALSE()))+IF(クリーチャー_3!S13="－","0",VLOOKUP(クリーチャー_3!S13,$N$6:$R$49,2,FALSE()))+IF(クリーチャー_3!T13="－","0",VLOOKUP(クリーチャー_3!T13,$N$6:$R$49,2,FALSE()))+IF(クリーチャー_3!U13="－","0",VLOOKUP(クリーチャー_3!U13,$N$6:$R$49,2,FALSE()))+_xlfn.IFS(AY4&gt;=2,1+2*(AY4-1),AY4=1,1,AY4=0,0)+_xlfn.IFS(AZ4&gt;=2,1+2*(AZ4-1),AZ4=1,1,AZ4=0,0)</f>
        <v>0</v>
      </c>
      <c r="AW4" s="450">
        <f>IF(クリーチャー_3!S12="－","0",VLOOKUP(クリーチャー_3!S12,$N$6:$R$49,3,FALSE()))+IF(クリーチャー_3!T12="－","0",VLOOKUP(クリーチャー_3!T12,$N$6:$R$49,3,FALSE()))+IF(クリーチャー_3!U12="－","0",VLOOKUP(クリーチャー_3!U12,$N$6:$R$49,3,FALSE()))+IF(クリーチャー_3!S13="－","0",VLOOKUP(クリーチャー_3!S13,$N$6:$R$49,3,FALSE()))+IF(クリーチャー_3!T13="－","0",VLOOKUP(クリーチャー_3!T13,$N$6:$R$49,3,FALSE()))+IF(クリーチャー_3!U13="－","0",VLOOKUP(クリーチャー_3!U13,$N$6:$R$49,3,FALSE()))</f>
        <v>0</v>
      </c>
      <c r="AX4" s="450">
        <f>IF(クリーチャー_3!S12="－","0",VLOOKUP(クリーチャー_3!S12,$N$6:$R$49,4,FALSE()))+IF(クリーチャー_3!T12="－","0",VLOOKUP(クリーチャー_3!T12,$N$6:$R$49,4,FALSE()))+IF(クリーチャー_3!U12="－","0",VLOOKUP(クリーチャー_3!U12,$N$6:$R$49,4,FALSE()))+IF(クリーチャー_3!S13="－","0",VLOOKUP(クリーチャー_3!S13,$N$6:$R$49,4,FALSE()))+IF(クリーチャー_3!T13="－","0",VLOOKUP(クリーチャー_3!T13,$N$6:$R$49,4,FALSE()))+IF(クリーチャー_3!U13="－","0",VLOOKUP(クリーチャー_3!U13,$N$6:$R$49,4,FALSE()))</f>
        <v>0</v>
      </c>
      <c r="AY4" s="447">
        <f>COUNTIFS(クリーチャー_3!S12:U13,"強化*")</f>
        <v>0</v>
      </c>
      <c r="AZ4" s="447">
        <f>COUNTIFS(クリーチャー_3!S12:U13,"減衰*")</f>
        <v>0</v>
      </c>
    </row>
    <row r="5" spans="2:52" ht="15" thickBot="1" x14ac:dyDescent="0.2">
      <c r="B5" s="446" t="s">
        <v>740</v>
      </c>
      <c r="C5" s="450">
        <f>IF(応用技!H12="－","0",VLOOKUP(応用技!H12,$J$15:$L$27,2,FALSE()))
+IF(応用技!I12="－","0",VLOOKUP(応用技!I12,$J$15:$L$27,2,FALSE()))
+IF(応用技!J12="－","0",VLOOKUP(応用技!J12,$J$15:$L$27,2,FALSE()))
+IF(応用技!H13="－","0",VLOOKUP(応用技!H13,$J$15:$L$27,2,FALSE()))
+IF(応用技!I13="－","0",VLOOKUP(応用技!I13,$J$15:$L$27,2,FALSE()))
+IF(応用技!J13="－","0",VLOOKUP(応用技!J13,$J$15:$L$27,2,FALSE()))</f>
        <v>0</v>
      </c>
      <c r="D5" s="450">
        <f>IF(応用技!H12="－","0",VLOOKUP(応用技!H12,$J$15:$L$27,3,FALSE()))
+IF(応用技!I12="－","0",VLOOKUP(応用技!I12,$J$15:$L$27,3,FALSE()))
+IF(応用技!J12="－","0",VLOOKUP(応用技!J12,$J$15:$L$27,3,FALSE()))
+IF(応用技!H13="－","0",VLOOKUP(応用技!H13,$J$15:$L$27,3,FALSE()))
+IF(応用技!I13="－","0",VLOOKUP(応用技!I13,$J$15:$L$27,3,FALSE()))
+IF(応用技!J13="－","0",VLOOKUP(応用技!J13,$J$15:$L$27,3,FALSE()))</f>
        <v>0</v>
      </c>
      <c r="E5" s="450"/>
      <c r="F5" s="447"/>
      <c r="G5" s="447"/>
      <c r="I5" s="451"/>
      <c r="J5" s="454" t="s">
        <v>741</v>
      </c>
      <c r="K5" s="455" t="s">
        <v>623</v>
      </c>
      <c r="L5" s="456" t="s">
        <v>449</v>
      </c>
      <c r="M5" s="449"/>
      <c r="N5" s="457" t="s">
        <v>741</v>
      </c>
      <c r="O5" s="458" t="s">
        <v>623</v>
      </c>
      <c r="P5" s="458" t="s">
        <v>449</v>
      </c>
      <c r="Q5" s="458" t="s">
        <v>735</v>
      </c>
      <c r="R5" s="459" t="s">
        <v>742</v>
      </c>
      <c r="S5" s="449"/>
      <c r="U5" s="451"/>
      <c r="V5" s="454" t="s">
        <v>741</v>
      </c>
      <c r="W5" s="455" t="s">
        <v>623</v>
      </c>
      <c r="X5" s="456" t="s">
        <v>449</v>
      </c>
      <c r="Y5" s="449"/>
      <c r="Z5" s="457" t="s">
        <v>741</v>
      </c>
      <c r="AA5" s="458" t="s">
        <v>623</v>
      </c>
      <c r="AB5" s="458" t="s">
        <v>449</v>
      </c>
      <c r="AC5" s="458" t="s">
        <v>735</v>
      </c>
      <c r="AD5" s="459" t="s">
        <v>742</v>
      </c>
      <c r="AE5" s="449"/>
      <c r="AG5" s="446" t="s">
        <v>740</v>
      </c>
      <c r="AH5" s="450">
        <f>IF(クリーチャー!V12="－","0",VLOOKUP(クリーチャー!V12,$J$15:$L$27,2,FALSE()))+IF(クリーチャー!W12="－","0",VLOOKUP(クリーチャー!W12,$J$15:$L$27,2,FALSE()))+IF(クリーチャー!X12="－","0",VLOOKUP(クリーチャー!X12,$J$15:$L$27,2,FALSE()))+IF(クリーチャー!V13="－","0",VLOOKUP(クリーチャー!V13,$J$15:$L$27,2,FALSE()))+IF(クリーチャー!W13="－","0",VLOOKUP(クリーチャー!W13,$J$15:$L$27,2,FALSE()))+IF(クリーチャー!X13="－","0",VLOOKUP(クリーチャー!X13,$J$15:$L$27,2,FALSE()))</f>
        <v>0</v>
      </c>
      <c r="AI5" s="450">
        <f>IF(クリーチャー!V12="－","0",VLOOKUP(クリーチャー!V12,$J$15:$L$27,3,FALSE()))+IF(クリーチャー!W12="－","0",VLOOKUP(クリーチャー!W12,$J$15:$L$27,3,FALSE()))+IF(クリーチャー!X12="－","0",VLOOKUP(クリーチャー!X12,$J$15:$L$27,3,FALSE()))+IF(クリーチャー!V13="－","0",VLOOKUP(クリーチャー!V13,$J$15:$L$27,3,FALSE()))+IF(クリーチャー!W13="－","0",VLOOKUP(クリーチャー!W13,$J$15:$L$27,3,FALSE()))+IF(クリーチャー!X13="－","0",VLOOKUP(クリーチャー!X13,$J$15:$L$27,3,FALSE()))</f>
        <v>0</v>
      </c>
      <c r="AJ5" s="450"/>
      <c r="AK5" s="447"/>
      <c r="AL5" s="447"/>
      <c r="AM5" s="444"/>
      <c r="AN5" s="446" t="s">
        <v>740</v>
      </c>
      <c r="AO5" s="450">
        <f>IF(クリーチャー_2!V12="－","0",VLOOKUP(クリーチャー_2!V12,$J$15:$L$27,2,FALSE()))+IF(クリーチャー_2!W12="－","0",VLOOKUP(クリーチャー_2!W12,$J$15:$L$27,2,FALSE()))+IF(クリーチャー_2!X12="－","0",VLOOKUP(クリーチャー_2!X12,$J$15:$L$27,2,FALSE()))+IF(クリーチャー_2!V13="－","0",VLOOKUP(クリーチャー_2!V13,$J$15:$L$27,2,FALSE()))+IF(クリーチャー_2!W13="－","0",VLOOKUP(クリーチャー_2!W13,$J$15:$L$27,2,FALSE()))+IF(クリーチャー_2!X13="－","0",VLOOKUP(クリーチャー_2!X13,$J$15:$L$27,2,FALSE()))</f>
        <v>0</v>
      </c>
      <c r="AP5" s="450">
        <f>IF(クリーチャー_2!V12="－","0",VLOOKUP(クリーチャー_2!V12,$J$15:$L$27,3,FALSE()))+IF(クリーチャー_2!W12="－","0",VLOOKUP(クリーチャー_2!W12,$J$15:$L$27,3,FALSE()))+IF(クリーチャー_2!X12="－","0",VLOOKUP(クリーチャー_2!X12,$J$15:$L$27,3,FALSE()))+IF(クリーチャー_2!V13="－","0",VLOOKUP(クリーチャー_2!V13,$J$15:$L$27,3,FALSE()))+IF(クリーチャー_2!W13="－","0",VLOOKUP(クリーチャー_2!W13,$J$15:$L$27,3,FALSE()))+IF(クリーチャー_2!X13="－","0",VLOOKUP(クリーチャー_2!X13,$J$15:$L$27,3,FALSE()))</f>
        <v>0</v>
      </c>
      <c r="AQ5" s="450"/>
      <c r="AR5" s="447"/>
      <c r="AS5" s="447"/>
      <c r="AT5" s="444"/>
      <c r="AU5" s="446" t="s">
        <v>740</v>
      </c>
      <c r="AV5" s="450">
        <f>IF(クリーチャー_3!V12="－","0",VLOOKUP(クリーチャー_3!V12,$J$15:$L$27,2,FALSE()))+IF(クリーチャー_3!W12="－","0",VLOOKUP(クリーチャー_3!W12,$J$15:$L$27,2,FALSE()))+IF(クリーチャー_3!X12="－","0",VLOOKUP(クリーチャー_3!X12,$J$15:$L$27,2,FALSE()))+IF(クリーチャー_3!V13="－","0",VLOOKUP(クリーチャー_3!V13,$J$15:$L$27,2,FALSE()))+IF(クリーチャー_3!W13="－","0",VLOOKUP(クリーチャー_3!W13,$J$15:$L$27,2,FALSE()))+IF(クリーチャー_3!X13="－","0",VLOOKUP(クリーチャー_3!X13,$J$15:$L$27,2,FALSE()))</f>
        <v>0</v>
      </c>
      <c r="AW5" s="450">
        <f>IF(クリーチャー_3!V12="－","0",VLOOKUP(クリーチャー_3!V12,$J$15:$L$27,3,FALSE()))+IF(クリーチャー_3!W12="－","0",VLOOKUP(クリーチャー_3!W12,$J$15:$L$27,3,FALSE()))+IF(クリーチャー_3!X12="－","0",VLOOKUP(クリーチャー_3!X12,$J$15:$L$27,3,FALSE()))+IF(クリーチャー_3!V13="－","0",VLOOKUP(クリーチャー_3!V13,$J$15:$L$27,3,FALSE()))+IF(クリーチャー_3!W13="－","0",VLOOKUP(クリーチャー_3!W13,$J$15:$L$27,3,FALSE()))+IF(クリーチャー_3!X13="－","0",VLOOKUP(クリーチャー_3!X13,$J$15:$L$27,3,FALSE()))</f>
        <v>0</v>
      </c>
      <c r="AX5" s="450"/>
      <c r="AY5" s="447"/>
      <c r="AZ5" s="447"/>
    </row>
    <row r="6" spans="2:52" ht="15" thickTop="1" x14ac:dyDescent="0.15">
      <c r="B6" s="446" t="s">
        <v>743</v>
      </c>
      <c r="C6" s="450" cm="1">
        <f t="array" ref="C6">_xlfn.IFS(COUNTIF(応用技!E12:G13,"創造")&gt;=1,SUM(C3:C5)+1&amp;"～"&amp;SUM(C3:C5)+10,
COUNTIF(応用技!E12:G13,"限定*")&gt;=1,"※",
COUNTIF(応用技!E12:G13,"影響無効")&gt;=1,"※",TRUE(),SUM(C3:C5))</f>
        <v>0</v>
      </c>
      <c r="D6" s="450">
        <f>SUM(D3:D5)</f>
        <v>0</v>
      </c>
      <c r="E6" s="450">
        <f>SUM(E3:E5)</f>
        <v>0</v>
      </c>
      <c r="F6" s="447"/>
      <c r="G6" s="447"/>
      <c r="I6" s="451"/>
      <c r="J6" s="460" t="s">
        <v>29</v>
      </c>
      <c r="K6" s="461">
        <v>1</v>
      </c>
      <c r="L6" s="462">
        <v>1</v>
      </c>
      <c r="M6" s="449"/>
      <c r="N6" s="463" t="s">
        <v>30</v>
      </c>
      <c r="O6" s="464">
        <v>0</v>
      </c>
      <c r="P6" s="464">
        <v>1</v>
      </c>
      <c r="Q6" s="464"/>
      <c r="R6" s="465" t="s">
        <v>744</v>
      </c>
      <c r="S6" s="449"/>
      <c r="U6" s="451"/>
      <c r="V6" s="460" t="s">
        <v>29</v>
      </c>
      <c r="W6" s="461">
        <v>1</v>
      </c>
      <c r="X6" s="462">
        <v>1</v>
      </c>
      <c r="Y6" s="449"/>
      <c r="Z6" s="463" t="s">
        <v>30</v>
      </c>
      <c r="AA6" s="464">
        <v>0</v>
      </c>
      <c r="AB6" s="464">
        <v>1</v>
      </c>
      <c r="AC6" s="464"/>
      <c r="AD6" s="465" t="s">
        <v>744</v>
      </c>
      <c r="AE6" s="449"/>
      <c r="AG6" s="446" t="s">
        <v>743</v>
      </c>
      <c r="AH6" s="450">
        <f t="array" ref="AH6">_xlfn.IFS(COUNTIF(クリーチャー!S12:U13,"創造")&gt;=1,SUM(AH3:AH5)+1&amp;"～"&amp;SUM(AH3:AH5)+10,COUNTIF(クリーチャー!S12:U13,"限定*")&gt;=1,"※",COUNTIF(クリーチャー!S12:U13,"影響無効")&gt;=1,"※",TRUE(),SUM(AH3:AH5))</f>
        <v>0</v>
      </c>
      <c r="AI6" s="450">
        <f>SUM(AI3:AI5)</f>
        <v>0</v>
      </c>
      <c r="AJ6" s="450">
        <f>SUM(AJ3:AJ5)</f>
        <v>0</v>
      </c>
      <c r="AK6" s="447"/>
      <c r="AL6" s="447"/>
      <c r="AM6" s="444"/>
      <c r="AN6" s="446" t="s">
        <v>743</v>
      </c>
      <c r="AO6" s="450">
        <f t="array" ref="AO6">_xlfn.IFS(COUNTIF(クリーチャー_2!S12:U13,"創造")&gt;=1,SUM(AO3:AO5)+1&amp;"～"&amp;SUM(AO3:AO5)+10,COUNTIF(クリーチャー_2!S12:U13,"限定*")&gt;=1,"※",COUNTIF(クリーチャー_2!S12:U13,"影響無効")&gt;=1,"※",TRUE(),SUM(AO3:AO5))</f>
        <v>0</v>
      </c>
      <c r="AP6" s="450">
        <f>SUM(AP3:AP5)</f>
        <v>0</v>
      </c>
      <c r="AQ6" s="450">
        <f>SUM(AQ3:AQ5)</f>
        <v>0</v>
      </c>
      <c r="AR6" s="447"/>
      <c r="AS6" s="447"/>
      <c r="AT6" s="444"/>
      <c r="AU6" s="446" t="s">
        <v>743</v>
      </c>
      <c r="AV6" s="450">
        <f t="array" ref="AV6">_xlfn.IFS(COUNTIF(クリーチャー_3!S12:U13,"創造")&gt;=1,SUM(AV3:AV5)+1&amp;"～"&amp;SUM(AV3:AV5)+10,COUNTIF(クリーチャー_3!S12:U13,"限定*")&gt;=1,"※",COUNTIF(クリーチャー_3!S12:U13,"影響無効")&gt;=1,"※",TRUE(),SUM(AV3:AV5))</f>
        <v>0</v>
      </c>
      <c r="AW6" s="450">
        <f>SUM(AW3:AW5)</f>
        <v>0</v>
      </c>
      <c r="AX6" s="450">
        <f>SUM(AX3:AX5)</f>
        <v>0</v>
      </c>
      <c r="AY6" s="447"/>
      <c r="AZ6" s="447"/>
    </row>
    <row r="7" spans="2:52" x14ac:dyDescent="0.15">
      <c r="I7" s="451"/>
      <c r="J7" s="463" t="s">
        <v>49</v>
      </c>
      <c r="K7" s="464">
        <v>1</v>
      </c>
      <c r="L7" s="465">
        <v>0</v>
      </c>
      <c r="M7" s="449"/>
      <c r="N7" s="463" t="s">
        <v>50</v>
      </c>
      <c r="O7" s="464">
        <v>0</v>
      </c>
      <c r="P7" s="464">
        <v>1</v>
      </c>
      <c r="Q7" s="464"/>
      <c r="R7" s="465" t="s">
        <v>744</v>
      </c>
      <c r="S7" s="449"/>
      <c r="U7" s="451"/>
      <c r="V7" s="463" t="s">
        <v>49</v>
      </c>
      <c r="W7" s="464">
        <v>1</v>
      </c>
      <c r="X7" s="465">
        <v>0</v>
      </c>
      <c r="Y7" s="449"/>
      <c r="Z7" s="463" t="s">
        <v>50</v>
      </c>
      <c r="AA7" s="464">
        <v>0</v>
      </c>
      <c r="AB7" s="464">
        <v>1</v>
      </c>
      <c r="AC7" s="464"/>
      <c r="AD7" s="465" t="s">
        <v>744</v>
      </c>
      <c r="AE7" s="449"/>
      <c r="AI7" s="444"/>
      <c r="AJ7" s="444"/>
      <c r="AK7" s="444"/>
      <c r="AL7" s="444"/>
      <c r="AM7" s="444"/>
      <c r="AN7" s="444"/>
      <c r="AO7" s="444"/>
      <c r="AP7" s="444"/>
      <c r="AQ7" s="444"/>
      <c r="AS7" s="444"/>
      <c r="AT7" s="444"/>
      <c r="AU7" s="444"/>
      <c r="AV7" s="444"/>
    </row>
    <row r="8" spans="2:52" x14ac:dyDescent="0.15">
      <c r="B8" s="445" t="s">
        <v>745</v>
      </c>
      <c r="C8" s="446" t="s">
        <v>623</v>
      </c>
      <c r="D8" s="446" t="s">
        <v>449</v>
      </c>
      <c r="E8" s="446" t="s">
        <v>735</v>
      </c>
      <c r="F8" s="447" t="s">
        <v>736</v>
      </c>
      <c r="G8" s="446" t="s">
        <v>737</v>
      </c>
      <c r="I8" s="451"/>
      <c r="J8" s="463" t="s">
        <v>67</v>
      </c>
      <c r="K8" s="464">
        <v>0</v>
      </c>
      <c r="L8" s="465">
        <v>1</v>
      </c>
      <c r="M8" s="449"/>
      <c r="N8" s="463" t="s">
        <v>68</v>
      </c>
      <c r="O8" s="464">
        <v>0</v>
      </c>
      <c r="P8" s="464">
        <v>1</v>
      </c>
      <c r="Q8" s="464"/>
      <c r="R8" s="465" t="s">
        <v>744</v>
      </c>
      <c r="S8" s="449"/>
      <c r="U8" s="451"/>
      <c r="V8" s="463" t="s">
        <v>67</v>
      </c>
      <c r="W8" s="464">
        <v>0</v>
      </c>
      <c r="X8" s="465">
        <v>1</v>
      </c>
      <c r="Y8" s="449"/>
      <c r="Z8" s="463" t="s">
        <v>68</v>
      </c>
      <c r="AA8" s="464">
        <v>0</v>
      </c>
      <c r="AB8" s="464">
        <v>1</v>
      </c>
      <c r="AC8" s="464"/>
      <c r="AD8" s="465" t="s">
        <v>744</v>
      </c>
      <c r="AE8" s="449"/>
      <c r="AG8" s="445" t="s">
        <v>745</v>
      </c>
      <c r="AH8" s="446" t="s">
        <v>623</v>
      </c>
      <c r="AI8" s="446" t="s">
        <v>449</v>
      </c>
      <c r="AJ8" s="446" t="s">
        <v>735</v>
      </c>
      <c r="AK8" s="447" t="s">
        <v>736</v>
      </c>
      <c r="AL8" s="446" t="s">
        <v>737</v>
      </c>
      <c r="AM8" s="444"/>
      <c r="AN8" s="445" t="s">
        <v>745</v>
      </c>
      <c r="AO8" s="446" t="s">
        <v>623</v>
      </c>
      <c r="AP8" s="446" t="s">
        <v>449</v>
      </c>
      <c r="AQ8" s="446" t="s">
        <v>735</v>
      </c>
      <c r="AR8" s="447" t="s">
        <v>736</v>
      </c>
      <c r="AS8" s="446" t="s">
        <v>737</v>
      </c>
      <c r="AT8" s="444"/>
      <c r="AU8" s="445" t="s">
        <v>745</v>
      </c>
      <c r="AV8" s="446" t="s">
        <v>623</v>
      </c>
      <c r="AW8" s="446" t="s">
        <v>449</v>
      </c>
      <c r="AX8" s="446" t="s">
        <v>735</v>
      </c>
      <c r="AY8" s="447" t="s">
        <v>736</v>
      </c>
      <c r="AZ8" s="446" t="s">
        <v>737</v>
      </c>
    </row>
    <row r="9" spans="2:52" x14ac:dyDescent="0.15">
      <c r="B9" s="446" t="s">
        <v>9</v>
      </c>
      <c r="C9" s="450">
        <f>IF(応用技!B12="－","0",VLOOKUP(応用技!B12,計算用!$V$6:$X$11,2,FALSE()))
+IF(応用技!C12="－","0",VLOOKUP(応用技!C12,計算用!$V$6:$X$11,2,FALSE()))
+IF(応用技!D12="－","0",VLOOKUP(応用技!D12,計算用!$V$6:$X$11,2,FALSE()))
+COUNTIF(応用技!B12:D12,"防御発動")^2</f>
        <v>0</v>
      </c>
      <c r="D9" s="450">
        <f>IF(応用技!B12="－","0",VLOOKUP(応用技!B12,$J$6:$L$11,3,FALSE()))
+IF(応用技!C12="－","0",VLOOKUP(応用技!C12,$J$6:$L$11,3,FALSE()))
+IF(応用技!D12="－","0",VLOOKUP(応用技!D12,$J$6:$L$11,3,FALSE()))</f>
        <v>0</v>
      </c>
      <c r="E9" s="425"/>
      <c r="F9" s="447"/>
      <c r="G9" s="447"/>
      <c r="I9" s="451"/>
      <c r="J9" s="463" t="s">
        <v>84</v>
      </c>
      <c r="K9" s="464">
        <v>0</v>
      </c>
      <c r="L9" s="465">
        <v>1</v>
      </c>
      <c r="M9" s="449"/>
      <c r="N9" s="463" t="s">
        <v>85</v>
      </c>
      <c r="O9" s="464">
        <v>0</v>
      </c>
      <c r="P9" s="464">
        <v>1</v>
      </c>
      <c r="Q9" s="464"/>
      <c r="R9" s="465" t="s">
        <v>744</v>
      </c>
      <c r="S9" s="449"/>
      <c r="U9" s="451"/>
      <c r="V9" s="463" t="s">
        <v>84</v>
      </c>
      <c r="W9" s="464">
        <v>0</v>
      </c>
      <c r="X9" s="465">
        <v>1</v>
      </c>
      <c r="Y9" s="449"/>
      <c r="Z9" s="463" t="s">
        <v>85</v>
      </c>
      <c r="AA9" s="464">
        <v>0</v>
      </c>
      <c r="AB9" s="464">
        <v>1</v>
      </c>
      <c r="AC9" s="464"/>
      <c r="AD9" s="465" t="s">
        <v>744</v>
      </c>
      <c r="AE9" s="449"/>
      <c r="AG9" s="446" t="s">
        <v>9</v>
      </c>
      <c r="AH9" s="450">
        <f>IF(クリーチャー!P12="－","0",VLOOKUP(クリーチャー!P12,計算用!$V$6:$X$11,2,FALSE()))+IF(クリーチャー!Q12="－","0",VLOOKUP(クリーチャー!Q12,計算用!$V$6:$X$11,2,FALSE()))+IF(クリーチャー!R12="－","0",VLOOKUP(クリーチャー!R12,計算用!$V$6:$X$11,2,FALSE()))+COUNTIF(クリーチャー!P12:R12,"防御発動")^2</f>
        <v>0</v>
      </c>
      <c r="AI9" s="450">
        <f>IF(クリーチャー!P12="－","0",VLOOKUP(クリーチャー!P12,$J$6:$L$11,3,FALSE()))+IF(クリーチャー!Q12="－","0",VLOOKUP(クリーチャー!Q12,$J$6:$L$11,3,FALSE()))+IF(クリーチャー!R12="－","0",VLOOKUP(クリーチャー!R12,$J$6:$L$11,3,FALSE()))</f>
        <v>0</v>
      </c>
      <c r="AJ9" s="425"/>
      <c r="AK9" s="447"/>
      <c r="AL9" s="447"/>
      <c r="AM9" s="444"/>
      <c r="AN9" s="446" t="s">
        <v>9</v>
      </c>
      <c r="AO9" s="450">
        <f>IF(クリーチャー_2!P12="－","0",VLOOKUP(クリーチャー_2!P12,計算用!$V$6:$X$11,2,FALSE()))+IF(クリーチャー_2!Q12="－","0",VLOOKUP(クリーチャー_2!Q12,計算用!$V$6:$X$11,2,FALSE()))+IF(クリーチャー_2!R12="－","0",VLOOKUP(クリーチャー_2!R12,計算用!$V$6:$X$11,2,FALSE()))</f>
        <v>0</v>
      </c>
      <c r="AP9" s="450">
        <f>IF(クリーチャー_2!P12="－","0",VLOOKUP(クリーチャー_2!P12,$J$6:$L$11,3,FALSE()))+IF(クリーチャー_2!Q12="－","0",VLOOKUP(クリーチャー_2!Q12,$J$6:$L$11,3,FALSE()))+IF(クリーチャー_2!R12="－","0",VLOOKUP(クリーチャー_2!R12,$J$6:$L$11,3,FALSE()))</f>
        <v>0</v>
      </c>
      <c r="AQ9" s="425"/>
      <c r="AR9" s="447"/>
      <c r="AS9" s="447"/>
      <c r="AT9" s="444"/>
      <c r="AU9" s="446" t="s">
        <v>9</v>
      </c>
      <c r="AV9" s="450">
        <f>IF(クリーチャー_3!P12="－","0",VLOOKUP(クリーチャー_3!P12,計算用!$V$6:$X$11,2,FALSE()))+IF(クリーチャー_3!Q12="－","0",VLOOKUP(クリーチャー_3!Q12,計算用!$V$6:$X$11,2,FALSE()))+IF(クリーチャー_3!R12="－","0",VLOOKUP(クリーチャー_3!R12,計算用!$V$6:$X$11,2,FALSE()))+COUNTIF(クリーチャー_3!P12:R12,"防御発動")^2</f>
        <v>0</v>
      </c>
      <c r="AW9" s="450">
        <f>IF(クリーチャー_3!P12="－","0",VLOOKUP(クリーチャー_3!P12,$J$6:$L$11,3,FALSE()))+IF(クリーチャー_3!Q12="－","0",VLOOKUP(クリーチャー_3!Q12,$J$6:$L$11,3,FALSE()))+IF(クリーチャー_3!R12="－","0",VLOOKUP(クリーチャー_3!R12,$J$6:$L$11,3,FALSE()))</f>
        <v>0</v>
      </c>
      <c r="AX9" s="425"/>
      <c r="AY9" s="447"/>
      <c r="AZ9" s="447"/>
    </row>
    <row r="10" spans="2:52" x14ac:dyDescent="0.15">
      <c r="B10" s="446" t="s">
        <v>10</v>
      </c>
      <c r="C10" s="450" cm="1">
        <f t="array" ref="C10">IF(応用技!E12="－","0",VLOOKUP(応用技!E12,$Z$6:$AD$57,2,FALSE()))
+IF(応用技!F12="－","0",VLOOKUP(応用技!F12,$Z$6:$AD$57,2,FALSE()))
+IF(応用技!G12="－","0",VLOOKUP(応用技!G12,$Z$6:$AD$57,2,FALSE()))
+IF(応用技!E13="－","0",VLOOKUP(応用技!E13,$Z$6:$AD$57,2,FALSE()))
+IF(応用技!F13="－","0",VLOOKUP(応用技!F13,$Z$6:$AD$57,2,FALSE()))
+IF(応用技!G13="－","0",VLOOKUP(応用技!G13,$Z$6:$AD$57,2,FALSE()))
+_xlfn.IFS(F10&gt;=2,1+2*(F10-1),F10=1,1,F10=0,0)+_xlfn.IFS(G10&gt;=2,1+2*(G10-1),G10=1,1,G10=0,0)</f>
        <v>0</v>
      </c>
      <c r="D10" s="450">
        <f>IF(応用技!E12="－","0",VLOOKUP(応用技!E12,$Z$6:$AD$57,3,FALSE()))
+IF(応用技!F12="－","0",VLOOKUP(応用技!F12,$Z$6:$AD$57,3,FALSE()))
+IF(応用技!G12="－","0",VLOOKUP(応用技!G12,$Z$6:$AD$57,3,FALSE()))
+IF(応用技!E13="－","0",VLOOKUP(応用技!E13,$Z$6:$AD$57,3,FALSE()))
+IF(応用技!F13="－","0",VLOOKUP(応用技!F13,$Z$6:$AD$57,3,FALSE()))
+IF(応用技!G13="－","0",VLOOKUP(応用技!G13,$Z$6:$AD$57,3,FALSE()))</f>
        <v>0</v>
      </c>
      <c r="E10" s="450">
        <f>IF(応用技!E12="－","0",VLOOKUP(応用技!E12,$Z$6:$AD$57,4,FALSE()))
+IF(応用技!F12="－","0",VLOOKUP(応用技!F12,$Z$6:$AD$57,4,FALSE()))
+IF(応用技!G12="－","0",VLOOKUP(応用技!G12,$Z$6:$AD$57,4,FALSE()))
+IF(応用技!E13="－","0",VLOOKUP(応用技!E13,$Z$6:$AD$57,4,FALSE()))
+IF(応用技!F13="－","0",VLOOKUP(応用技!F13,$Z$6:$AD$57,4,FALSE()))
+IF(応用技!G13="－","0",VLOOKUP(応用技!G13,$Z$6:$AD$57,4,FALSE()))</f>
        <v>0</v>
      </c>
      <c r="F10" s="447">
        <f>COUNTIFS(応用技!E12:G13,"強化*")</f>
        <v>0</v>
      </c>
      <c r="G10" s="447">
        <f>COUNTIFS(応用技!E12:G13,"減衰*")</f>
        <v>0</v>
      </c>
      <c r="I10" s="451"/>
      <c r="J10" s="463" t="s">
        <v>40</v>
      </c>
      <c r="K10" s="464">
        <v>1</v>
      </c>
      <c r="L10" s="465">
        <v>1</v>
      </c>
      <c r="M10" s="449"/>
      <c r="N10" s="463" t="s">
        <v>99</v>
      </c>
      <c r="O10" s="464">
        <v>0</v>
      </c>
      <c r="P10" s="464">
        <v>1</v>
      </c>
      <c r="Q10" s="464"/>
      <c r="R10" s="465" t="s">
        <v>744</v>
      </c>
      <c r="S10" s="449"/>
      <c r="U10" s="451"/>
      <c r="V10" s="463" t="s">
        <v>40</v>
      </c>
      <c r="W10" s="464">
        <v>1</v>
      </c>
      <c r="X10" s="465">
        <v>1</v>
      </c>
      <c r="Y10" s="449"/>
      <c r="Z10" s="463" t="s">
        <v>99</v>
      </c>
      <c r="AA10" s="464">
        <v>0</v>
      </c>
      <c r="AB10" s="464">
        <v>1</v>
      </c>
      <c r="AC10" s="464"/>
      <c r="AD10" s="465" t="s">
        <v>744</v>
      </c>
      <c r="AE10" s="449"/>
      <c r="AG10" s="446" t="s">
        <v>10</v>
      </c>
      <c r="AH10" s="450" cm="1">
        <f t="array" ref="AH10">IF(クリーチャー!S12="－","0",VLOOKUP(クリーチャー!S12,$Z$6:$AD$57,2,FALSE()))+IF(クリーチャー!T12="－","0",VLOOKUP(クリーチャー!T12,Z6:$AD$57,2,FALSE()))+IF(クリーチャー!U12="－","0",VLOOKUP(クリーチャー!U12,$Z$6:$AD$57,2,FALSE()))+IF(クリーチャー!S13="－","0",VLOOKUP(クリーチャー!S13,$Z$6:$AD$57,2,FALSE()))+IF(クリーチャー!T13="－","0",VLOOKUP(クリーチャー!T13,$Z$6:$AD$57,2,FALSE()))+IF(クリーチャー!U13="－","0",VLOOKUP(クリーチャー!U13,$Z$6:$AD$57,2,FALSE()))+_xlfn.IFS(AK10&gt;=2,1+2*(AK10-1),AK10=1,1,AK10=0,0)+_xlfn.IFS(AL10&gt;=2,1+2*(AL10-1),AL10=1,1,AL10=0,0)</f>
        <v>0</v>
      </c>
      <c r="AI10" s="450">
        <f>IF(クリーチャー!S12="－","0",VLOOKUP(クリーチャー!S12,$Z$6:$AD$57,3,FALSE()))+IF(クリーチャー!T12="－","0",VLOOKUP(クリーチャー!T12,$Z$6:$AD$57,3,FALSE()))+IF(クリーチャー!U12="－","0",VLOOKUP(クリーチャー!U12,$Z$6:$AD$57,3,FALSE()))+IF(クリーチャー!S13="－","0",VLOOKUP(クリーチャー!S13,$Z$6:$AD$57,3,FALSE()))+IF(クリーチャー!T13="－","0",VLOOKUP(クリーチャー!T13,$Z$6:$AD$57,3,FALSE()))+IF(クリーチャー!U13="－","0",VLOOKUP(クリーチャー!U13,$Z$6:$AD$57,3,FALSE()))</f>
        <v>0</v>
      </c>
      <c r="AJ10" s="450">
        <f>IF(クリーチャー!S12="－","0",VLOOKUP(クリーチャー!S12,$Z$6:$AD$57,4,FALSE()))
+IF(クリーチャー!T12="－","0",VLOOKUP(クリーチャー!T12,$Z$6:$AD$57,4,FALSE()))
+IF(クリーチャー!U12="－","0",VLOOKUP(クリーチャー!U12,$Z$6:$AD$57,4,FALSE()))
+IF(クリーチャー!S13="－","0",VLOOKUP(クリーチャー!S13,$Z$6:$AD$57,4,FALSE()))
+IF(クリーチャー!T13="－","0",VLOOKUP(クリーチャー!T13,$Z$6:$AD$57,4,FALSE()))
+IF(クリーチャー!U13="－","0",VLOOKUP(クリーチャー!U13,$Z$6:$AD$57,4,FALSE()))</f>
        <v>0</v>
      </c>
      <c r="AK10" s="447">
        <f>COUNTIFS(クリーチャー!S12:U13,"強化*")</f>
        <v>0</v>
      </c>
      <c r="AL10" s="447">
        <f>COUNTIFS(クリーチャー!S12:U13,"減衰*")</f>
        <v>0</v>
      </c>
      <c r="AM10" s="444"/>
      <c r="AN10" s="446" t="s">
        <v>10</v>
      </c>
      <c r="AO10" s="450" cm="1">
        <f t="array" ref="AO10">IF(クリーチャー_2!S12="－","0",VLOOKUP(クリーチャー_2!S12,$Z$6:$AD$57,2,FALSE()))+IF(クリーチャー_2!T12="－","0",VLOOKUP(クリーチャー_2!T12,Z6:$AD$57,2,FALSE()))+IF(クリーチャー_2!U12="－","0",VLOOKUP(クリーチャー_2!U12,$Z$6:$AD$57,2,FALSE()))+IF(クリーチャー_2!S13="－","0",VLOOKUP(クリーチャー_2!S13,$Z$6:$AD$57,2,FALSE()))+IF(クリーチャー_2!T13="－","0",VLOOKUP(クリーチャー_2!T13,$Z$6:$AD$57,2,FALSE()))+IF(クリーチャー_2!U13="－","0",VLOOKUP(クリーチャー_2!U13,$Z$6:$AD$57,2,FALSE()))+_xlfn.IFS(AR10&gt;=2,1+2*(AR10-1),AR10=1,1,AR10=0,0)+_xlfn.IFS(AS10&gt;=2,1+2*(AS10-1),AS10=1,1,AS10=0,0)</f>
        <v>0</v>
      </c>
      <c r="AP10" s="450">
        <f>IF(クリーチャー_2!S12="－","0",VLOOKUP(クリーチャー_2!S12,$Z$6:$AD$57,3,FALSE()))+IF(クリーチャー_2!T12="－","0",VLOOKUP(クリーチャー_2!T12,$Z$6:$AD$57,3,FALSE()))+IF(クリーチャー_2!U12="－","0",VLOOKUP(クリーチャー_2!U12,$Z$6:$AD$57,3,FALSE()))+IF(クリーチャー_2!S13="－","0",VLOOKUP(クリーチャー_2!S13,$Z$6:$AD$57,3,FALSE()))+IF(クリーチャー_2!T13="－","0",VLOOKUP(クリーチャー_2!T13,$Z$6:$AD$57,3,FALSE()))+IF(クリーチャー_2!U13="－","0",VLOOKUP(クリーチャー_2!U13,$Z$6:$AD$57,3,FALSE()))</f>
        <v>0</v>
      </c>
      <c r="AQ10" s="450">
        <f>IF(クリーチャー_2!S12="－","0",VLOOKUP(クリーチャー_2!S12,$Z$6:$AD$57,4,FALSE()))+IF(クリーチャー_2!T12="－","0",VLOOKUP(クリーチャー_2!T12,$Z$6:$AD$57,4,FALSE()))+IF(クリーチャー_2!U12="－","0",VLOOKUP(クリーチャー_2!U12,$Z$6:$AD$57,4,FALSE()))+IF(クリーチャー_2!S13="－","0",VLOOKUP(クリーチャー_2!S13,$Z$6:$AD$57,4,FALSE()))+IF(クリーチャー_2!T13="－","0",VLOOKUP(クリーチャー_2!T13,$Z$6:$AD$57,4,FALSE()))+IF(クリーチャー_2!U13="－","0",VLOOKUP(クリーチャー_2!U13,$Z$6:$AD$57,4,FALSE()))</f>
        <v>0</v>
      </c>
      <c r="AR10" s="447">
        <f>COUNTIFS(クリーチャー_2!S12:U13,"強化*")</f>
        <v>0</v>
      </c>
      <c r="AS10" s="447">
        <f>COUNTIFS(クリーチャー_2!S12:U13,"減衰*")</f>
        <v>0</v>
      </c>
      <c r="AT10" s="444"/>
      <c r="AU10" s="446" t="s">
        <v>10</v>
      </c>
      <c r="AV10" s="450" cm="1">
        <f t="array" ref="AV10">IF(クリーチャー_3!S12="－","0",VLOOKUP(クリーチャー_3!S12,$Z$6:$AD$57,2,FALSE()))+IF(クリーチャー_3!T12="－","0",VLOOKUP(クリーチャー_3!T12,Z6:$AD$57,2,FALSE()))+IF(クリーチャー_3!U12="－","0",VLOOKUP(クリーチャー_3!U12,$Z$6:$AD$57,2,FALSE()))+IF(クリーチャー_3!S13="－","0",VLOOKUP(クリーチャー_3!S13,$Z$6:$AD$57,2,FALSE()))+IF(クリーチャー_3!T13="－","0",VLOOKUP(クリーチャー_3!T13,$Z$6:$AD$57,2,FALSE()))+IF(クリーチャー_3!U13="－","0",VLOOKUP(クリーチャー_3!U13,$Z$6:$AD$57,2,FALSE()))+_xlfn.IFS(AY10&gt;=2,1+2*(AY10-1),AY10=1,1,AY10=0,0)+_xlfn.IFS(AZ10&gt;=2,1+2*(AZ10-1),AZ10=1,1,AZ10=0,0)</f>
        <v>0</v>
      </c>
      <c r="AW10" s="450">
        <f>IF(クリーチャー_3!S12="－","0",VLOOKUP(クリーチャー_3!S12,$Z$6:$AD$57,3,FALSE()))+IF(クリーチャー_3!T12="－","0",VLOOKUP(クリーチャー_3!T12,$Z$6:$AD$57,3,FALSE()))+IF(クリーチャー_3!U12="－","0",VLOOKUP(クリーチャー_3!U12,$Z$6:$AD$57,3,FALSE()))+IF(クリーチャー_3!S13="－","0",VLOOKUP(クリーチャー_3!S13,$Z$6:$AD$57,3,FALSE()))+IF(クリーチャー_3!T13="－","0",VLOOKUP(クリーチャー_3!T13,$Z$6:$AD$57,3,FALSE()))+IF(クリーチャー_3!U13="－","0",VLOOKUP(クリーチャー_3!U13,$Z$6:$AD$57,3,FALSE()))</f>
        <v>0</v>
      </c>
      <c r="AX10" s="450">
        <f>IF(クリーチャー_3!S12="－","0",VLOOKUP(クリーチャー_3!S12,$Z$6:$AD$57,4,FALSE()))+IF(クリーチャー_3!T12="－","0",VLOOKUP(クリーチャー_3!T12,$Z$6:$AD$57,4,FALSE()))+IF(クリーチャー_3!U12="－","0",VLOOKUP(クリーチャー_3!U12,$Z$6:$AD$57,4,FALSE()))+IF(クリーチャー_3!S13="－","0",VLOOKUP(クリーチャー_3!S13,$Z$6:$AD$57,4,FALSE()))+IF(クリーチャー_3!T13="－","0",VLOOKUP(クリーチャー_3!T13,$Z$6:$AD$57,4,FALSE()))+IF(クリーチャー_3!U13="－","0",VLOOKUP(クリーチャー_3!U13,$Z$6:$AD$57,4,FALSE()))</f>
        <v>0</v>
      </c>
      <c r="AY10" s="447">
        <f>COUNTIFS(クリーチャー_3!S12:U13,"強化*")</f>
        <v>0</v>
      </c>
      <c r="AZ10" s="447">
        <f>COUNTIFS(クリーチャー_3!S12:U13,"減衰*")</f>
        <v>0</v>
      </c>
    </row>
    <row r="11" spans="2:52" ht="15" thickBot="1" x14ac:dyDescent="0.2">
      <c r="B11" s="446" t="s">
        <v>740</v>
      </c>
      <c r="C11" s="450">
        <f>IF(応用技!H12="－","0",VLOOKUP(応用技!H12,$V$15:$X$28,2,FALSE()))
+IF(応用技!I12="－","0",VLOOKUP(応用技!I12,$V$15:$X$28,2,FALSE()))
+IF(応用技!J12="－","0",VLOOKUP(応用技!J12,$V$15:$X$28,2,FALSE()))
+IF(応用技!H13="－","0",VLOOKUP(応用技!H13,$V$15:$X$28,2,FALSE()))
+IF(応用技!I13="－","0",VLOOKUP(応用技!I13,$V$15:$X$28,2,FALSE()))
+IF(応用技!J13="－","0",VLOOKUP(応用技!J13,$V$15:$X$28,2,FALSE()))</f>
        <v>0</v>
      </c>
      <c r="D11" s="450">
        <f>IF(応用技!H12="－","0",VLOOKUP(応用技!H12,$V$15:$X$28,3,FALSE()))
+IF(応用技!I12="－","0",VLOOKUP(応用技!I12,$V$15:$X$28,3,FALSE()))
+IF(応用技!J12="－","0",VLOOKUP(応用技!J12,$V$15:$X$28,3,FALSE()))
+IF(応用技!H13="－","0",VLOOKUP(応用技!H13,$V$15:$X$28,3,FALSE()))
+IF(応用技!I13="－","0",VLOOKUP(応用技!I13,$V$15:$X$28,3,FALSE()))
+IF(応用技!J13="－","0",VLOOKUP(応用技!J13,$V$15:$X$28,3,FALSE()))</f>
        <v>0</v>
      </c>
      <c r="E11" s="450"/>
      <c r="F11" s="447"/>
      <c r="G11" s="447"/>
      <c r="I11" s="451"/>
      <c r="J11" s="466" t="s">
        <v>112</v>
      </c>
      <c r="K11" s="467">
        <v>1</v>
      </c>
      <c r="L11" s="468">
        <v>0</v>
      </c>
      <c r="M11" s="449"/>
      <c r="N11" s="463" t="s">
        <v>113</v>
      </c>
      <c r="O11" s="464">
        <v>0</v>
      </c>
      <c r="P11" s="464">
        <v>1</v>
      </c>
      <c r="Q11" s="464"/>
      <c r="R11" s="465" t="s">
        <v>744</v>
      </c>
      <c r="S11" s="449"/>
      <c r="U11" s="451"/>
      <c r="V11" s="466" t="s">
        <v>112</v>
      </c>
      <c r="W11" s="467">
        <v>1</v>
      </c>
      <c r="X11" s="468">
        <v>0</v>
      </c>
      <c r="Y11" s="449"/>
      <c r="Z11" s="463" t="s">
        <v>113</v>
      </c>
      <c r="AA11" s="464">
        <v>0</v>
      </c>
      <c r="AB11" s="464">
        <v>1</v>
      </c>
      <c r="AC11" s="464"/>
      <c r="AD11" s="465" t="s">
        <v>744</v>
      </c>
      <c r="AE11" s="449"/>
      <c r="AG11" s="446" t="s">
        <v>740</v>
      </c>
      <c r="AH11" s="450">
        <f>IF(クリーチャー!V12="－","0",VLOOKUP(クリーチャー!V12,$V$15:$X$28,2,FALSE()))+IF(クリーチャー!W12="－","0",VLOOKUP(クリーチャー!W12,$V$15:$X$28,2,FALSE()))+IF(クリーチャー!X12="－","0",VLOOKUP(クリーチャー!X12,$V$15:$X$28,2,FALSE()))+IF(クリーチャー!V13="－","0",VLOOKUP(クリーチャー!V13,$V$15:$X$28,2,FALSE()))+IF(クリーチャー!W13="－","0",VLOOKUP(クリーチャー!W13,$V$15:$X$28,2,FALSE()))+IF(クリーチャー!X13="－","0",VLOOKUP(クリーチャー!X13,$V$15:$X$28,2,FALSE()))</f>
        <v>0</v>
      </c>
      <c r="AI11" s="450">
        <f>IF(クリーチャー!V12="－","0",VLOOKUP(クリーチャー!V12,$V$15:$X$28,3,FALSE()))+IF(クリーチャー!W12="－","0",VLOOKUP(クリーチャー!W12,$V$15:$X$28,3,FALSE()))+IF(クリーチャー!X12="－","0",VLOOKUP(クリーチャー!X12,$V$15:$X$28,3,FALSE()))+IF(クリーチャー!V13="－","0",VLOOKUP(クリーチャー!V13,$V$15:$X$28,3,FALSE()))+IF(クリーチャー!W13="－","0",VLOOKUP(クリーチャー!W13,$V$15:$X$28,3,FALSE()))+IF(クリーチャー!X13="－","0",VLOOKUP(クリーチャー!X13,$V$15:$X$28,3,FALSE()))</f>
        <v>0</v>
      </c>
      <c r="AJ11" s="450"/>
      <c r="AK11" s="447"/>
      <c r="AL11" s="447"/>
      <c r="AM11" s="444"/>
      <c r="AN11" s="446" t="s">
        <v>740</v>
      </c>
      <c r="AO11" s="450">
        <f>IF(クリーチャー_2!V12="－","0",VLOOKUP(クリーチャー_2!V12,$V$15:$X$28,2,FALSE()))+IF(クリーチャー_2!W12="－","0",VLOOKUP(クリーチャー_2!W12,$V$15:$X$28,2,FALSE()))+IF(クリーチャー_2!X12="－","0",VLOOKUP(クリーチャー_2!X12,$V$15:$X$28,2,FALSE()))+IF(クリーチャー_2!V13="－","0",VLOOKUP(クリーチャー_2!V13,$V$15:$X$28,2,FALSE()))+IF(クリーチャー_2!W13="－","0",VLOOKUP(クリーチャー_2!W13,$V$15:$X$28,2,FALSE()))+IF(クリーチャー_2!X13="－","0",VLOOKUP(クリーチャー_2!X13,$V$15:$X$28,2,FALSE()))</f>
        <v>0</v>
      </c>
      <c r="AP11" s="450">
        <f>IF(クリーチャー_2!V12="－","0",VLOOKUP(クリーチャー_2!V12,$V$15:$X$28,3,FALSE()))+IF(クリーチャー_2!W12="－","0",VLOOKUP(クリーチャー_2!W12,$V$15:$X$28,3,FALSE()))+IF(クリーチャー_2!X12="－","0",VLOOKUP(クリーチャー_2!X12,$V$15:$X$28,3,FALSE()))+IF(クリーチャー_2!V13="－","0",VLOOKUP(クリーチャー_2!V13,$V$15:$X$28,3,FALSE()))+IF(クリーチャー_2!W13="－","0",VLOOKUP(クリーチャー_2!W13,$V$15:$X$28,3,FALSE()))+IF(クリーチャー_2!X13="－","0",VLOOKUP(クリーチャー_2!X13,$V$15:$X$28,3,FALSE()))</f>
        <v>0</v>
      </c>
      <c r="AQ11" s="450"/>
      <c r="AR11" s="447"/>
      <c r="AS11" s="447"/>
      <c r="AT11" s="444"/>
      <c r="AU11" s="446" t="s">
        <v>740</v>
      </c>
      <c r="AV11" s="450">
        <f>IF(クリーチャー_3!V12="－","0",VLOOKUP(クリーチャー_3!V12,$V$15:$X$28,2,FALSE()))+IF(クリーチャー_3!W12="－","0",VLOOKUP(クリーチャー_3!W12,$V$15:$X$28,2,FALSE()))+IF(クリーチャー_3!X12="－","0",VLOOKUP(クリーチャー_3!X12,$V$15:$X$28,2,FALSE()))+IF(クリーチャー_3!V13="－","0",VLOOKUP(クリーチャー_3!V13,$V$15:$X$28,2,FALSE()))+IF(クリーチャー_3!W13="－","0",VLOOKUP(クリーチャー_3!W13,$V$15:$X$28,2,FALSE()))+IF(クリーチャー_3!X13="－","0",VLOOKUP(クリーチャー_3!X13,$V$15:$X$28,2,FALSE()))</f>
        <v>0</v>
      </c>
      <c r="AW11" s="450">
        <f>IF(クリーチャー_3!V12="－","0",VLOOKUP(クリーチャー_3!V12,$V$15:$X$28,3,FALSE()))+IF(クリーチャー_3!W12="－","0",VLOOKUP(クリーチャー_3!W12,$V$15:$X$28,3,FALSE()))+IF(クリーチャー_3!X12="－","0",VLOOKUP(クリーチャー_3!X12,$V$15:$X$28,3,FALSE()))+IF(クリーチャー_3!V13="－","0",VLOOKUP(クリーチャー_3!V13,$V$15:$X$28,3,FALSE()))+IF(クリーチャー_3!W13="－","0",VLOOKUP(クリーチャー_3!W13,$V$15:$X$28,3,FALSE()))+IF(クリーチャー_3!X13="－","0",VLOOKUP(クリーチャー_3!X13,$V$15:$X$28,3,FALSE()))</f>
        <v>0</v>
      </c>
      <c r="AX11" s="450"/>
      <c r="AY11" s="447"/>
      <c r="AZ11" s="447"/>
    </row>
    <row r="12" spans="2:52" x14ac:dyDescent="0.15">
      <c r="B12" s="446" t="s">
        <v>743</v>
      </c>
      <c r="C12" s="450" cm="1">
        <f t="array" ref="C12">_xlfn.IFS(COUNTIF(応用技!E12:G13,"創造")&gt;=1,
SUM(C9:C11)+1&amp;"～"&amp;SUM(C9:C11)+10,
COUNTIF(応用技!E12:G13,"限定*")&gt;=1,"※",
COUNTIF(応用技!E12:G13,"影響無効")&gt;=1,"※",TRUE(),SUM(C9:C11))</f>
        <v>0</v>
      </c>
      <c r="D12" s="450">
        <f>SUM(D9:D11)</f>
        <v>0</v>
      </c>
      <c r="E12" s="450">
        <f>SUM(E9:E11)</f>
        <v>0</v>
      </c>
      <c r="F12" s="447"/>
      <c r="G12" s="447"/>
      <c r="I12" s="451"/>
      <c r="J12" s="451"/>
      <c r="K12" s="449"/>
      <c r="L12" s="449"/>
      <c r="M12" s="449"/>
      <c r="N12" s="463" t="s">
        <v>123</v>
      </c>
      <c r="O12" s="464">
        <v>0</v>
      </c>
      <c r="P12" s="464">
        <v>1</v>
      </c>
      <c r="Q12" s="464"/>
      <c r="R12" s="465" t="s">
        <v>744</v>
      </c>
      <c r="S12" s="449"/>
      <c r="U12" s="451"/>
      <c r="V12" s="451"/>
      <c r="W12" s="449"/>
      <c r="X12" s="449"/>
      <c r="Y12" s="449"/>
      <c r="Z12" s="463" t="s">
        <v>123</v>
      </c>
      <c r="AA12" s="464">
        <v>0</v>
      </c>
      <c r="AB12" s="464">
        <v>1</v>
      </c>
      <c r="AC12" s="464"/>
      <c r="AD12" s="465" t="s">
        <v>744</v>
      </c>
      <c r="AE12" s="449"/>
      <c r="AG12" s="446" t="s">
        <v>743</v>
      </c>
      <c r="AH12" s="450">
        <f t="array" ref="AH12">_xlfn.IFS(COUNTIF(クリーチャー!S12:U13,"創造")&gt;=1,SUM(AH9:AH11)+1&amp;"～"&amp;SUM(AH9:AH11)+10,COUNTIF(クリーチャー!S12:U13,"限定*")&gt;=1,"※",COUNTIF(クリーチャー!S12:U13,"影響無効")&gt;=1,"※",TRUE(),SUM(AH9:AH11))</f>
        <v>0</v>
      </c>
      <c r="AI12" s="450">
        <f>SUM(AI9:AI11)</f>
        <v>0</v>
      </c>
      <c r="AJ12" s="450">
        <f>SUM(AJ9:AJ11)</f>
        <v>0</v>
      </c>
      <c r="AK12" s="447"/>
      <c r="AL12" s="447"/>
      <c r="AM12" s="444"/>
      <c r="AN12" s="446" t="s">
        <v>743</v>
      </c>
      <c r="AO12" s="450">
        <f t="array" ref="AO12">_xlfn.IFS(COUNTIF(クリーチャー_2!S12:U13,"創造")&gt;=1,SUM(AO9:AO11)+1&amp;"～"&amp;SUM(AO9:AO11)+10,COUNTIF(クリーチャー_2!S12:U13,"限定*")&gt;=1,"※",COUNTIF(クリーチャー_2!S12:U13,"影響無効")&gt;=1,"※",TRUE(),SUM(AO9:AO11))</f>
        <v>0</v>
      </c>
      <c r="AP12" s="450">
        <f>SUM(AP9:AP11)</f>
        <v>0</v>
      </c>
      <c r="AQ12" s="450">
        <f>SUM(AQ9:AQ11)</f>
        <v>0</v>
      </c>
      <c r="AR12" s="447"/>
      <c r="AS12" s="447"/>
      <c r="AT12" s="444"/>
      <c r="AU12" s="446" t="s">
        <v>743</v>
      </c>
      <c r="AV12" s="450">
        <f t="array" ref="AV12">_xlfn.IFS(COUNTIF(クリーチャー_3!S12:U13,"創造")&gt;=1,SUM(AV9:AV11)+1&amp;"～"&amp;SUM(AV9:AV11)+10,COUNTIF(クリーチャー_3!S12:U13,"限定*")&gt;=1,"※",COUNTIF(クリーチャー_3!S12:U13,"影響無効")&gt;=1,"※",TRUE(),SUM(AV9:AV11))</f>
        <v>0</v>
      </c>
      <c r="AW12" s="450">
        <f>SUM(AW9:AW11)</f>
        <v>0</v>
      </c>
      <c r="AX12" s="450">
        <f>SUM(AX9:AX11)</f>
        <v>0</v>
      </c>
      <c r="AY12" s="447"/>
      <c r="AZ12" s="447"/>
    </row>
    <row r="13" spans="2:52" ht="15" thickBot="1" x14ac:dyDescent="0.2">
      <c r="I13" s="451"/>
      <c r="J13" s="452" t="s">
        <v>740</v>
      </c>
      <c r="K13" s="449"/>
      <c r="L13" s="449"/>
      <c r="M13" s="449"/>
      <c r="N13" s="463" t="s">
        <v>133</v>
      </c>
      <c r="O13" s="464">
        <v>0</v>
      </c>
      <c r="P13" s="464">
        <v>1</v>
      </c>
      <c r="Q13" s="464"/>
      <c r="R13" s="465" t="s">
        <v>744</v>
      </c>
      <c r="S13" s="449"/>
      <c r="U13" s="451"/>
      <c r="V13" s="452" t="s">
        <v>740</v>
      </c>
      <c r="W13" s="449"/>
      <c r="X13" s="449"/>
      <c r="Y13" s="449"/>
      <c r="Z13" s="463" t="s">
        <v>133</v>
      </c>
      <c r="AA13" s="464">
        <v>0</v>
      </c>
      <c r="AB13" s="464">
        <v>1</v>
      </c>
      <c r="AC13" s="464"/>
      <c r="AD13" s="465" t="s">
        <v>744</v>
      </c>
      <c r="AE13" s="449"/>
      <c r="AI13" s="444"/>
      <c r="AJ13" s="444"/>
      <c r="AK13" s="444"/>
      <c r="AL13" s="444"/>
      <c r="AM13" s="444"/>
      <c r="AN13" s="444"/>
      <c r="AO13" s="444"/>
      <c r="AP13" s="444"/>
      <c r="AQ13" s="444"/>
      <c r="AS13" s="444"/>
      <c r="AT13" s="444"/>
      <c r="AU13" s="444"/>
      <c r="AV13" s="444"/>
    </row>
    <row r="14" spans="2:52" ht="15" thickBot="1" x14ac:dyDescent="0.2">
      <c r="B14" s="469" t="s">
        <v>746</v>
      </c>
      <c r="C14" s="470" t="s">
        <v>623</v>
      </c>
      <c r="D14" s="470" t="s">
        <v>449</v>
      </c>
      <c r="E14" s="470" t="s">
        <v>735</v>
      </c>
      <c r="F14" s="471" t="s">
        <v>736</v>
      </c>
      <c r="G14" s="470" t="s">
        <v>737</v>
      </c>
      <c r="I14" s="451"/>
      <c r="J14" s="454" t="s">
        <v>741</v>
      </c>
      <c r="K14" s="455" t="s">
        <v>623</v>
      </c>
      <c r="L14" s="456" t="s">
        <v>449</v>
      </c>
      <c r="M14" s="449"/>
      <c r="N14" s="463" t="s">
        <v>142</v>
      </c>
      <c r="O14" s="464">
        <v>0</v>
      </c>
      <c r="P14" s="464">
        <v>1</v>
      </c>
      <c r="Q14" s="464"/>
      <c r="R14" s="465" t="s">
        <v>747</v>
      </c>
      <c r="S14" s="449"/>
      <c r="U14" s="451"/>
      <c r="V14" s="454" t="s">
        <v>741</v>
      </c>
      <c r="W14" s="455" t="s">
        <v>623</v>
      </c>
      <c r="X14" s="456" t="s">
        <v>449</v>
      </c>
      <c r="Y14" s="449"/>
      <c r="Z14" s="463" t="s">
        <v>142</v>
      </c>
      <c r="AA14" s="464">
        <v>0</v>
      </c>
      <c r="AB14" s="464">
        <v>1</v>
      </c>
      <c r="AC14" s="464"/>
      <c r="AD14" s="465" t="s">
        <v>747</v>
      </c>
      <c r="AE14" s="449"/>
      <c r="AG14" s="469" t="s">
        <v>746</v>
      </c>
      <c r="AH14" s="470" t="s">
        <v>623</v>
      </c>
      <c r="AI14" s="470" t="s">
        <v>449</v>
      </c>
      <c r="AJ14" s="470" t="s">
        <v>735</v>
      </c>
      <c r="AK14" s="471" t="s">
        <v>736</v>
      </c>
      <c r="AL14" s="470" t="s">
        <v>737</v>
      </c>
      <c r="AM14" s="444"/>
      <c r="AN14" s="469" t="s">
        <v>746</v>
      </c>
      <c r="AO14" s="470" t="s">
        <v>623</v>
      </c>
      <c r="AP14" s="470" t="s">
        <v>449</v>
      </c>
      <c r="AQ14" s="470" t="s">
        <v>735</v>
      </c>
      <c r="AR14" s="471" t="s">
        <v>736</v>
      </c>
      <c r="AS14" s="470" t="s">
        <v>737</v>
      </c>
      <c r="AT14" s="444"/>
      <c r="AU14" s="469" t="s">
        <v>746</v>
      </c>
      <c r="AV14" s="470" t="s">
        <v>623</v>
      </c>
      <c r="AW14" s="470" t="s">
        <v>449</v>
      </c>
      <c r="AX14" s="470" t="s">
        <v>735</v>
      </c>
      <c r="AY14" s="471" t="s">
        <v>736</v>
      </c>
      <c r="AZ14" s="470" t="s">
        <v>737</v>
      </c>
    </row>
    <row r="15" spans="2:52" ht="15" thickTop="1" x14ac:dyDescent="0.15">
      <c r="B15" s="470" t="s">
        <v>9</v>
      </c>
      <c r="C15" s="472">
        <f>IF(応用技!B23="－","0",VLOOKUP(応用技!B23,計算用!$J$6:$L$11,2,FALSE()))+IF(応用技!C23="－","0",VLOOKUP(応用技!C23,計算用!$J$6:$L$11,2,FALSE()))+IF(応用技!D23="－","0",VLOOKUP(応用技!D23,計算用!$J$6:$L$11,2,FALSE()))+COUNTIF(応用技!B23:D23,"防御発動")^2</f>
        <v>0</v>
      </c>
      <c r="D15" s="472">
        <f>IF(応用技!B23="－","0",VLOOKUP(応用技!B23,$J$6:$L$11,3,FALSE()))+IF(応用技!C23="－","0",VLOOKUP(応用技!C23,$J$6:$L$11,3,FALSE()))+IF(応用技!D23="－","0",VLOOKUP(応用技!D23,$J$6:$L$11,3,FALSE()))</f>
        <v>0</v>
      </c>
      <c r="E15" s="473"/>
      <c r="F15" s="471"/>
      <c r="G15" s="471"/>
      <c r="I15" s="451"/>
      <c r="J15" s="460" t="s">
        <v>100</v>
      </c>
      <c r="K15" s="461">
        <v>3</v>
      </c>
      <c r="L15" s="462">
        <v>1</v>
      </c>
      <c r="M15" s="449"/>
      <c r="N15" s="463" t="s">
        <v>152</v>
      </c>
      <c r="O15" s="464">
        <v>0</v>
      </c>
      <c r="P15" s="464">
        <v>1</v>
      </c>
      <c r="Q15" s="464"/>
      <c r="R15" s="465" t="s">
        <v>747</v>
      </c>
      <c r="S15" s="449"/>
      <c r="U15" s="451"/>
      <c r="V15" s="460" t="s">
        <v>100</v>
      </c>
      <c r="W15" s="461">
        <v>3</v>
      </c>
      <c r="X15" s="462">
        <v>1</v>
      </c>
      <c r="Y15" s="449"/>
      <c r="Z15" s="463" t="s">
        <v>152</v>
      </c>
      <c r="AA15" s="464">
        <v>0</v>
      </c>
      <c r="AB15" s="464">
        <v>1</v>
      </c>
      <c r="AC15" s="464"/>
      <c r="AD15" s="465" t="s">
        <v>747</v>
      </c>
      <c r="AE15" s="449"/>
      <c r="AG15" s="470" t="s">
        <v>9</v>
      </c>
      <c r="AH15" s="472">
        <f>IF(クリーチャー!P23="－","0",VLOOKUP(クリーチャー!P23,計算用!$J$6:$L$11,2,FALSE()))+IF(クリーチャー!Q23="－","0",VLOOKUP(クリーチャー!Q23,計算用!$J$6:$L$11,2,FALSE()))+IF(クリーチャー!R23="－","0",VLOOKUP(クリーチャー!R23,計算用!$J$6:$L$11,2,FALSE()))+COUNTIF(クリーチャー!P23:R23,"防御発動")^2</f>
        <v>0</v>
      </c>
      <c r="AI15" s="472">
        <f>IF(クリーチャー!P23="－","0",VLOOKUP(クリーチャー!P23,$J$6:$L$11,3,FALSE()))+IF(クリーチャー!Q23="－","0",VLOOKUP(クリーチャー!Q23,$J$6:$L$11,3,FALSE()))+IF(クリーチャー!R23="－","0",VLOOKUP(クリーチャー!R23,$J$6:$L$11,3,FALSE()))</f>
        <v>0</v>
      </c>
      <c r="AJ15" s="473"/>
      <c r="AK15" s="471"/>
      <c r="AL15" s="471"/>
      <c r="AM15" s="444"/>
      <c r="AN15" s="470" t="s">
        <v>9</v>
      </c>
      <c r="AO15" s="472">
        <f>IF(クリーチャー_2!P23="－","0",VLOOKUP(クリーチャー_2!P23,計算用!$J$6:$L$11,2,FALSE()))+IF(クリーチャー_2!Q23="－","0",VLOOKUP(クリーチャー_2!Q23,計算用!$J$6:$L$11,2,FALSE()))+IF(クリーチャー_2!R23="－","0",VLOOKUP(クリーチャー_2!R23,計算用!$J$6:$L$11,2,FALSE()))+COUNTIF(クリーチャー_2!P23:R23,"防御発動")^2</f>
        <v>0</v>
      </c>
      <c r="AP15" s="472">
        <f>IF(クリーチャー_2!P23="－","0",VLOOKUP(クリーチャー_2!P23,$J$6:$L$11,3,FALSE()))+IF(クリーチャー_2!Q23="－","0",VLOOKUP(クリーチャー_2!Q23,$J$6:$L$11,3,FALSE()))+IF(クリーチャー_2!R23="－","0",VLOOKUP(クリーチャー_2!R23,$J$6:$L$11,3,FALSE()))</f>
        <v>0</v>
      </c>
      <c r="AQ15" s="473"/>
      <c r="AR15" s="471"/>
      <c r="AS15" s="471"/>
      <c r="AT15" s="444"/>
      <c r="AU15" s="470" t="s">
        <v>9</v>
      </c>
      <c r="AV15" s="472">
        <f>IF(クリーチャー_3!P23="－","0",VLOOKUP(クリーチャー_3!P23,計算用!$J$6:$L$11,2,FALSE()))+IF(クリーチャー_3!Q23="－","0",VLOOKUP(クリーチャー_3!Q23,計算用!$J$6:$L$11,2,FALSE()))+IF(クリーチャー_3!R23="－","0",VLOOKUP(クリーチャー_3!R23,計算用!$J$6:$L$11,2,FALSE()))+COUNTIF(クリーチャー_3!P23:R23,"防御発動")^2</f>
        <v>0</v>
      </c>
      <c r="AW15" s="472">
        <f>IF(クリーチャー_3!P23="－","0",VLOOKUP(クリーチャー_3!P23,$J$6:$L$11,3,FALSE()))+IF(クリーチャー_3!Q23="－","0",VLOOKUP(クリーチャー_3!Q23,$J$6:$L$11,3,FALSE()))+IF(クリーチャー_3!R23="－","0",VLOOKUP(クリーチャー_3!R23,$J$6:$L$11,3,FALSE()))</f>
        <v>0</v>
      </c>
      <c r="AX15" s="473"/>
      <c r="AY15" s="471"/>
      <c r="AZ15" s="471"/>
    </row>
    <row r="16" spans="2:52" x14ac:dyDescent="0.15">
      <c r="B16" s="470" t="s">
        <v>10</v>
      </c>
      <c r="C16" s="472" cm="1">
        <f t="array" ref="C16">IF(応用技!E23="－","0",VLOOKUP(応用技!E23,$N$6:$R$49,2,FALSE()))+IF(応用技!F23="－","0",VLOOKUP(応用技!F23,N6:$R$49,2,FALSE()))+IF(応用技!G23="－","0",VLOOKUP(応用技!G23,$N$6:$R$49,2,FALSE()))+IF(応用技!E24="－","0",VLOOKUP(応用技!E24,$N$6:$R$49,2,FALSE()))+IF(応用技!F24="－","0",VLOOKUP(応用技!F24,$N$6:$R$49,2,FALSE()))+IF(応用技!G24="－","0",VLOOKUP(応用技!G24,$N$6:$R$49,2,FALSE()))+_xlfn.IFS(F16&gt;=2,1+2*(F16-1),F16=1,1,F16=0,0)+_xlfn.IFS(G16&gt;=2,1+2*(G16-1),G16=1,1,G16=0,0)</f>
        <v>0</v>
      </c>
      <c r="D16" s="472">
        <f>IF(応用技!E23="－","0",VLOOKUP(応用技!E23,$N$6:$R$49,3,FALSE()))+IF(応用技!F23="－","0",VLOOKUP(応用技!F23,$N$6:$R$49,3,FALSE()))+IF(応用技!G23="－","0",VLOOKUP(応用技!G23,$N$6:$R$49,3,FALSE()))+IF(応用技!E24="－","0",VLOOKUP(応用技!E24,$N$6:$R$49,3,FALSE()))+IF(応用技!F24="－","0",VLOOKUP(応用技!F24,$N$6:$R$49,3,FALSE()))+IF(応用技!G24="－","0",VLOOKUP(応用技!G24,$N$6:$R$49,3,FALSE()))</f>
        <v>0</v>
      </c>
      <c r="E16" s="472">
        <f>IF(応用技!E23="－","0",VLOOKUP(応用技!E23,$N$6:$R$49,4,FALSE()))+IF(応用技!F23="－","0",VLOOKUP(応用技!F23,$N$6:$R$49,4,FALSE()))+IF(応用技!G23="－","0",VLOOKUP(応用技!G23,$N$6:$R$49,4,FALSE()))+IF(応用技!E24="－","0",VLOOKUP(応用技!E24,$N$6:$R$49,4,FALSE()))+IF(応用技!F24="－","0",VLOOKUP(応用技!F24,$N$6:$R$49,4,FALSE()))+IF(応用技!G24="－","0",VLOOKUP(応用技!G24,$N$6:$R$49,4,FALSE()))</f>
        <v>0</v>
      </c>
      <c r="F16" s="471">
        <f>COUNTIFS(応用技!E23:G24,"強化*")</f>
        <v>0</v>
      </c>
      <c r="G16" s="471">
        <f>COUNTIFS(応用技!E23:G24,"減衰*")</f>
        <v>0</v>
      </c>
      <c r="I16" s="451"/>
      <c r="J16" s="463" t="s">
        <v>114</v>
      </c>
      <c r="K16" s="464">
        <v>3</v>
      </c>
      <c r="L16" s="465">
        <v>1</v>
      </c>
      <c r="M16" s="449"/>
      <c r="N16" s="463" t="s">
        <v>162</v>
      </c>
      <c r="O16" s="464">
        <v>0</v>
      </c>
      <c r="P16" s="464">
        <v>1</v>
      </c>
      <c r="Q16" s="464"/>
      <c r="R16" s="465" t="s">
        <v>747</v>
      </c>
      <c r="S16" s="449"/>
      <c r="U16" s="451"/>
      <c r="V16" s="463" t="s">
        <v>114</v>
      </c>
      <c r="W16" s="464">
        <v>3</v>
      </c>
      <c r="X16" s="465">
        <v>1</v>
      </c>
      <c r="Y16" s="449"/>
      <c r="Z16" s="463" t="s">
        <v>162</v>
      </c>
      <c r="AA16" s="464">
        <v>0</v>
      </c>
      <c r="AB16" s="464">
        <v>1</v>
      </c>
      <c r="AC16" s="464"/>
      <c r="AD16" s="465" t="s">
        <v>747</v>
      </c>
      <c r="AE16" s="449"/>
      <c r="AG16" s="470" t="s">
        <v>10</v>
      </c>
      <c r="AH16" s="472" cm="1">
        <f t="array" ref="AH16">IF(クリーチャー!S23="－","0",VLOOKUP(クリーチャー!S23,$N$6:$R$49,2,FALSE()))+IF(クリーチャー!T23="－","0",VLOOKUP(クリーチャー!T23,N6:$R$49,2,FALSE()))+IF(クリーチャー!U23="－","0",VLOOKUP(クリーチャー!U23,$N$6:$R$49,2,FALSE()))+IF(クリーチャー!S24="－","0",VLOOKUP(クリーチャー!S24,$N$6:$R$49,2,FALSE()))+IF(クリーチャー!T24="－","0",VLOOKUP(クリーチャー!T24,$N$6:$R$49,2,FALSE()))+IF(クリーチャー!U24="－","0",VLOOKUP(クリーチャー!U24,$N$6:$R$49,2,FALSE()))+_xlfn.IFS(AK16&gt;=2,1+2*(AK16-1),AK16=1,1,AK16=0,0)+_xlfn.IFS(AL16&gt;=2,1+2*(AL16-1),AL16=1,1,AL16=0,0)</f>
        <v>0</v>
      </c>
      <c r="AI16" s="472">
        <f>IF(クリーチャー!S23="－","0",VLOOKUP(クリーチャー!S23,$N$6:$R$49,3,FALSE()))+IF(クリーチャー!T23="－","0",VLOOKUP(クリーチャー!T23,$N$6:$R$49,3,FALSE()))+IF(クリーチャー!U23="－","0",VLOOKUP(クリーチャー!U23,$N$6:$R$49,3,FALSE()))+IF(クリーチャー!S24="－","0",VLOOKUP(クリーチャー!S24,$N$6:$R$49,3,FALSE()))+IF(クリーチャー!T24="－","0",VLOOKUP(クリーチャー!T24,$N$6:$R$49,3,FALSE()))+IF(クリーチャー!U24="－","0",VLOOKUP(クリーチャー!U24,$N$6:$R$49,3,FALSE()))</f>
        <v>0</v>
      </c>
      <c r="AJ16" s="472">
        <f>IF(クリーチャー!S23="－","0",VLOOKUP(クリーチャー!S23,$N$6:$R$49,4,FALSE()))+IF(クリーチャー!T23="－","0",VLOOKUP(クリーチャー!T23,$N$6:$R$49,4,FALSE()))+IF(クリーチャー!U23="－","0",VLOOKUP(クリーチャー!U23,$N$6:$R$49,4,FALSE()))+IF(クリーチャー!S24="－","0",VLOOKUP(クリーチャー!S24,$N$6:$R$49,4,FALSE()))+IF(クリーチャー!T24="－","0",VLOOKUP(クリーチャー!T24,$N$6:$R$49,4,FALSE()))+IF(クリーチャー!U24="－","0",VLOOKUP(クリーチャー!U24,$N$6:$R$49,4,FALSE()))</f>
        <v>0</v>
      </c>
      <c r="AK16" s="471">
        <f>COUNTIFS(クリーチャー!S23:U24,"強化*")</f>
        <v>0</v>
      </c>
      <c r="AL16" s="471">
        <f>COUNTIFS(クリーチャー!S23:U24,"減衰*")</f>
        <v>0</v>
      </c>
      <c r="AM16" s="444"/>
      <c r="AN16" s="470" t="s">
        <v>10</v>
      </c>
      <c r="AO16" s="472" cm="1">
        <f t="array" ref="AO16">IF(クリーチャー_2!S23="－","0",VLOOKUP(クリーチャー_2!S23,$N$6:$R$49,2,FALSE()))+IF(クリーチャー_2!T23="－","0",VLOOKUP(クリーチャー_2!T23,$N$6:$R$49,2,FALSE()))+IF(クリーチャー_2!U23="－","0",VLOOKUP(クリーチャー_2!U23,$N$6:$R$49,2,FALSE()))+IF(クリーチャー_2!S24="－","0",VLOOKUP(クリーチャー_2!S24,$N$6:$R$49,2,FALSE()))+IF(クリーチャー_2!T24="－","0",VLOOKUP(クリーチャー_2!T24,$N$6:$R$49,2,FALSE()))+IF(クリーチャー_2!U24="－","0",VLOOKUP(クリーチャー_2!U24,$N$6:$R$49,2,FALSE()))+_xlfn.IFS(AR16&gt;=2,1+2*(AR16-1),AR16=1,1,AR16=0,0)+_xlfn.IFS(AS16&gt;=2,1+2*(AS16-1),AS16=1,1,AS16=0,0)</f>
        <v>0</v>
      </c>
      <c r="AP16" s="472">
        <f>IF(クリーチャー_2!S23="－","0",VLOOKUP(クリーチャー_2!S23,$N$6:$R$49,3,FALSE()))+IF(クリーチャー_2!T23="－","0",VLOOKUP(クリーチャー_2!T23,$N$6:$R$49,3,FALSE()))+IF(クリーチャー_2!U23="－","0",VLOOKUP(クリーチャー_2!U23,$N$6:$R$49,3,FALSE()))+IF(クリーチャー_2!S24="－","0",VLOOKUP(クリーチャー_2!S24,$N$6:$R$49,3,FALSE()))+IF(クリーチャー_2!T24="－","0",VLOOKUP(クリーチャー_2!T24,$N$6:$R$49,3,FALSE()))+IF(クリーチャー_2!U24="－","0",VLOOKUP(クリーチャー_2!U24,$N$6:$R$49,3,FALSE()))</f>
        <v>0</v>
      </c>
      <c r="AQ16" s="472">
        <f>IF(クリーチャー_2!S23="－","0",VLOOKUP(クリーチャー_2!S23,$N$6:$R$49,4,FALSE()))+IF(クリーチャー_2!T23="－","0",VLOOKUP(クリーチャー_2!T23,$N$6:$R$49,4,FALSE()))+IF(クリーチャー_2!U23="－","0",VLOOKUP(クリーチャー_2!U23,$N$6:$R$49,4,FALSE()))+IF(クリーチャー_2!S24="－","0",VLOOKUP(クリーチャー_2!S24,$N$6:$R$49,4,FALSE()))+IF(クリーチャー_2!T24="－","0",VLOOKUP(クリーチャー_2!T24,$N$6:$R$49,4,FALSE()))+IF(クリーチャー_2!U24="－","0",VLOOKUP(クリーチャー_2!U24,$N$6:$R$49,4,FALSE()))</f>
        <v>0</v>
      </c>
      <c r="AR16" s="471">
        <f>COUNTIFS(クリーチャー_2!S23:U24,"強化*")</f>
        <v>0</v>
      </c>
      <c r="AS16" s="471">
        <f>COUNTIFS(クリーチャー_2!S23:U24,"減衰*")</f>
        <v>0</v>
      </c>
      <c r="AT16" s="444"/>
      <c r="AU16" s="470" t="s">
        <v>10</v>
      </c>
      <c r="AV16" s="472" cm="1">
        <f t="array" ref="AV16">IF(クリーチャー_3!S23="－","0",VLOOKUP(クリーチャー_3!S23,$N$6:$R$49,2,FALSE()))+IF(クリーチャー_3!T23="－","0",VLOOKUP(クリーチャー_3!T23,N6:$R$49,2,FALSE()))+IF(クリーチャー_3!U23="－","0",VLOOKUP(クリーチャー_3!U23,$N$6:$R$49,2,FALSE()))+IF(クリーチャー_3!S24="－","0",VLOOKUP(クリーチャー_3!S24,$N$6:$R$49,2,FALSE()))+IF(クリーチャー_3!T24="－","0",VLOOKUP(クリーチャー_3!T24,$N$6:$R$49,2,FALSE()))+IF(クリーチャー_3!U24="－","0",VLOOKUP(クリーチャー_3!U24,$N$6:$R$49,2,FALSE()))+_xlfn.IFS(AY16&gt;=2,1+2*(AY16-1),AY16=1,1,AY16=0,0)+_xlfn.IFS(AZ16&gt;=2,1+2*(AZ16-1),AZ16=1,1,AZ16=0,0)</f>
        <v>0</v>
      </c>
      <c r="AW16" s="472">
        <f>IF(クリーチャー_3!S23="－","0",VLOOKUP(クリーチャー_3!S23,$N$6:$R$49,3,FALSE()))+IF(クリーチャー_3!T23="－","0",VLOOKUP(クリーチャー_3!T23,$N$6:$R$49,3,FALSE()))+IF(クリーチャー_3!U23="－","0",VLOOKUP(クリーチャー_3!U23,$N$6:$R$49,3,FALSE()))+IF(クリーチャー_3!S24="－","0",VLOOKUP(クリーチャー_3!S24,$N$6:$R$49,3,FALSE()))+IF(クリーチャー_3!T24="－","0",VLOOKUP(クリーチャー_3!T24,$N$6:$R$49,3,FALSE()))+IF(クリーチャー_3!U24="－","0",VLOOKUP(クリーチャー_3!U24,$N$6:$R$49,3,FALSE()))</f>
        <v>0</v>
      </c>
      <c r="AX16" s="472">
        <f>IF(クリーチャー_3!S23="－","0",VLOOKUP(クリーチャー_3!S23,$N$6:$R$49,4,FALSE()))+IF(クリーチャー_3!T23="－","0",VLOOKUP(クリーチャー_3!T23,$N$6:$R$49,4,FALSE()))+IF(クリーチャー_3!U23="－","0",VLOOKUP(クリーチャー_3!U23,$N$6:$R$49,4,FALSE()))+IF(クリーチャー_3!S24="－","0",VLOOKUP(クリーチャー_3!S24,$N$6:$R$49,4,FALSE()))+IF(クリーチャー_3!T24="－","0",VLOOKUP(クリーチャー_3!T24,$N$6:$R$49,4,FALSE()))+IF(クリーチャー_3!U24="－","0",VLOOKUP(クリーチャー_3!U24,$N$6:$R$49,4,FALSE()))</f>
        <v>0</v>
      </c>
      <c r="AY16" s="471">
        <f>COUNTIFS(クリーチャー_3!S23:U24,"強化*")</f>
        <v>0</v>
      </c>
      <c r="AZ16" s="471">
        <f>COUNTIFS(クリーチャー_3!S23:U24,"減衰*")</f>
        <v>0</v>
      </c>
    </row>
    <row r="17" spans="2:52" x14ac:dyDescent="0.15">
      <c r="B17" s="470" t="s">
        <v>740</v>
      </c>
      <c r="C17" s="472">
        <f>IF(応用技!H23="－","0",VLOOKUP(応用技!H23,$J$15:$L$27,2,FALSE()))+IF(応用技!I23="－","0",VLOOKUP(応用技!I23,$J$15:$L$27,2,FALSE()))+IF(応用技!J23="－","0",VLOOKUP(応用技!J23,$J$15:$L$27,2,FALSE()))+IF(応用技!H24="－","0",VLOOKUP(応用技!H24,$J$15:$L$27,2,FALSE()))+IF(応用技!I24="－","0",VLOOKUP(応用技!I24,$J$15:$L$27,2,FALSE()))+IF(応用技!J24="－","0",VLOOKUP(応用技!J24,$J$15:$L$27,2,FALSE()))</f>
        <v>0</v>
      </c>
      <c r="D17" s="472">
        <f>IF(応用技!H23="－","0",VLOOKUP(応用技!H23,$J$15:$L$27,3,FALSE()))+IF(応用技!I23="－","0",VLOOKUP(応用技!I23,$J$15:$L$27,3,FALSE()))+IF(応用技!J23="－","0",VLOOKUP(応用技!J23,$J$15:$L$27,3,FALSE()))+IF(応用技!H24="－","0",VLOOKUP(応用技!H24,$J$15:$L$27,3,FALSE()))+IF(応用技!I24="－","0",VLOOKUP(応用技!I24,$J$15:$L$27,3,FALSE()))+IF(応用技!J24="－","0",VLOOKUP(応用技!J24,$J$15:$L$27,3,FALSE()))</f>
        <v>0</v>
      </c>
      <c r="E17" s="472"/>
      <c r="F17" s="471"/>
      <c r="G17" s="471"/>
      <c r="I17" s="451"/>
      <c r="J17" s="463" t="s">
        <v>134</v>
      </c>
      <c r="K17" s="464">
        <v>3</v>
      </c>
      <c r="L17" s="465">
        <v>1</v>
      </c>
      <c r="M17" s="449"/>
      <c r="N17" s="463" t="s">
        <v>173</v>
      </c>
      <c r="O17" s="464">
        <v>0</v>
      </c>
      <c r="P17" s="464">
        <v>1</v>
      </c>
      <c r="Q17" s="464"/>
      <c r="R17" s="465" t="s">
        <v>747</v>
      </c>
      <c r="S17" s="449"/>
      <c r="U17" s="451"/>
      <c r="V17" s="463" t="s">
        <v>134</v>
      </c>
      <c r="W17" s="464">
        <v>3</v>
      </c>
      <c r="X17" s="465">
        <v>1</v>
      </c>
      <c r="Y17" s="449"/>
      <c r="Z17" s="463" t="s">
        <v>173</v>
      </c>
      <c r="AA17" s="464">
        <v>0</v>
      </c>
      <c r="AB17" s="464">
        <v>1</v>
      </c>
      <c r="AC17" s="464"/>
      <c r="AD17" s="465" t="s">
        <v>747</v>
      </c>
      <c r="AE17" s="449"/>
      <c r="AG17" s="470" t="s">
        <v>740</v>
      </c>
      <c r="AH17" s="472">
        <f>IF(クリーチャー!V23="－","0",VLOOKUP(クリーチャー!V23,$J$15:$L$27,2,FALSE()))+IF(クリーチャー!W23="－","0",VLOOKUP(クリーチャー!W23,$J$15:$L$27,2,FALSE()))+IF(クリーチャー!X23="－","0",VLOOKUP(クリーチャー!X23,$J$15:$L$27,2,FALSE()))+IF(クリーチャー!V24="－","0",VLOOKUP(クリーチャー!V24,$J$15:$L$27,2,FALSE()))+IF(クリーチャー!W24="－","0",VLOOKUP(クリーチャー!W24,$J$15:$L$27,2,FALSE()))+IF(クリーチャー!X24="－","0",VLOOKUP(クリーチャー!X24,$J$15:$L$27,2,FALSE()))</f>
        <v>0</v>
      </c>
      <c r="AI17" s="472">
        <f>IF(クリーチャー!V23="－","0",VLOOKUP(クリーチャー!V23,$J$15:$L$27,3,FALSE()))+IF(クリーチャー!W23="－","0",VLOOKUP(クリーチャー!W23,$J$15:$L$27,3,FALSE()))+IF(クリーチャー!X23="－","0",VLOOKUP(クリーチャー!X23,$J$15:$L$27,3,FALSE()))+IF(クリーチャー!V24="－","0",VLOOKUP(クリーチャー!V24,$J$15:$L$27,3,FALSE()))+IF(クリーチャー!W24="－","0",VLOOKUP(クリーチャー!W24,$J$15:$L$27,3,FALSE()))+IF(クリーチャー!X24="－","0",VLOOKUP(クリーチャー!X24,$J$15:$L$27,3,FALSE()))</f>
        <v>0</v>
      </c>
      <c r="AJ17" s="472"/>
      <c r="AK17" s="471"/>
      <c r="AL17" s="471"/>
      <c r="AM17" s="444"/>
      <c r="AN17" s="470" t="s">
        <v>740</v>
      </c>
      <c r="AO17" s="472">
        <f>IF(クリーチャー_2!V23="－","0",VLOOKUP(クリーチャー_2!V23,$J$15:$L$27,2,FALSE()))+IF(クリーチャー_2!W23="－","0",VLOOKUP(クリーチャー_2!W23,$J$15:$L$27,2,FALSE()))+IF(クリーチャー_2!X23="－","0",VLOOKUP(クリーチャー_2!X23,$J$15:$L$27,2,FALSE()))+IF(クリーチャー_2!V24="－","0",VLOOKUP(クリーチャー_2!V24,$J$15:$L$27,2,FALSE()))+IF(クリーチャー_2!W24="－","0",VLOOKUP(クリーチャー_2!W24,$J$15:$L$27,2,FALSE()))+IF(クリーチャー_2!X24="－","0",VLOOKUP(クリーチャー_2!X24,$J$15:$L$27,2,FALSE()))</f>
        <v>0</v>
      </c>
      <c r="AP17" s="472">
        <f>IF(クリーチャー_2!V23="－","0",VLOOKUP(クリーチャー_2!V23,$J$15:$L$27,3,FALSE()))+IF(クリーチャー_2!W23="－","0",VLOOKUP(クリーチャー_2!W23,$J$15:$L$27,3,FALSE()))+IF(クリーチャー_2!X23="－","0",VLOOKUP(クリーチャー_2!X23,$J$15:$L$27,3,FALSE()))+IF(クリーチャー_2!V24="－","0",VLOOKUP(クリーチャー_2!V24,$J$15:$L$27,3,FALSE()))+IF(クリーチャー_2!W24="－","0",VLOOKUP(クリーチャー_2!W24,$J$15:$L$27,3,FALSE()))+IF(クリーチャー_2!X24="－","0",VLOOKUP(クリーチャー_2!X24,$J$15:$L$27,3,FALSE()))</f>
        <v>0</v>
      </c>
      <c r="AQ17" s="472"/>
      <c r="AR17" s="471"/>
      <c r="AS17" s="471"/>
      <c r="AT17" s="444"/>
      <c r="AU17" s="470" t="s">
        <v>740</v>
      </c>
      <c r="AV17" s="472">
        <f>IF(クリーチャー_3!V23="－","0",VLOOKUP(クリーチャー_3!V23,$J$15:$L$27,2,FALSE()))+IF(クリーチャー_3!W23="－","0",VLOOKUP(クリーチャー_3!W23,$J$15:$L$27,2,FALSE()))+IF(クリーチャー_3!X23="－","0",VLOOKUP(クリーチャー_3!X23,$J$15:$L$27,2,FALSE()))+IF(クリーチャー_3!V24="－","0",VLOOKUP(クリーチャー_3!V24,$J$15:$L$27,2,FALSE()))+IF(クリーチャー_3!W24="－","0",VLOOKUP(クリーチャー_3!W24,$J$15:$L$27,2,FALSE()))+IF(クリーチャー_3!X24="－","0",VLOOKUP(クリーチャー_3!X24,$J$15:$L$27,2,FALSE()))</f>
        <v>0</v>
      </c>
      <c r="AW17" s="472">
        <f>IF(クリーチャー_3!V23="－","0",VLOOKUP(クリーチャー_3!V23,$J$15:$L$27,3,FALSE()))+IF(クリーチャー_3!W23="－","0",VLOOKUP(クリーチャー_3!W23,$J$15:$L$27,3,FALSE()))+IF(クリーチャー_3!X23="－","0",VLOOKUP(クリーチャー_3!X23,$J$15:$L$27,3,FALSE()))+IF(クリーチャー_3!V24="－","0",VLOOKUP(クリーチャー_3!V24,$J$15:$L$27,3,FALSE()))+IF(クリーチャー_3!W24="－","0",VLOOKUP(クリーチャー_3!W24,$J$15:$L$27,3,FALSE()))+IF(クリーチャー_3!X24="－","0",VLOOKUP(クリーチャー_3!X24,$J$15:$L$27,3,FALSE()))</f>
        <v>0</v>
      </c>
      <c r="AX17" s="472"/>
      <c r="AY17" s="471"/>
      <c r="AZ17" s="471"/>
    </row>
    <row r="18" spans="2:52" x14ac:dyDescent="0.15">
      <c r="B18" s="470" t="s">
        <v>743</v>
      </c>
      <c r="C18" s="472">
        <f t="array" ref="C18">_xlfn.IFS(COUNTIF(応用技!E23:G24,"創造")&gt;=1,SUM(C15:C17)+1&amp;"～"&amp;SUM(C15:C17)+10,COUNTIF(応用技!E23:G24,"限定*")&gt;=1,"※",COUNTIF(応用技!E23:G24,"影響無効")&gt;=1,"※",TRUE(),SUM(C15:C17))</f>
        <v>0</v>
      </c>
      <c r="D18" s="472">
        <f>SUM(D15:D17)</f>
        <v>0</v>
      </c>
      <c r="E18" s="472">
        <f>SUM(E15:E17)</f>
        <v>0</v>
      </c>
      <c r="F18" s="471"/>
      <c r="G18" s="471"/>
      <c r="I18" s="451"/>
      <c r="J18" s="463" t="s">
        <v>124</v>
      </c>
      <c r="K18" s="464">
        <v>2</v>
      </c>
      <c r="L18" s="465">
        <v>1</v>
      </c>
      <c r="M18" s="449"/>
      <c r="N18" s="463" t="s">
        <v>183</v>
      </c>
      <c r="O18" s="464">
        <v>0</v>
      </c>
      <c r="P18" s="464">
        <v>1</v>
      </c>
      <c r="Q18" s="464"/>
      <c r="R18" s="465" t="s">
        <v>747</v>
      </c>
      <c r="S18" s="449"/>
      <c r="U18" s="451"/>
      <c r="V18" s="463" t="s">
        <v>124</v>
      </c>
      <c r="W18" s="464">
        <v>2</v>
      </c>
      <c r="X18" s="465">
        <v>1</v>
      </c>
      <c r="Y18" s="449"/>
      <c r="Z18" s="463" t="s">
        <v>183</v>
      </c>
      <c r="AA18" s="464">
        <v>0</v>
      </c>
      <c r="AB18" s="464">
        <v>1</v>
      </c>
      <c r="AC18" s="464"/>
      <c r="AD18" s="465" t="s">
        <v>747</v>
      </c>
      <c r="AE18" s="449"/>
      <c r="AG18" s="470" t="s">
        <v>743</v>
      </c>
      <c r="AH18" s="472">
        <f t="array" ref="AH18">_xlfn.IFS(COUNTIF(クリーチャー!S23:U24,"創造")&gt;=1,SUM(AH15:AH17)+1&amp;"～"&amp;SUM(AH15:AH17)+10,COUNTIF(クリーチャー!S23:U24,"限定*")&gt;=1,"※",COUNTIF(クリーチャー!S23:U24,"影響無効")&gt;=1,"※",TRUE(),SUM(AH15:AH17))</f>
        <v>0</v>
      </c>
      <c r="AI18" s="472">
        <f>SUM(AI15:AI17)</f>
        <v>0</v>
      </c>
      <c r="AJ18" s="472">
        <f>SUM(AJ15:AJ17)</f>
        <v>0</v>
      </c>
      <c r="AK18" s="471"/>
      <c r="AL18" s="471"/>
      <c r="AM18" s="444"/>
      <c r="AN18" s="470" t="s">
        <v>743</v>
      </c>
      <c r="AO18" s="472">
        <f t="array" ref="AO18">_xlfn.IFS(COUNTIF(クリーチャー_2!S23:U24,"創造")&gt;=1,SUM(AO15:AO17)+1&amp;"～"&amp;SUM(AO15:AO17)+10,COUNTIF(クリーチャー_2!S23:U24,"限定*")&gt;=1,"※",COUNTIF(クリーチャー_2!S23:U24,"影響無効")&gt;=1,"※",TRUE(),SUM(AO15:AO17))</f>
        <v>0</v>
      </c>
      <c r="AP18" s="472">
        <f>SUM(AP15:AP17)</f>
        <v>0</v>
      </c>
      <c r="AQ18" s="472">
        <f>SUM(AQ15:AQ17)</f>
        <v>0</v>
      </c>
      <c r="AR18" s="471"/>
      <c r="AS18" s="471"/>
      <c r="AT18" s="444"/>
      <c r="AU18" s="470" t="s">
        <v>743</v>
      </c>
      <c r="AV18" s="472">
        <f t="array" ref="AV18">_xlfn.IFS(COUNTIF(クリーチャー_3!S23:U24,"創造")&gt;=1,SUM(AV15:AV17)+1&amp;"～"&amp;SUM(AV15:AV17)+10,COUNTIF(クリーチャー_3!S23:U24,"限定*")&gt;=1,"※",COUNTIF(クリーチャー_3!S23:U24,"影響無効")&gt;=1,"※",TRUE(),SUM(AV15:AV17))</f>
        <v>0</v>
      </c>
      <c r="AW18" s="472">
        <f>SUM(AW15:AW17)</f>
        <v>0</v>
      </c>
      <c r="AX18" s="472">
        <f>SUM(AX15:AX17)</f>
        <v>0</v>
      </c>
      <c r="AY18" s="471"/>
      <c r="AZ18" s="471"/>
    </row>
    <row r="19" spans="2:52" x14ac:dyDescent="0.15">
      <c r="B19" s="451"/>
      <c r="C19" s="451"/>
      <c r="D19" s="451"/>
      <c r="E19" s="451"/>
      <c r="F19" s="451"/>
      <c r="G19" s="451"/>
      <c r="I19" s="451"/>
      <c r="J19" s="463" t="s">
        <v>69</v>
      </c>
      <c r="K19" s="464">
        <v>2</v>
      </c>
      <c r="L19" s="465">
        <v>1</v>
      </c>
      <c r="M19" s="449"/>
      <c r="N19" s="463" t="s">
        <v>194</v>
      </c>
      <c r="O19" s="464">
        <v>0</v>
      </c>
      <c r="P19" s="464">
        <v>1</v>
      </c>
      <c r="Q19" s="464"/>
      <c r="R19" s="465" t="s">
        <v>747</v>
      </c>
      <c r="S19" s="449"/>
      <c r="U19" s="451"/>
      <c r="V19" s="463" t="s">
        <v>69</v>
      </c>
      <c r="W19" s="464">
        <v>2</v>
      </c>
      <c r="X19" s="465">
        <v>1</v>
      </c>
      <c r="Y19" s="449"/>
      <c r="Z19" s="463" t="s">
        <v>194</v>
      </c>
      <c r="AA19" s="464">
        <v>0</v>
      </c>
      <c r="AB19" s="464">
        <v>1</v>
      </c>
      <c r="AC19" s="464"/>
      <c r="AD19" s="465" t="s">
        <v>747</v>
      </c>
      <c r="AE19" s="449"/>
      <c r="AG19" s="451"/>
      <c r="AH19" s="451"/>
      <c r="AI19" s="451"/>
      <c r="AJ19" s="451"/>
      <c r="AK19" s="451"/>
      <c r="AL19" s="451"/>
      <c r="AM19" s="444"/>
      <c r="AN19" s="451"/>
      <c r="AO19" s="451"/>
      <c r="AP19" s="451"/>
      <c r="AQ19" s="451"/>
      <c r="AR19" s="451"/>
      <c r="AS19" s="451"/>
      <c r="AT19" s="444"/>
      <c r="AU19" s="451"/>
      <c r="AV19" s="451"/>
      <c r="AW19" s="451"/>
      <c r="AX19" s="451"/>
      <c r="AY19" s="451"/>
      <c r="AZ19" s="451"/>
    </row>
    <row r="20" spans="2:52" x14ac:dyDescent="0.15">
      <c r="B20" s="469" t="s">
        <v>748</v>
      </c>
      <c r="C20" s="470" t="s">
        <v>623</v>
      </c>
      <c r="D20" s="470" t="s">
        <v>449</v>
      </c>
      <c r="E20" s="470" t="s">
        <v>735</v>
      </c>
      <c r="F20" s="471" t="s">
        <v>736</v>
      </c>
      <c r="G20" s="470" t="s">
        <v>737</v>
      </c>
      <c r="I20" s="451"/>
      <c r="J20" s="463" t="s">
        <v>86</v>
      </c>
      <c r="K20" s="464">
        <v>3</v>
      </c>
      <c r="L20" s="465">
        <v>1</v>
      </c>
      <c r="M20" s="449"/>
      <c r="N20" s="463" t="s">
        <v>203</v>
      </c>
      <c r="O20" s="464">
        <v>0</v>
      </c>
      <c r="P20" s="464">
        <v>1</v>
      </c>
      <c r="Q20" s="464"/>
      <c r="R20" s="465" t="s">
        <v>747</v>
      </c>
      <c r="S20" s="449"/>
      <c r="U20" s="451"/>
      <c r="V20" s="463" t="s">
        <v>86</v>
      </c>
      <c r="W20" s="464">
        <v>3</v>
      </c>
      <c r="X20" s="465">
        <v>1</v>
      </c>
      <c r="Y20" s="449"/>
      <c r="Z20" s="463" t="s">
        <v>203</v>
      </c>
      <c r="AA20" s="464">
        <v>0</v>
      </c>
      <c r="AB20" s="464">
        <v>1</v>
      </c>
      <c r="AC20" s="464"/>
      <c r="AD20" s="465" t="s">
        <v>747</v>
      </c>
      <c r="AE20" s="449"/>
      <c r="AG20" s="469" t="s">
        <v>748</v>
      </c>
      <c r="AH20" s="470" t="s">
        <v>623</v>
      </c>
      <c r="AI20" s="470" t="s">
        <v>449</v>
      </c>
      <c r="AJ20" s="470" t="s">
        <v>735</v>
      </c>
      <c r="AK20" s="471" t="s">
        <v>736</v>
      </c>
      <c r="AL20" s="470" t="s">
        <v>737</v>
      </c>
      <c r="AM20" s="444"/>
      <c r="AN20" s="469" t="s">
        <v>748</v>
      </c>
      <c r="AO20" s="470" t="s">
        <v>623</v>
      </c>
      <c r="AP20" s="470" t="s">
        <v>449</v>
      </c>
      <c r="AQ20" s="470" t="s">
        <v>735</v>
      </c>
      <c r="AR20" s="471" t="s">
        <v>736</v>
      </c>
      <c r="AS20" s="470" t="s">
        <v>737</v>
      </c>
      <c r="AT20" s="444"/>
      <c r="AU20" s="469" t="s">
        <v>748</v>
      </c>
      <c r="AV20" s="470" t="s">
        <v>623</v>
      </c>
      <c r="AW20" s="470" t="s">
        <v>449</v>
      </c>
      <c r="AX20" s="470" t="s">
        <v>735</v>
      </c>
      <c r="AY20" s="471" t="s">
        <v>736</v>
      </c>
      <c r="AZ20" s="470" t="s">
        <v>737</v>
      </c>
    </row>
    <row r="21" spans="2:52" x14ac:dyDescent="0.15">
      <c r="B21" s="470" t="s">
        <v>9</v>
      </c>
      <c r="C21" s="472">
        <f>IF(応用技!B23="－","0",VLOOKUP(応用技!B23,計算用!$V$6:$X$11,2,FALSE()))+IF(応用技!C23="－","0",VLOOKUP(応用技!C23,計算用!$V$6:$X$11,2,FALSE()))+IF(応用技!D23="－","0",VLOOKUP(応用技!D23,計算用!$V$6:$X$11,2,FALSE()))+COUNTIF(応用技!B23:D23,"防御発動")^2</f>
        <v>0</v>
      </c>
      <c r="D21" s="472">
        <f>IF(応用技!B23="－","0",VLOOKUP(応用技!B23,$J$6:$L$11,3,FALSE()))+IF(応用技!C23="－","0",VLOOKUP(応用技!C23,$J$6:$L$11,3,FALSE()))+IF(応用技!D23="－","0",VLOOKUP(応用技!D23,$J$6:$L$11,3,FALSE()))</f>
        <v>0</v>
      </c>
      <c r="E21" s="473"/>
      <c r="F21" s="471"/>
      <c r="G21" s="471"/>
      <c r="I21" s="451"/>
      <c r="J21" s="463" t="s">
        <v>51</v>
      </c>
      <c r="K21" s="464">
        <v>2</v>
      </c>
      <c r="L21" s="465">
        <v>1</v>
      </c>
      <c r="M21" s="449"/>
      <c r="N21" s="463" t="s">
        <v>212</v>
      </c>
      <c r="O21" s="464">
        <v>0</v>
      </c>
      <c r="P21" s="464">
        <v>1</v>
      </c>
      <c r="Q21" s="464"/>
      <c r="R21" s="465" t="s">
        <v>747</v>
      </c>
      <c r="S21" s="449"/>
      <c r="U21" s="451"/>
      <c r="V21" s="463" t="s">
        <v>51</v>
      </c>
      <c r="W21" s="464">
        <v>2</v>
      </c>
      <c r="X21" s="465">
        <v>1</v>
      </c>
      <c r="Y21" s="449"/>
      <c r="Z21" s="463" t="s">
        <v>212</v>
      </c>
      <c r="AA21" s="464">
        <v>0</v>
      </c>
      <c r="AB21" s="464">
        <v>1</v>
      </c>
      <c r="AC21" s="464"/>
      <c r="AD21" s="465" t="s">
        <v>747</v>
      </c>
      <c r="AE21" s="449"/>
      <c r="AG21" s="470" t="s">
        <v>9</v>
      </c>
      <c r="AH21" s="472">
        <f>IF(クリーチャー!P23="－","0",VLOOKUP(クリーチャー!P23,計算用!$V$6:$X$11,2,FALSE()))+IF(クリーチャー!Q23="－","0",VLOOKUP(クリーチャー!Q23,計算用!$V$6:$X$11,2,FALSE()))+IF(クリーチャー!R23="－","0",VLOOKUP(クリーチャー!R23,計算用!$V$6:$X$11,2,FALSE()))+COUNTIF(クリーチャー!P23:R23,"防御発動")^2</f>
        <v>0</v>
      </c>
      <c r="AI21" s="472">
        <f>IF(クリーチャー!P23="－","0",VLOOKUP(クリーチャー!P23,$J$6:$L$11,3,FALSE()))+IF(クリーチャー!Q23="－","0",VLOOKUP(クリーチャー!Q23,$J$6:$L$11,3,FALSE()))+IF(クリーチャー!R23="－","0",VLOOKUP(クリーチャー!R23,$J$6:$L$11,3,FALSE()))</f>
        <v>0</v>
      </c>
      <c r="AJ21" s="473"/>
      <c r="AK21" s="471"/>
      <c r="AL21" s="471"/>
      <c r="AM21" s="444"/>
      <c r="AN21" s="470" t="s">
        <v>9</v>
      </c>
      <c r="AO21" s="472">
        <f>IF(クリーチャー_2!P23="－","0",VLOOKUP(クリーチャー_2!P23,計算用!$V$6:$X$11,2,FALSE()))+IF(クリーチャー_2!Q23="－","0",VLOOKUP(クリーチャー_2!Q23,計算用!$V$6:$X$11,2,FALSE()))+IF(クリーチャー_2!R23="－","0",VLOOKUP(クリーチャー_2!R23,計算用!$V$6:$X$11,2,FALSE()))+COUNTIF(クリーチャー_2!P23:R23,"防御発動")^2</f>
        <v>0</v>
      </c>
      <c r="AP21" s="472">
        <f>IF(クリーチャー_2!P23="－","0",VLOOKUP(クリーチャー_2!P23,$J$6:$L$11,3,FALSE()))+IF(クリーチャー_2!Q23="－","0",VLOOKUP(クリーチャー_2!Q23,$J$6:$L$11,3,FALSE()))+IF(クリーチャー_2!R23="－","0",VLOOKUP(クリーチャー_2!R23,$J$6:$L$11,3,FALSE()))</f>
        <v>0</v>
      </c>
      <c r="AQ21" s="473"/>
      <c r="AR21" s="471"/>
      <c r="AS21" s="471"/>
      <c r="AT21" s="444"/>
      <c r="AU21" s="470" t="s">
        <v>9</v>
      </c>
      <c r="AV21" s="472">
        <f>IF(クリーチャー_3!P23="－","0",VLOOKUP(クリーチャー_3!P23,計算用!$V$6:$X$11,2,FALSE()))+IF(クリーチャー_3!Q23="－","0",VLOOKUP(クリーチャー_3!Q23,計算用!$V$6:$X$11,2,FALSE()))+IF(クリーチャー_3!R23="－","0",VLOOKUP(クリーチャー_3!R23,計算用!$V$6:$X$11,2,FALSE()))+COUNTIF(クリーチャー_3!P23:R23,"防御発動")^2</f>
        <v>0</v>
      </c>
      <c r="AW21" s="472">
        <f>IF(クリーチャー_3!P23="－","0",VLOOKUP(クリーチャー_3!P23,$J$6:$L$11,3,FALSE()))+IF(クリーチャー_3!Q23="－","0",VLOOKUP(クリーチャー_3!Q23,$J$6:$L$11,3,FALSE()))+IF(クリーチャー_3!R23="－","0",VLOOKUP(クリーチャー_3!R23,$J$6:$L$11,3,FALSE()))</f>
        <v>0</v>
      </c>
      <c r="AX21" s="473"/>
      <c r="AY21" s="471"/>
      <c r="AZ21" s="471"/>
    </row>
    <row r="22" spans="2:52" x14ac:dyDescent="0.15">
      <c r="B22" s="470" t="s">
        <v>10</v>
      </c>
      <c r="C22" s="472" cm="1">
        <f t="array" ref="C22">IF(応用技!E23="－","0",VLOOKUP(応用技!E23,$Z$6:$AD$57,2,FALSE()))+IF(応用技!F23="－","0",VLOOKUP(応用技!F23,Z6:$AD$57,2,FALSE()))+IF(応用技!G23="－","0",VLOOKUP(応用技!G23,$Z$6:$AD$57,2,FALSE()))+IF(応用技!E24="－","0",VLOOKUP(応用技!E24,$Z$6:$AD$57,2,FALSE()))+IF(応用技!F24="－","0",VLOOKUP(応用技!F24,$Z$6:$AD$57,2,FALSE()))+IF(応用技!G24="－","0",VLOOKUP(応用技!G24,$Z$6:$AD$57,2,FALSE()))+_xlfn.IFS(F22&gt;=2,1+2*(F22-1),F22=1,1,F22=0,0)+_xlfn.IFS(G22&gt;=2,1+2*(G22-1),G22=1,1,G22=0,0)</f>
        <v>0</v>
      </c>
      <c r="D22" s="472">
        <f>IF(応用技!E23="－","0",VLOOKUP(応用技!E23,$Z$6:$AD$57,3,FALSE()))+IF(応用技!F23="－","0",VLOOKUP(応用技!F23,$Z$6:$AD$57,3,FALSE()))+IF(応用技!G23="－","0",VLOOKUP(応用技!G23,$Z$6:$AD$57,3,FALSE()))+IF(応用技!E24="－","0",VLOOKUP(応用技!E24,$Z$6:$AD$57,3,FALSE()))+IF(応用技!F24="－","0",VLOOKUP(応用技!F24,$Z$6:$AD$57,3,FALSE()))+IF(応用技!G24="－","0",VLOOKUP(応用技!G24,$Z$6:$AD$57,3,FALSE()))</f>
        <v>0</v>
      </c>
      <c r="E22" s="472">
        <f>IF(応用技!E23="－","0",VLOOKUP(応用技!E23,$Z$6:$AD$57,4,FALSE()))
+IF(応用技!F23="－","0",VLOOKUP(応用技!F23,$Z$6:$AD$57,4,FALSE()))
+IF(応用技!G23="－","0",VLOOKUP(応用技!G23,$Z$6:$AD$57,4,FALSE()))
+IF(応用技!E24="－","0",VLOOKUP(応用技!E24,$Z$6:$AD$57,4,FALSE()))
+IF(応用技!F24="－","0",VLOOKUP(応用技!F24,$Z$6:$AD$57,4,FALSE()))
+IF(応用技!G24="－","0",VLOOKUP(応用技!G24,$Z$6:$AD$57,4,FALSE()))</f>
        <v>0</v>
      </c>
      <c r="F22" s="471">
        <f>COUNTIFS(応用技!E23:G24,"強化*")</f>
        <v>0</v>
      </c>
      <c r="G22" s="471">
        <f>COUNTIFS(応用技!E23:G24,"減衰*")</f>
        <v>0</v>
      </c>
      <c r="I22" s="451"/>
      <c r="J22" s="463" t="s">
        <v>143</v>
      </c>
      <c r="K22" s="464">
        <v>4</v>
      </c>
      <c r="L22" s="465">
        <v>1</v>
      </c>
      <c r="M22" s="449"/>
      <c r="N22" s="463" t="s">
        <v>222</v>
      </c>
      <c r="O22" s="464">
        <v>2</v>
      </c>
      <c r="P22" s="464">
        <v>1</v>
      </c>
      <c r="Q22" s="464"/>
      <c r="R22" s="465"/>
      <c r="S22" s="449"/>
      <c r="U22" s="451"/>
      <c r="V22" s="463" t="s">
        <v>143</v>
      </c>
      <c r="W22" s="464">
        <v>4</v>
      </c>
      <c r="X22" s="465">
        <v>1</v>
      </c>
      <c r="Y22" s="449"/>
      <c r="Z22" s="463" t="s">
        <v>222</v>
      </c>
      <c r="AA22" s="464">
        <v>2</v>
      </c>
      <c r="AB22" s="464">
        <v>1</v>
      </c>
      <c r="AC22" s="464"/>
      <c r="AD22" s="465"/>
      <c r="AE22" s="449"/>
      <c r="AG22" s="470" t="s">
        <v>10</v>
      </c>
      <c r="AH22" s="472" cm="1">
        <f t="array" ref="AH22">IF(クリーチャー!S23="－","0",VLOOKUP(クリーチャー!S23,$Z$6:$AD$57,2,FALSE()))+IF(クリーチャー!T23="－","0",VLOOKUP(クリーチャー!T23,Z6:$AD$57,2,FALSE()))+IF(クリーチャー!U23="－","0",VLOOKUP(クリーチャー!U23,$Z$6:$AD$57,2,FALSE()))+IF(クリーチャー!S24="－","0",VLOOKUP(クリーチャー!S24,$Z$6:$AD$57,2,FALSE()))+IF(クリーチャー!T24="－","0",VLOOKUP(クリーチャー!T24,$Z$6:$AD$57,2,FALSE()))+IF(クリーチャー!U24="－","0",VLOOKUP(クリーチャー!U24,$Z$6:$AD$57,2,FALSE()))+_xlfn.IFS(AK22&gt;=2,1+2*(AK22-1),AK22=1,1,AK22=0,0)+_xlfn.IFS(AL22&gt;=2,1+2*(AL22-1),AL22=1,1,AL22=0,0)</f>
        <v>0</v>
      </c>
      <c r="AI22" s="472">
        <f>IF(クリーチャー!S23="－","0",VLOOKUP(クリーチャー!S23,$Z$6:$AD$57,3,FALSE()))+IF(クリーチャー!T23="－","0",VLOOKUP(クリーチャー!T23,$Z$6:$AD$57,3,FALSE()))+IF(クリーチャー!U23="－","0",VLOOKUP(クリーチャー!U23,$Z$6:$AD$57,3,FALSE()))+IF(クリーチャー!S24="－","0",VLOOKUP(クリーチャー!S24,$Z$6:$AD$57,3,FALSE()))+IF(クリーチャー!T24="－","0",VLOOKUP(クリーチャー!T24,$Z$6:$AD$57,3,FALSE()))+IF(クリーチャー!U24="－","0",VLOOKUP(クリーチャー!U24,$Z$6:$AD$57,3,FALSE()))</f>
        <v>0</v>
      </c>
      <c r="AJ22" s="472">
        <f>IF(クリーチャー!S23="－","0",VLOOKUP(クリーチャー!S23,$Z$6:$AD$57,4,FALSE()))+IF(クリーチャー!T23="－","0",VLOOKUP(クリーチャー!T23,$Z$6:$AD$57,4,FALSE()))+IF(クリーチャー!U23="－","0",VLOOKUP(クリーチャー!U23,$Z$6:$AD$57,4,FALSE()))+IF(クリーチャー!S24="－","0",VLOOKUP(クリーチャー!S24,$Z$6:$AD$57,4,FALSE()))+IF(クリーチャー!T24="－","0",VLOOKUP(クリーチャー!T24,$Z$6:$AD$57,4,FALSE()))+IF(クリーチャー!U24="－","0",VLOOKUP(クリーチャー!U24,$Z$6:$AD$57,4,FALSE()))</f>
        <v>0</v>
      </c>
      <c r="AK22" s="471">
        <f>COUNTIFS(クリーチャー!S23:U24,"強化*")</f>
        <v>0</v>
      </c>
      <c r="AL22" s="471">
        <f>COUNTIFS(クリーチャー!S23:U24,"減衰*")</f>
        <v>0</v>
      </c>
      <c r="AM22" s="444"/>
      <c r="AN22" s="470" t="s">
        <v>10</v>
      </c>
      <c r="AO22" s="472" cm="1">
        <f t="array" ref="AO22">IF(クリーチャー_2!S23="－","0",VLOOKUP(クリーチャー_2!S23,$Z$6:$AD$57,2,FALSE()))+IF(クリーチャー_2!T23="－","0",VLOOKUP(クリーチャー_2!T23,Z6:$AD$57,2,FALSE()))+IF(クリーチャー_2!U23="－","0",VLOOKUP(クリーチャー_2!U23,$Z$6:$AD$57,2,FALSE()))+IF(クリーチャー_2!S24="－","0",VLOOKUP(クリーチャー_2!S24,$Z$6:$AD$57,2,FALSE()))+IF(クリーチャー_2!T24="－","0",VLOOKUP(クリーチャー_2!T24,$Z$6:$AD$57,2,FALSE()))+IF(クリーチャー_2!U24="－","0",VLOOKUP(クリーチャー_2!U24,$Z$6:$AD$57,2,FALSE()))+_xlfn.IFS(AR22&gt;=2,1+2*(AR22-1),AR22=1,1,AR22=0,0)+_xlfn.IFS(AS22&gt;=2,1+2*(AS22-1),AS22=1,1,AS22=0,0)</f>
        <v>0</v>
      </c>
      <c r="AP22" s="472">
        <f>IF(クリーチャー_2!S23="－","0",VLOOKUP(クリーチャー_2!S23,$Z$6:$AD$57,3,FALSE()))+IF(クリーチャー_2!T23="－","0",VLOOKUP(クリーチャー_2!T23,$Z$6:$AD$57,3,FALSE()))+IF(クリーチャー_2!U23="－","0",VLOOKUP(クリーチャー_2!U23,$Z$6:$AD$57,3,FALSE()))+IF(クリーチャー_2!S24="－","0",VLOOKUP(クリーチャー_2!S24,$Z$6:$AD$57,3,FALSE()))+IF(クリーチャー_2!T24="－","0",VLOOKUP(クリーチャー_2!T24,$Z$6:$AD$57,3,FALSE()))+IF(クリーチャー_2!U24="－","0",VLOOKUP(クリーチャー_2!U24,$Z$6:$AD$57,3,FALSE()))</f>
        <v>0</v>
      </c>
      <c r="AQ22" s="472">
        <f>IF(クリーチャー_2!S23="－","0",VLOOKUP(クリーチャー_2!S23,$Z$6:$AD$57,4,FALSE()))+IF(クリーチャー_2!T23="－","0",VLOOKUP(クリーチャー_2!T23,$Z$6:$AD$57,4,FALSE()))+IF(クリーチャー_2!U23="－","0",VLOOKUP(クリーチャー_2!U23,$Z$6:$AD$57,4,FALSE()))+IF(クリーチャー_2!S24="－","0",VLOOKUP(クリーチャー_2!S24,$Z$6:$AD$57,4,FALSE()))+IF(クリーチャー_2!T24="－","0",VLOOKUP(クリーチャー_2!T24,$Z$6:$AD$57,4,FALSE()))+IF(クリーチャー_2!U24="－","0",VLOOKUP(クリーチャー_2!U24,$Z$6:$AD$57,4,FALSE()))</f>
        <v>0</v>
      </c>
      <c r="AR22" s="471">
        <f>COUNTIFS(クリーチャー_2!S23:U24,"強化*")</f>
        <v>0</v>
      </c>
      <c r="AS22" s="471">
        <f>COUNTIFS(クリーチャー_2!S23:U24,"減衰*")</f>
        <v>0</v>
      </c>
      <c r="AT22" s="444"/>
      <c r="AU22" s="470" t="s">
        <v>10</v>
      </c>
      <c r="AV22" s="472" cm="1">
        <f t="array" ref="AV22">IF(クリーチャー_3!S23="－","0",VLOOKUP(クリーチャー_3!S23,$Z$6:$AD$57,2,FALSE()))+IF(クリーチャー_3!T23="－","0",VLOOKUP(クリーチャー_3!T23,Z6:$AD$57,2,FALSE()))+IF(クリーチャー_3!U23="－","0",VLOOKUP(クリーチャー_3!U23,$Z$6:$AD$57,2,FALSE()))+IF(クリーチャー_3!S24="－","0",VLOOKUP(クリーチャー_3!S24,$Z$6:$AD$57,2,FALSE()))+IF(クリーチャー_3!T24="－","0",VLOOKUP(クリーチャー_3!T24,$Z$6:$AD$57,2,FALSE()))+IF(クリーチャー_3!U24="－","0",VLOOKUP(クリーチャー_3!U24,$Z$6:$AD$57,2,FALSE()))+_xlfn.IFS(AY22&gt;=2,1+2*(AY22-1),AY22=1,1,AY22=0,0)+_xlfn.IFS(AZ22&gt;=2,1+2*(AZ22-1),AZ22=1,1,AZ22=0,0)</f>
        <v>0</v>
      </c>
      <c r="AW22" s="472">
        <f>IF(クリーチャー_3!S23="－","0",VLOOKUP(クリーチャー_3!S23,$Z$6:$AD$57,3,FALSE()))+IF(クリーチャー_3!T23="－","0",VLOOKUP(クリーチャー_3!T23,$Z$6:$AD$57,3,FALSE()))+IF(クリーチャー_3!U23="－","0",VLOOKUP(クリーチャー_3!U23,$Z$6:$AD$57,3,FALSE()))+IF(クリーチャー_3!S24="－","0",VLOOKUP(クリーチャー_3!S24,$Z$6:$AD$57,3,FALSE()))+IF(クリーチャー_3!T24="－","0",VLOOKUP(クリーチャー_3!T24,$Z$6:$AD$57,3,FALSE()))+IF(クリーチャー_3!U24="－","0",VLOOKUP(クリーチャー_3!U24,$Z$6:$AD$57,3,FALSE()))</f>
        <v>0</v>
      </c>
      <c r="AX22" s="472">
        <f>IF(クリーチャー_3!S23="－","0",VLOOKUP(クリーチャー_3!S23,$Z$6:$AD$57,4,FALSE()))+IF(クリーチャー_3!T23="－","0",VLOOKUP(クリーチャー_3!T23,$Z$6:$AD$57,4,FALSE()))+IF(クリーチャー_3!U23="－","0",VLOOKUP(クリーチャー_3!U23,$Z$6:$AD$57,4,FALSE()))+IF(クリーチャー_3!S24="－","0",VLOOKUP(クリーチャー_3!S24,$Z$6:$AD$57,4,FALSE()))+IF(クリーチャー_3!T24="－","0",VLOOKUP(クリーチャー_3!T24,$Z$6:$AD$57,4,FALSE()))+IF(クリーチャー_3!U24="－","0",VLOOKUP(クリーチャー_3!U24,$Z$6:$AD$57,4,FALSE()))</f>
        <v>0</v>
      </c>
      <c r="AY22" s="471">
        <f>COUNTIFS(クリーチャー_3!S23:U24,"強化*")</f>
        <v>0</v>
      </c>
      <c r="AZ22" s="471">
        <f>COUNTIFS(クリーチャー_3!S23:U24,"減衰*")</f>
        <v>0</v>
      </c>
    </row>
    <row r="23" spans="2:52" x14ac:dyDescent="0.15">
      <c r="B23" s="470" t="s">
        <v>740</v>
      </c>
      <c r="C23" s="472">
        <f>IF(応用技!H23="－","0",VLOOKUP(応用技!H23,$V$15:$X$28,2,FALSE()))+IF(応用技!I23="－","0",VLOOKUP(応用技!I23,$V$15:$X$28,2,FALSE()))+IF(応用技!J23="－","0",VLOOKUP(応用技!J23,$V$15:$X$28,2,FALSE()))+IF(応用技!H24="－","0",VLOOKUP(応用技!H24,$V$15:$X$28,2,FALSE()))+IF(応用技!I24="－","0",VLOOKUP(応用技!I24,$V$15:$X$28,2,FALSE()))+IF(応用技!J24="－","0",VLOOKUP(応用技!J24,$V$15:$X$28,2,FALSE()))</f>
        <v>0</v>
      </c>
      <c r="D23" s="472">
        <f>IF(応用技!H23="－","0",VLOOKUP(応用技!H23,$V$15:$X$28,3,FALSE()))+IF(応用技!I23="－","0",VLOOKUP(応用技!I23,$V$15:$X$28,3,FALSE()))+IF(応用技!J23="－","0",VLOOKUP(応用技!J23,$V$15:$X$28,3,FALSE()))+IF(応用技!H24="－","0",VLOOKUP(応用技!H24,$V$15:$X$28,3,FALSE()))+IF(応用技!I24="－","0",VLOOKUP(応用技!I24,$V$15:$X$28,3,FALSE()))+IF(応用技!J24="－","0",VLOOKUP(応用技!J24,$V$15:$X$28,3,FALSE()))</f>
        <v>0</v>
      </c>
      <c r="E23" s="472"/>
      <c r="F23" s="471"/>
      <c r="G23" s="471"/>
      <c r="I23" s="451"/>
      <c r="J23" s="463" t="s">
        <v>31</v>
      </c>
      <c r="K23" s="464">
        <v>1</v>
      </c>
      <c r="L23" s="465">
        <v>1</v>
      </c>
      <c r="M23" s="449"/>
      <c r="N23" s="463" t="s">
        <v>230</v>
      </c>
      <c r="O23" s="464">
        <v>2</v>
      </c>
      <c r="P23" s="464">
        <v>1</v>
      </c>
      <c r="Q23" s="464"/>
      <c r="R23" s="465"/>
      <c r="S23" s="449"/>
      <c r="U23" s="451"/>
      <c r="V23" s="463" t="s">
        <v>31</v>
      </c>
      <c r="W23" s="464">
        <v>1</v>
      </c>
      <c r="X23" s="465">
        <v>1</v>
      </c>
      <c r="Y23" s="449"/>
      <c r="Z23" s="463" t="s">
        <v>230</v>
      </c>
      <c r="AA23" s="464">
        <v>2</v>
      </c>
      <c r="AB23" s="464">
        <v>1</v>
      </c>
      <c r="AC23" s="464"/>
      <c r="AD23" s="465"/>
      <c r="AE23" s="449"/>
      <c r="AG23" s="470" t="s">
        <v>740</v>
      </c>
      <c r="AH23" s="472">
        <f>IF(クリーチャー!V23="－","0",VLOOKUP(クリーチャー!V23,$V$15:$X$28,2,FALSE()))+IF(クリーチャー!W23="－","0",VLOOKUP(クリーチャー!W23,$V$15:$X$28,2,FALSE()))+IF(クリーチャー!X23="－","0",VLOOKUP(クリーチャー!X23,$V$15:$X$28,2,FALSE()))+IF(クリーチャー!V24="－","0",VLOOKUP(クリーチャー!V24,$V$15:$X$28,2,FALSE()))+IF(クリーチャー!W24="－","0",VLOOKUP(クリーチャー!W24,$V$15:$X$28,2,FALSE()))+IF(クリーチャー!X24="－","0",VLOOKUP(クリーチャー!X24,$V$15:$X$28,2,FALSE()))</f>
        <v>0</v>
      </c>
      <c r="AI23" s="472">
        <f>IF(クリーチャー!V23="－","0",VLOOKUP(クリーチャー!V23,$V$15:$X$28,3,FALSE()))+IF(クリーチャー!W23="－","0",VLOOKUP(クリーチャー!W23,$V$15:$X$28,3,FALSE()))+IF(クリーチャー!X23="－","0",VLOOKUP(クリーチャー!X23,$V$15:$X$28,3,FALSE()))+IF(クリーチャー!V24="－","0",VLOOKUP(クリーチャー!V24,$V$15:$X$28,3,FALSE()))+IF(クリーチャー!W24="－","0",VLOOKUP(クリーチャー!W24,$V$15:$X$28,3,FALSE()))+IF(クリーチャー!X24="－","0",VLOOKUP(クリーチャー!X24,$V$15:$X$28,3,FALSE()))</f>
        <v>0</v>
      </c>
      <c r="AJ23" s="472"/>
      <c r="AK23" s="471"/>
      <c r="AL23" s="471"/>
      <c r="AM23" s="444"/>
      <c r="AN23" s="470" t="s">
        <v>740</v>
      </c>
      <c r="AO23" s="472">
        <f>IF(クリーチャー_2!V23="－","0",VLOOKUP(クリーチャー_2!V23,$V$15:$X$28,2,FALSE()))+IF(クリーチャー_2!W23="－","0",VLOOKUP(クリーチャー_2!W23,$V$15:$X$28,2,FALSE()))+IF(クリーチャー_2!X23="－","0",VLOOKUP(クリーチャー_2!X23,$V$15:$X$28,2,FALSE()))+IF(クリーチャー_2!V24="－","0",VLOOKUP(クリーチャー_2!V24,$V$15:$X$28,2,FALSE()))+IF(クリーチャー_2!W24="－","0",VLOOKUP(クリーチャー_2!W24,$V$15:$X$28,2,FALSE()))+IF(クリーチャー_2!X24="－","0",VLOOKUP(クリーチャー_2!X24,$V$15:$X$28,2,FALSE()))</f>
        <v>0</v>
      </c>
      <c r="AP23" s="472">
        <f>IF(クリーチャー_2!V23="－","0",VLOOKUP(クリーチャー_2!V23,$V$15:$X$28,3,FALSE()))+IF(クリーチャー_2!W23="－","0",VLOOKUP(クリーチャー_2!W23,$V$15:$X$28,3,FALSE()))+IF(クリーチャー_2!X23="－","0",VLOOKUP(クリーチャー_2!X23,$V$15:$X$28,3,FALSE()))+IF(クリーチャー_2!V24="－","0",VLOOKUP(クリーチャー_2!V24,$V$15:$X$28,3,FALSE()))+IF(クリーチャー_2!W24="－","0",VLOOKUP(クリーチャー_2!W24,$V$15:$X$28,3,FALSE()))+IF(クリーチャー_2!X24="－","0",VLOOKUP(クリーチャー_2!X24,$V$15:$X$28,3,FALSE()))</f>
        <v>0</v>
      </c>
      <c r="AQ23" s="472"/>
      <c r="AR23" s="471"/>
      <c r="AS23" s="471"/>
      <c r="AT23" s="444"/>
      <c r="AU23" s="470" t="s">
        <v>740</v>
      </c>
      <c r="AV23" s="472">
        <f>IF(クリーチャー_3!V23="－","0",VLOOKUP(クリーチャー_3!V23,$V$15:$X$28,2,FALSE()))+IF(クリーチャー_3!W23="－","0",VLOOKUP(クリーチャー_3!W23,$V$15:$X$28,2,FALSE()))+IF(クリーチャー_3!X23="－","0",VLOOKUP(クリーチャー_3!X23,$V$15:$X$28,2,FALSE()))+IF(クリーチャー_3!V24="－","0",VLOOKUP(クリーチャー_3!V24,$V$15:$X$28,2,FALSE()))+IF(クリーチャー_3!W24="－","0",VLOOKUP(クリーチャー_3!W24,$V$15:$X$28,2,FALSE()))+IF(クリーチャー_3!X24="－","0",VLOOKUP(クリーチャー_3!X24,$V$15:$X$28,2,FALSE()))</f>
        <v>0</v>
      </c>
      <c r="AW23" s="472">
        <f>IF(クリーチャー_3!V23="－","0",VLOOKUP(クリーチャー_3!V23,$V$15:$X$28,3,FALSE()))+IF(クリーチャー_3!W23="－","0",VLOOKUP(クリーチャー_3!W23,$V$15:$X$28,3,FALSE()))+IF(クリーチャー_3!X23="－","0",VLOOKUP(クリーチャー_3!X23,$V$15:$X$28,3,FALSE()))+IF(クリーチャー_3!V24="－","0",VLOOKUP(クリーチャー_3!V24,$V$15:$X$28,3,FALSE()))+IF(クリーチャー_3!W24="－","0",VLOOKUP(クリーチャー_3!W24,$V$15:$X$28,3,FALSE()))+IF(クリーチャー_3!X24="－","0",VLOOKUP(クリーチャー_3!X24,$V$15:$X$28,3,FALSE()))</f>
        <v>0</v>
      </c>
      <c r="AX23" s="472"/>
      <c r="AY23" s="471"/>
      <c r="AZ23" s="471"/>
    </row>
    <row r="24" spans="2:52" x14ac:dyDescent="0.15">
      <c r="B24" s="470" t="s">
        <v>743</v>
      </c>
      <c r="C24" s="472">
        <f t="array" ref="C24">_xlfn.IFS(COUNTIF(応用技!E23:G24,"創造")&gt;=1,SUM(C21:C23)+1&amp;"～"&amp;SUM(C21:C23)+10,COUNTIF(応用技!E23:G24,"限定*")&gt;=1,"※",COUNTIF(応用技!E23:G24,"影響無効")&gt;=1,"※",TRUE(),SUM(C21:C23))</f>
        <v>0</v>
      </c>
      <c r="D24" s="472">
        <f>SUM(D21:D23)</f>
        <v>0</v>
      </c>
      <c r="E24" s="472">
        <f>SUM(E21:E23)</f>
        <v>0</v>
      </c>
      <c r="F24" s="471"/>
      <c r="G24" s="471"/>
      <c r="I24" s="451"/>
      <c r="J24" s="463" t="s">
        <v>153</v>
      </c>
      <c r="K24" s="464">
        <v>3</v>
      </c>
      <c r="L24" s="465">
        <v>1</v>
      </c>
      <c r="M24" s="449"/>
      <c r="N24" s="463" t="s">
        <v>239</v>
      </c>
      <c r="O24" s="464">
        <v>2</v>
      </c>
      <c r="P24" s="464">
        <v>1</v>
      </c>
      <c r="Q24" s="464"/>
      <c r="R24" s="465"/>
      <c r="S24" s="449"/>
      <c r="U24" s="451"/>
      <c r="V24" s="463" t="s">
        <v>153</v>
      </c>
      <c r="W24" s="464">
        <v>3</v>
      </c>
      <c r="X24" s="465">
        <v>1</v>
      </c>
      <c r="Y24" s="449"/>
      <c r="Z24" s="463" t="s">
        <v>239</v>
      </c>
      <c r="AA24" s="464">
        <v>2</v>
      </c>
      <c r="AB24" s="464">
        <v>1</v>
      </c>
      <c r="AC24" s="464"/>
      <c r="AD24" s="465"/>
      <c r="AE24" s="449"/>
      <c r="AG24" s="470" t="s">
        <v>743</v>
      </c>
      <c r="AH24" s="472">
        <f t="array" ref="AH24">_xlfn.IFS(COUNTIF(クリーチャー!S23:U24,"創造")&gt;=1,SUM(AH21:AH23)+1&amp;"～"&amp;SUM(AH21:AH23)+10,COUNTIF(クリーチャー!S23:U24,"限定*")&gt;=1,"※",COUNTIF(クリーチャー!S23:U24,"影響無効")&gt;=1,"※",TRUE(),SUM(AH21:AH23))</f>
        <v>0</v>
      </c>
      <c r="AI24" s="472">
        <f>SUM(AI21:AI23)</f>
        <v>0</v>
      </c>
      <c r="AJ24" s="472">
        <f>SUM(AJ21:AJ23)</f>
        <v>0</v>
      </c>
      <c r="AK24" s="471"/>
      <c r="AL24" s="471"/>
      <c r="AM24" s="444"/>
      <c r="AN24" s="470" t="s">
        <v>743</v>
      </c>
      <c r="AO24" s="472">
        <f t="array" ref="AO24">_xlfn.IFS(COUNTIF(クリーチャー_2!S23:U24,"創造")&gt;=1,SUM(AO21:AO23)+1&amp;"～"&amp;SUM(AO21:AO23)+10,COUNTIF(クリーチャー_2!S23:U24,"限定*")&gt;=1,"※",COUNTIF(クリーチャー_2!S23:U24,"影響無効")&gt;=1,"※",TRUE(),SUM(AO21:AO23))</f>
        <v>0</v>
      </c>
      <c r="AP24" s="472">
        <f>SUM(AP21:AP23)</f>
        <v>0</v>
      </c>
      <c r="AQ24" s="472">
        <f>SUM(AQ21:AQ23)</f>
        <v>0</v>
      </c>
      <c r="AR24" s="471"/>
      <c r="AS24" s="471"/>
      <c r="AT24" s="444"/>
      <c r="AU24" s="470" t="s">
        <v>743</v>
      </c>
      <c r="AV24" s="472">
        <f t="array" ref="AV24">_xlfn.IFS(COUNTIF(クリーチャー_3!S23:U24,"創造")&gt;=1,SUM(AV21:AV23)+1&amp;"～"&amp;SUM(AV21:AV23)+10,COUNTIF(クリーチャー_3!S23:U24,"限定*")&gt;=1,"※",COUNTIF(クリーチャー_3!S23:U24,"影響無効")&gt;=1,"※",TRUE(),SUM(AV21:AV23))</f>
        <v>0</v>
      </c>
      <c r="AW24" s="472">
        <f>SUM(AW21:AW23)</f>
        <v>0</v>
      </c>
      <c r="AX24" s="472">
        <f>SUM(AX21:AX23)</f>
        <v>0</v>
      </c>
      <c r="AY24" s="471"/>
      <c r="AZ24" s="471"/>
    </row>
    <row r="25" spans="2:52" x14ac:dyDescent="0.15">
      <c r="I25" s="451"/>
      <c r="J25" s="463" t="s">
        <v>163</v>
      </c>
      <c r="K25" s="464">
        <v>4</v>
      </c>
      <c r="L25" s="465">
        <v>2</v>
      </c>
      <c r="M25" s="449"/>
      <c r="N25" s="463" t="s">
        <v>248</v>
      </c>
      <c r="O25" s="464">
        <v>2</v>
      </c>
      <c r="P25" s="464">
        <v>1</v>
      </c>
      <c r="Q25" s="464"/>
      <c r="R25" s="465"/>
      <c r="S25" s="449"/>
      <c r="U25" s="451"/>
      <c r="V25" s="463" t="s">
        <v>163</v>
      </c>
      <c r="W25" s="464">
        <v>4</v>
      </c>
      <c r="X25" s="465">
        <v>2</v>
      </c>
      <c r="Y25" s="449"/>
      <c r="Z25" s="463" t="s">
        <v>248</v>
      </c>
      <c r="AA25" s="464">
        <v>2</v>
      </c>
      <c r="AB25" s="464">
        <v>1</v>
      </c>
      <c r="AC25" s="464"/>
      <c r="AD25" s="465"/>
      <c r="AE25" s="449"/>
      <c r="AI25" s="444"/>
      <c r="AJ25" s="444"/>
      <c r="AK25" s="444"/>
      <c r="AL25" s="444"/>
      <c r="AM25" s="444"/>
      <c r="AN25" s="444"/>
      <c r="AO25" s="444"/>
      <c r="AP25" s="444"/>
      <c r="AQ25" s="444"/>
      <c r="AS25" s="444"/>
      <c r="AT25" s="444"/>
      <c r="AU25" s="444"/>
      <c r="AV25" s="444"/>
    </row>
    <row r="26" spans="2:52" x14ac:dyDescent="0.15">
      <c r="B26" s="445" t="s">
        <v>749</v>
      </c>
      <c r="C26" s="446" t="s">
        <v>623</v>
      </c>
      <c r="D26" s="446" t="s">
        <v>449</v>
      </c>
      <c r="E26" s="446" t="s">
        <v>735</v>
      </c>
      <c r="F26" s="447" t="s">
        <v>736</v>
      </c>
      <c r="G26" s="446" t="s">
        <v>737</v>
      </c>
      <c r="I26" s="451"/>
      <c r="J26" s="463" t="s">
        <v>174</v>
      </c>
      <c r="K26" s="464">
        <v>5</v>
      </c>
      <c r="L26" s="465">
        <v>2</v>
      </c>
      <c r="M26" s="449"/>
      <c r="N26" s="463" t="s">
        <v>256</v>
      </c>
      <c r="O26" s="464">
        <v>2</v>
      </c>
      <c r="P26" s="464">
        <v>1</v>
      </c>
      <c r="Q26" s="464"/>
      <c r="R26" s="465"/>
      <c r="S26" s="449"/>
      <c r="U26" s="451"/>
      <c r="V26" s="463" t="s">
        <v>174</v>
      </c>
      <c r="W26" s="464">
        <v>5</v>
      </c>
      <c r="X26" s="465">
        <v>2</v>
      </c>
      <c r="Y26" s="449"/>
      <c r="Z26" s="463" t="s">
        <v>256</v>
      </c>
      <c r="AA26" s="464">
        <v>2</v>
      </c>
      <c r="AB26" s="464">
        <v>1</v>
      </c>
      <c r="AC26" s="464"/>
      <c r="AD26" s="465"/>
      <c r="AE26" s="449"/>
      <c r="AG26" s="445" t="s">
        <v>749</v>
      </c>
      <c r="AH26" s="446" t="s">
        <v>623</v>
      </c>
      <c r="AI26" s="446" t="s">
        <v>449</v>
      </c>
      <c r="AJ26" s="446" t="s">
        <v>735</v>
      </c>
      <c r="AK26" s="447" t="s">
        <v>736</v>
      </c>
      <c r="AL26" s="446" t="s">
        <v>737</v>
      </c>
      <c r="AM26" s="444"/>
      <c r="AN26" s="445" t="s">
        <v>749</v>
      </c>
      <c r="AO26" s="446" t="s">
        <v>623</v>
      </c>
      <c r="AP26" s="446" t="s">
        <v>449</v>
      </c>
      <c r="AQ26" s="446" t="s">
        <v>735</v>
      </c>
      <c r="AR26" s="447" t="s">
        <v>736</v>
      </c>
      <c r="AS26" s="446" t="s">
        <v>737</v>
      </c>
      <c r="AT26" s="444"/>
      <c r="AU26" s="445" t="s">
        <v>749</v>
      </c>
      <c r="AV26" s="446" t="s">
        <v>623</v>
      </c>
      <c r="AW26" s="446" t="s">
        <v>449</v>
      </c>
      <c r="AX26" s="446" t="s">
        <v>735</v>
      </c>
      <c r="AY26" s="447" t="s">
        <v>736</v>
      </c>
      <c r="AZ26" s="446" t="s">
        <v>737</v>
      </c>
    </row>
    <row r="27" spans="2:52" x14ac:dyDescent="0.15">
      <c r="B27" s="446" t="s">
        <v>9</v>
      </c>
      <c r="C27" s="450">
        <f>IF(応用技!B34="－","0",VLOOKUP(応用技!B34,計算用!$J$6:$L$11,2,FALSE()))+IF(応用技!C34="－","0",VLOOKUP(応用技!C34,計算用!$J$6:$L$11,2,FALSE()))+IF(応用技!D34="－","0",VLOOKUP(応用技!D34,計算用!$J$6:$L$11,2,FALSE()))+COUNTIF(応用技!B34:D34,"防御発動")^2</f>
        <v>0</v>
      </c>
      <c r="D27" s="450">
        <f>IF(応用技!B34="－","0",VLOOKUP(応用技!B34,$J$6:$L$11,3,FALSE()))+IF(応用技!C34="－","0",VLOOKUP(応用技!C34,$J$6:$L$11,3,FALSE()))+IF(応用技!D34="－","0",VLOOKUP(応用技!D34,$J$6:$L$11,3,FALSE()))</f>
        <v>0</v>
      </c>
      <c r="E27" s="425"/>
      <c r="F27" s="447"/>
      <c r="G27" s="447"/>
      <c r="I27" s="451"/>
      <c r="J27" s="463" t="s">
        <v>184</v>
      </c>
      <c r="K27" s="464">
        <v>9</v>
      </c>
      <c r="L27" s="465">
        <v>2</v>
      </c>
      <c r="M27" s="449"/>
      <c r="N27" s="463" t="s">
        <v>263</v>
      </c>
      <c r="O27" s="464">
        <v>2</v>
      </c>
      <c r="P27" s="464">
        <v>1</v>
      </c>
      <c r="Q27" s="464"/>
      <c r="R27" s="465"/>
      <c r="S27" s="449"/>
      <c r="U27" s="451"/>
      <c r="V27" s="463" t="s">
        <v>184</v>
      </c>
      <c r="W27" s="464">
        <v>9</v>
      </c>
      <c r="X27" s="465">
        <v>2</v>
      </c>
      <c r="Y27" s="449"/>
      <c r="Z27" s="463" t="s">
        <v>263</v>
      </c>
      <c r="AA27" s="464">
        <v>2</v>
      </c>
      <c r="AB27" s="464">
        <v>1</v>
      </c>
      <c r="AC27" s="464"/>
      <c r="AD27" s="465"/>
      <c r="AE27" s="449"/>
      <c r="AG27" s="446" t="s">
        <v>9</v>
      </c>
      <c r="AH27" s="450">
        <f>IF(クリーチャー!P34="－","0",VLOOKUP(クリーチャー!P34,計算用!$J$6:$L$11,2,FALSE()))+IF(クリーチャー!Q34="－","0",VLOOKUP(クリーチャー!Q34,計算用!$J$6:$L$11,2,FALSE()))+IF(クリーチャー!R34="－","0",VLOOKUP(クリーチャー!R34,計算用!$J$6:$L$11,2,FALSE()))+COUNTIF(クリーチャー!P34:R34,"防御発動")^2</f>
        <v>0</v>
      </c>
      <c r="AI27" s="450">
        <f>IF(クリーチャー!P34="－","0",VLOOKUP(クリーチャー!P34,$J$6:$L$11,3,FALSE()))+IF(クリーチャー!Q34="－","0",VLOOKUP(クリーチャー!Q34,$J$6:$L$11,3,FALSE()))+IF(クリーチャー!R34="－","0",VLOOKUP(クリーチャー!R34,$J$6:$L$11,3,FALSE()))</f>
        <v>0</v>
      </c>
      <c r="AJ27" s="425"/>
      <c r="AK27" s="447"/>
      <c r="AL27" s="447"/>
      <c r="AM27" s="444"/>
      <c r="AN27" s="446" t="s">
        <v>9</v>
      </c>
      <c r="AO27" s="450">
        <f>IF(クリーチャー_2!P34="－","0",VLOOKUP(クリーチャー_2!P34,計算用!$J$6:$L$11,2,FALSE()))+IF(クリーチャー_2!Q34="－","0",VLOOKUP(クリーチャー_2!Q34,計算用!$J$6:$L$11,2,FALSE()))+IF(クリーチャー_2!R34="－","0",VLOOKUP(クリーチャー_2!R34,計算用!$J$6:$L$11,2,FALSE()))+COUNTIF(クリーチャー_2!P34:R34,"防御発動")^2</f>
        <v>0</v>
      </c>
      <c r="AP27" s="450">
        <f>IF(クリーチャー_2!P34="－","0",VLOOKUP(クリーチャー_2!P34,$J$6:$L$11,3,FALSE()))+IF(クリーチャー_2!Q34="－","0",VLOOKUP(クリーチャー_2!Q34,$J$6:$L$11,3,FALSE()))+IF(クリーチャー_2!R34="－","0",VLOOKUP(クリーチャー_2!R34,$J$6:$L$11,3,FALSE()))</f>
        <v>0</v>
      </c>
      <c r="AQ27" s="425"/>
      <c r="AR27" s="447"/>
      <c r="AS27" s="447"/>
      <c r="AT27" s="444"/>
      <c r="AU27" s="446" t="s">
        <v>9</v>
      </c>
      <c r="AV27" s="450">
        <f>IF(クリーチャー_3!P34="－","0",VLOOKUP(クリーチャー_3!P34,計算用!$J$6:$L$11,2,FALSE()))+IF(クリーチャー_3!Q34="－","0",VLOOKUP(クリーチャー_3!Q34,計算用!$J$6:$L$11,2,FALSE()))+IF(クリーチャー_3!R34="－","0",VLOOKUP(クリーチャー_3!R34,計算用!$J$6:$L$11,2,FALSE()))+COUNTIF(クリーチャー_3!P34:R34,"防御発動")^2</f>
        <v>0</v>
      </c>
      <c r="AW27" s="450">
        <f>IF(クリーチャー_3!P34="－","0",VLOOKUP(クリーチャー_3!P34,$J$6:$L$11,3,FALSE()))+IF(クリーチャー_3!Q34="－","0",VLOOKUP(クリーチャー_3!Q34,$J$6:$L$11,3,FALSE()))+IF(クリーチャー_3!R34="－","0",VLOOKUP(クリーチャー_3!R34,$J$6:$L$11,3,FALSE()))</f>
        <v>0</v>
      </c>
      <c r="AX27" s="425"/>
      <c r="AY27" s="447"/>
      <c r="AZ27" s="447"/>
    </row>
    <row r="28" spans="2:52" ht="15" thickBot="1" x14ac:dyDescent="0.2">
      <c r="B28" s="446" t="s">
        <v>10</v>
      </c>
      <c r="C28" s="450" cm="1">
        <f t="array" ref="C28">IF(応用技!E34="－","0",VLOOKUP(応用技!E34,$N$6:$R$49,2,FALSE()))+IF(応用技!F34="－","0",VLOOKUP(応用技!F34,N6:$R$49,2,FALSE()))+IF(応用技!G34="－","0",VLOOKUP(応用技!G34,$N$6:$R$49,2,FALSE()))+IF(応用技!E35="－","0",VLOOKUP(応用技!E35,$N$6:$R$49,2,FALSE()))+IF(応用技!F35="－","0",VLOOKUP(応用技!F35,$N$6:$R$49,2,FALSE()))+IF(応用技!G35="－","0",VLOOKUP(応用技!G35,$N$6:$R$49,2,FALSE()))+_xlfn.IFS(F28&gt;=2,1+2*(F28-1),F28=1,1,F28=0,0)+_xlfn.IFS(G28&gt;=2,1+2*(G28-1),G28=1,1,G28=0,0)</f>
        <v>0</v>
      </c>
      <c r="D28" s="450">
        <f>IF(応用技!E34="－","0",VLOOKUP(応用技!E34,$N$6:$R$49,3,FALSE()))+IF(応用技!F34="－","0",VLOOKUP(応用技!F34,$N$6:$R$49,3,FALSE()))+IF(応用技!G34="－","0",VLOOKUP(応用技!G34,$N$6:$R$49,3,FALSE()))+IF(応用技!E35="－","0",VLOOKUP(応用技!E35,$N$6:$R$49,3,FALSE()))+IF(応用技!F35="－","0",VLOOKUP(応用技!F35,$N$6:$R$49,3,FALSE()))+IF(応用技!G35="－","0",VLOOKUP(応用技!G35,$N$6:$R$49,3,FALSE()))</f>
        <v>0</v>
      </c>
      <c r="E28" s="450">
        <f>IF(応用技!E34="－","0",VLOOKUP(応用技!E34,$N$6:$R$49,4,FALSE()))+IF(応用技!F34="－","0",VLOOKUP(応用技!F34,$N$6:$R$49,4,FALSE()))+IF(応用技!G34="－","0",VLOOKUP(応用技!G34,$N$6:$R$49,4,FALSE()))+IF(応用技!E35="－","0",VLOOKUP(応用技!E35,$N$6:$R$49,4,FALSE()))+IF(応用技!F35="－","0",VLOOKUP(応用技!F35,$N$6:$R$49,4,FALSE()))+IF(応用技!G35="－","0",VLOOKUP(応用技!G35,$N$6:$R$49,4,FALSE()))</f>
        <v>0</v>
      </c>
      <c r="F28" s="447">
        <f>COUNTIFS(応用技!E34:G35,"強化*")</f>
        <v>0</v>
      </c>
      <c r="G28" s="447">
        <f>COUNTIFS(応用技!E34:G35,"減衰*")</f>
        <v>0</v>
      </c>
      <c r="I28" s="451"/>
      <c r="J28" s="451"/>
      <c r="K28" s="449"/>
      <c r="L28" s="449"/>
      <c r="M28" s="449"/>
      <c r="N28" s="463" t="s">
        <v>271</v>
      </c>
      <c r="O28" s="464">
        <v>2</v>
      </c>
      <c r="P28" s="464">
        <v>1</v>
      </c>
      <c r="Q28" s="464"/>
      <c r="R28" s="465"/>
      <c r="S28" s="449"/>
      <c r="U28" s="451"/>
      <c r="V28" s="466" t="s">
        <v>725</v>
      </c>
      <c r="W28" s="467">
        <v>6</v>
      </c>
      <c r="X28" s="468">
        <v>2</v>
      </c>
      <c r="Y28" s="449"/>
      <c r="Z28" s="463" t="s">
        <v>271</v>
      </c>
      <c r="AA28" s="464">
        <v>2</v>
      </c>
      <c r="AB28" s="464">
        <v>1</v>
      </c>
      <c r="AC28" s="464"/>
      <c r="AD28" s="465"/>
      <c r="AE28" s="449"/>
      <c r="AG28" s="446" t="s">
        <v>10</v>
      </c>
      <c r="AH28" s="450" cm="1">
        <f t="array" ref="AH28">IF(クリーチャー!S34="－","0",VLOOKUP(クリーチャー!S34,$N$6:$R$49,2,FALSE()))+IF(クリーチャー!T34="－","0",VLOOKUP(クリーチャー!T34,N6:$R$49,2,FALSE()))+IF(クリーチャー!U34="－","0",VLOOKUP(クリーチャー!U34,$N$6:$R$49,2,FALSE()))+IF(クリーチャー!S35="－","0",VLOOKUP(クリーチャー!S35,$N$6:$R$49,2,FALSE()))+IF(クリーチャー!T35="－","0",VLOOKUP(クリーチャー!T35,$N$6:$R$49,2,FALSE()))+IF(クリーチャー!U35="－","0",VLOOKUP(クリーチャー!U35,$N$6:$R$49,2,FALSE()))+_xlfn.IFS(AK28&gt;=2,1+2*(AK28-1),AK28=1,1,AK28=0,0)+_xlfn.IFS(AL28&gt;=2,1+2*(AL28-1),AL28=1,1,AL28=0,0)</f>
        <v>0</v>
      </c>
      <c r="AI28" s="450">
        <f>IF(クリーチャー!S34="－","0",VLOOKUP(クリーチャー!S34,$N$6:$R$49,3,FALSE()))+IF(クリーチャー!T34="－","0",VLOOKUP(クリーチャー!T34,$N$6:$R$49,3,FALSE()))+IF(クリーチャー!U34="－","0",VLOOKUP(クリーチャー!U34,$N$6:$R$49,3,FALSE()))+IF(クリーチャー!S35="－","0",VLOOKUP(クリーチャー!S35,$N$6:$R$49,3,FALSE()))+IF(クリーチャー!T35="－","0",VLOOKUP(クリーチャー!T35,$N$6:$R$49,3,FALSE()))+IF(クリーチャー!U35="－","0",VLOOKUP(クリーチャー!U35,$N$6:$R$49,3,FALSE()))</f>
        <v>0</v>
      </c>
      <c r="AJ28" s="450">
        <f>IF(クリーチャー!S34="－","0",VLOOKUP(クリーチャー!S34,$N$6:$R$49,4,FALSE()))+IF(クリーチャー!T34="－","0",VLOOKUP(クリーチャー!T34,$N$6:$R$49,4,FALSE()))+IF(クリーチャー!U34="－","0",VLOOKUP(クリーチャー!U34,$N$6:$R$49,4,FALSE()))+IF(クリーチャー!S35="－","0",VLOOKUP(クリーチャー!S35,$N$6:$R$49,4,FALSE()))+IF(クリーチャー!T35="－","0",VLOOKUP(クリーチャー!T35,$N$6:$R$49,4,FALSE()))+IF(クリーチャー!U35="－","0",VLOOKUP(クリーチャー!U35,$N$6:$R$49,4,FALSE()))</f>
        <v>0</v>
      </c>
      <c r="AK28" s="447">
        <f>COUNTIFS(クリーチャー!S34:U35,"強化*")</f>
        <v>0</v>
      </c>
      <c r="AL28" s="447">
        <f>COUNTIFS(クリーチャー!S34:U35,"減衰*")</f>
        <v>0</v>
      </c>
      <c r="AM28" s="444"/>
      <c r="AN28" s="446" t="s">
        <v>10</v>
      </c>
      <c r="AO28" s="450" cm="1">
        <f t="array" ref="AO28">IF(クリーチャー_2!S34="－","0",VLOOKUP(クリーチャー_2!S34,$N$6:$R$49,2,FALSE()))+IF(クリーチャー_2!T34="－","0",VLOOKUP(クリーチャー_2!T34,$N$6:$R$49,2,FALSE()))+IF(クリーチャー_2!U34="－","0",VLOOKUP(クリーチャー_2!U34,$N$6:$R$49,2,FALSE()))+IF(クリーチャー_2!S35="－","0",VLOOKUP(クリーチャー_2!S35,$N$6:$R$49,2,FALSE()))+IF(クリーチャー_2!T35="－","0",VLOOKUP(クリーチャー_2!T35,$N$6:$R$49,2,FALSE()))+IF(クリーチャー_2!U35="－","0",VLOOKUP(クリーチャー_2!U35,$N$6:$R$49,2,FALSE()))+_xlfn.IFS(AR28&gt;=2,1+2*(AR28-1),AR28=1,1,AR28=0,0)+_xlfn.IFS(AS28&gt;=2,1+2*(AS28-1),AS28=1,1,AS28=0,0)</f>
        <v>0</v>
      </c>
      <c r="AP28" s="450">
        <f>IF(クリーチャー_2!S34="－","0",VLOOKUP(クリーチャー_2!S34,$N$6:$R$49,3,FALSE()))+IF(クリーチャー_2!T34="－","0",VLOOKUP(クリーチャー_2!T34,$N$6:$R$49,3,FALSE()))+IF(クリーチャー_2!U34="－","0",VLOOKUP(クリーチャー_2!U34,$N$6:$R$49,3,FALSE()))+IF(クリーチャー_2!S35="－","0",VLOOKUP(クリーチャー_2!S35,$N$6:$R$49,3,FALSE()))+IF(クリーチャー_2!T35="－","0",VLOOKUP(クリーチャー_2!T35,$N$6:$R$49,3,FALSE()))+IF(クリーチャー_2!U35="－","0",VLOOKUP(クリーチャー_2!U35,$N$6:$R$49,3,FALSE()))</f>
        <v>0</v>
      </c>
      <c r="AQ28" s="450">
        <f>IF(クリーチャー_2!S34="－","0",VLOOKUP(クリーチャー_2!S34,$N$6:$R$49,4,FALSE()))+IF(クリーチャー_2!T34="－","0",VLOOKUP(クリーチャー_2!T34,$N$6:$R$49,4,FALSE()))+IF(クリーチャー_2!U34="－","0",VLOOKUP(クリーチャー_2!U34,$N$6:$R$49,4,FALSE()))+IF(クリーチャー_2!S35="－","0",VLOOKUP(クリーチャー_2!S35,$N$6:$R$49,4,FALSE()))+IF(クリーチャー_2!T35="－","0",VLOOKUP(クリーチャー_2!T35,$N$6:$R$49,4,FALSE()))+IF(クリーチャー_2!U35="－","0",VLOOKUP(クリーチャー_2!U35,$N$6:$R$49,4,FALSE()))</f>
        <v>0</v>
      </c>
      <c r="AR28" s="447">
        <f>COUNTIFS(クリーチャー_2!S34:U35,"強化*")</f>
        <v>0</v>
      </c>
      <c r="AS28" s="447">
        <f>COUNTIFS(クリーチャー_2!S34:U35,"減衰*")</f>
        <v>0</v>
      </c>
      <c r="AT28" s="444"/>
      <c r="AU28" s="446" t="s">
        <v>10</v>
      </c>
      <c r="AV28" s="450" cm="1">
        <f t="array" ref="AV28">IF(クリーチャー_3!S34="－","0",VLOOKUP(クリーチャー_3!S34,$N$6:$R$49,2,FALSE()))+IF(クリーチャー_3!T34="－","0",VLOOKUP(クリーチャー_3!T34,N6:$R$49,2,FALSE()))+IF(クリーチャー_3!U34="－","0",VLOOKUP(クリーチャー_3!U34,$N$6:$R$49,2,FALSE()))+IF(クリーチャー_3!S35="－","0",VLOOKUP(クリーチャー_3!S35,$N$6:$R$49,2,FALSE()))+IF(クリーチャー_3!T35="－","0",VLOOKUP(クリーチャー_3!T35,$N$6:$R$49,2,FALSE()))+IF(クリーチャー_3!U35="－","0",VLOOKUP(クリーチャー_3!U35,$N$6:$R$49,2,FALSE()))+_xlfn.IFS(AY28&gt;=2,1+2*(AY28-1),AY28=1,1,AY28=0,0)+_xlfn.IFS(AZ28&gt;=2,1+2*(AZ28-1),AZ28=1,1,AZ28=0,0)</f>
        <v>0</v>
      </c>
      <c r="AW28" s="450">
        <f>IF(クリーチャー_3!S34="－","0",VLOOKUP(クリーチャー_3!S34,$N$6:$R$49,3,FALSE()))+IF(クリーチャー_3!T34="－","0",VLOOKUP(クリーチャー_3!T34,$N$6:$R$49,3,FALSE()))+IF(クリーチャー_3!U34="－","0",VLOOKUP(クリーチャー_3!U34,$N$6:$R$49,3,FALSE()))+IF(クリーチャー_3!S35="－","0",VLOOKUP(クリーチャー_3!S35,$N$6:$R$49,3,FALSE()))+IF(クリーチャー_3!T35="－","0",VLOOKUP(クリーチャー_3!T35,$N$6:$R$49,3,FALSE()))+IF(クリーチャー_3!U35="－","0",VLOOKUP(クリーチャー_3!U35,$N$6:$R$49,3,FALSE()))</f>
        <v>0</v>
      </c>
      <c r="AX28" s="450">
        <f>IF(クリーチャー_3!S34="－","0",VLOOKUP(クリーチャー_3!S34,$N$6:$R$49,4,FALSE()))+IF(クリーチャー_3!T34="－","0",VLOOKUP(クリーチャー_3!T34,$N$6:$R$49,4,FALSE()))+IF(クリーチャー_3!U34="－","0",VLOOKUP(クリーチャー_3!U34,$N$6:$R$49,4,FALSE()))+IF(クリーチャー_3!S35="－","0",VLOOKUP(クリーチャー_3!S35,$N$6:$R$49,4,FALSE()))+IF(クリーチャー_3!T35="－","0",VLOOKUP(クリーチャー_3!T35,$N$6:$R$49,4,FALSE()))+IF(クリーチャー_3!U35="－","0",VLOOKUP(クリーチャー_3!U35,$N$6:$R$49,4,FALSE()))</f>
        <v>0</v>
      </c>
      <c r="AY28" s="447">
        <f>COUNTIFS(クリーチャー_3!S34:U35,"強化*")</f>
        <v>0</v>
      </c>
      <c r="AZ28" s="447">
        <f>COUNTIFS(クリーチャー_3!S34:U35,"減衰*")</f>
        <v>0</v>
      </c>
    </row>
    <row r="29" spans="2:52" x14ac:dyDescent="0.15">
      <c r="B29" s="446" t="s">
        <v>740</v>
      </c>
      <c r="C29" s="450">
        <f>IF(応用技!H34="－","0",VLOOKUP(応用技!H34,$J$15:$L$27,2,FALSE()))+IF(応用技!I34="－","0",VLOOKUP(応用技!I34,$J$15:$L$27,2,FALSE()))+IF(応用技!J34="－","0",VLOOKUP(応用技!J34,$J$15:$L$27,2,FALSE()))+IF(応用技!H35="－","0",VLOOKUP(応用技!H35,$J$15:$L$27,2,FALSE()))+IF(応用技!I35="－","0",VLOOKUP(応用技!I35,$J$15:$L$27,2,FALSE()))+IF(応用技!J35="－","0",VLOOKUP(応用技!J35,$J$15:$L$27,2,FALSE()))</f>
        <v>0</v>
      </c>
      <c r="D29" s="450">
        <f>IF(応用技!H34="－","0",VLOOKUP(応用技!H34,$J$15:$L$27,3,FALSE()))+IF(応用技!I34="－","0",VLOOKUP(応用技!I34,$J$15:$L$27,3,FALSE()))+IF(応用技!J34="－","0",VLOOKUP(応用技!J34,$J$15:$L$27,3,FALSE()))+IF(応用技!H35="－","0",VLOOKUP(応用技!H35,$J$15:$L$27,3,FALSE()))+IF(応用技!I35="－","0",VLOOKUP(応用技!I35,$J$15:$L$27,3,FALSE()))+IF(応用技!J35="－","0",VLOOKUP(応用技!J35,$J$15:$L$27,3,FALSE()))</f>
        <v>0</v>
      </c>
      <c r="E29" s="450"/>
      <c r="F29" s="447"/>
      <c r="G29" s="447"/>
      <c r="I29" s="451"/>
      <c r="J29" s="451"/>
      <c r="K29" s="449"/>
      <c r="L29" s="449"/>
      <c r="M29" s="449"/>
      <c r="N29" s="463" t="s">
        <v>276</v>
      </c>
      <c r="O29" s="464">
        <v>2</v>
      </c>
      <c r="P29" s="464">
        <v>1</v>
      </c>
      <c r="Q29" s="464"/>
      <c r="R29" s="465"/>
      <c r="S29" s="449"/>
      <c r="U29" s="451"/>
      <c r="V29" s="451"/>
      <c r="W29" s="449"/>
      <c r="X29" s="449"/>
      <c r="Y29" s="449"/>
      <c r="Z29" s="463" t="s">
        <v>276</v>
      </c>
      <c r="AA29" s="464">
        <v>2</v>
      </c>
      <c r="AB29" s="464">
        <v>1</v>
      </c>
      <c r="AC29" s="464"/>
      <c r="AD29" s="465"/>
      <c r="AE29" s="449"/>
      <c r="AG29" s="446" t="s">
        <v>740</v>
      </c>
      <c r="AH29" s="450">
        <f>IF(クリーチャー!V34="－","0",VLOOKUP(クリーチャー!V34,$J$15:$L$27,2,FALSE()))+IF(クリーチャー!W34="－","0",VLOOKUP(クリーチャー!W34,$J$15:$L$27,2,FALSE()))+IF(クリーチャー!X34="－","0",VLOOKUP(クリーチャー!X34,$J$15:$L$27,2,FALSE()))+IF(クリーチャー!V35="－","0",VLOOKUP(クリーチャー!V35,$J$15:$L$27,2,FALSE()))+IF(クリーチャー!W35="－","0",VLOOKUP(クリーチャー!W35,$J$15:$L$27,2,FALSE()))+IF(クリーチャー!X35="－","0",VLOOKUP(クリーチャー!X35,$J$15:$L$27,2,FALSE()))</f>
        <v>0</v>
      </c>
      <c r="AI29" s="450">
        <f>IF(クリーチャー!V34="－","0",VLOOKUP(クリーチャー!V34,$J$15:$L$27,3,FALSE()))+IF(クリーチャー!W34="－","0",VLOOKUP(クリーチャー!W34,$J$15:$L$27,3,FALSE()))+IF(クリーチャー!X34="－","0",VLOOKUP(クリーチャー!X34,$J$15:$L$27,3,FALSE()))+IF(クリーチャー!V35="－","0",VLOOKUP(クリーチャー!V35,$J$15:$L$27,3,FALSE()))+IF(クリーチャー!W35="－","0",VLOOKUP(クリーチャー!W35,$J$15:$L$27,3,FALSE()))+IF(クリーチャー!X35="－","0",VLOOKUP(クリーチャー!X35,$J$15:$L$27,3,FALSE()))</f>
        <v>0</v>
      </c>
      <c r="AJ29" s="450"/>
      <c r="AK29" s="447"/>
      <c r="AL29" s="447"/>
      <c r="AM29" s="444"/>
      <c r="AN29" s="446" t="s">
        <v>740</v>
      </c>
      <c r="AO29" s="450">
        <f>IF(クリーチャー_2!V34="－","0",VLOOKUP(クリーチャー_2!V34,$J$15:$L$27,2,FALSE()))+IF(クリーチャー_2!W34="－","0",VLOOKUP(クリーチャー_2!W34,$J$15:$L$27,2,FALSE()))+IF(クリーチャー_2!X34="－","0",VLOOKUP(クリーチャー_2!X34,$J$15:$L$27,2,FALSE()))+IF(クリーチャー_2!V35="－","0",VLOOKUP(クリーチャー_2!V35,$J$15:$L$27,2,FALSE()))+IF(クリーチャー_2!W35="－","0",VLOOKUP(クリーチャー_2!W35,$J$15:$L$27,2,FALSE()))+IF(クリーチャー_2!X35="－","0",VLOOKUP(クリーチャー_2!X35,$J$15:$L$27,2,FALSE()))</f>
        <v>0</v>
      </c>
      <c r="AP29" s="450">
        <f>IF(クリーチャー_2!V34="－","0",VLOOKUP(クリーチャー_2!V34,$J$15:$L$27,3,FALSE()))+IF(クリーチャー_2!W34="－","0",VLOOKUP(クリーチャー_2!W34,$J$15:$L$27,3,FALSE()))+IF(クリーチャー_2!X34="－","0",VLOOKUP(クリーチャー_2!X34,$J$15:$L$27,3,FALSE()))+IF(クリーチャー_2!V35="－","0",VLOOKUP(クリーチャー_2!V35,$J$15:$L$27,3,FALSE()))+IF(クリーチャー_2!W35="－","0",VLOOKUP(クリーチャー_2!W35,$J$15:$L$27,3,FALSE()))+IF(クリーチャー_2!X35="－","0",VLOOKUP(クリーチャー_2!X35,$J$15:$L$27,3,FALSE()))</f>
        <v>0</v>
      </c>
      <c r="AQ29" s="450"/>
      <c r="AR29" s="447"/>
      <c r="AS29" s="447"/>
      <c r="AT29" s="444"/>
      <c r="AU29" s="446" t="s">
        <v>740</v>
      </c>
      <c r="AV29" s="450">
        <f>IF(クリーチャー_3!V34="－","0",VLOOKUP(クリーチャー_3!V34,$J$15:$L$27,2,FALSE()))+IF(クリーチャー_3!W34="－","0",VLOOKUP(クリーチャー_3!W34,$J$15:$L$27,2,FALSE()))+IF(クリーチャー_3!X34="－","0",VLOOKUP(クリーチャー_3!X34,$J$15:$L$27,2,FALSE()))+IF(クリーチャー_3!V35="－","0",VLOOKUP(クリーチャー_3!V35,$J$15:$L$27,2,FALSE()))+IF(クリーチャー_3!W35="－","0",VLOOKUP(クリーチャー_3!W35,$J$15:$L$27,2,FALSE()))+IF(クリーチャー_3!X35="－","0",VLOOKUP(クリーチャー_3!X35,$J$15:$L$27,2,FALSE()))</f>
        <v>0</v>
      </c>
      <c r="AW29" s="450">
        <f>IF(クリーチャー_3!V34="－","0",VLOOKUP(クリーチャー_3!V34,$J$15:$L$27,3,FALSE()))+IF(クリーチャー_3!W34="－","0",VLOOKUP(クリーチャー_3!W34,$J$15:$L$27,3,FALSE()))+IF(クリーチャー_3!X34="－","0",VLOOKUP(クリーチャー_3!X34,$J$15:$L$27,3,FALSE()))+IF(クリーチャー_3!V35="－","0",VLOOKUP(クリーチャー_3!V35,$J$15:$L$27,3,FALSE()))+IF(クリーチャー_3!W35="－","0",VLOOKUP(クリーチャー_3!W35,$J$15:$L$27,3,FALSE()))+IF(クリーチャー_3!X35="－","0",VLOOKUP(クリーチャー_3!X35,$J$15:$L$27,3,FALSE()))</f>
        <v>0</v>
      </c>
      <c r="AX29" s="450"/>
      <c r="AY29" s="447"/>
      <c r="AZ29" s="447"/>
    </row>
    <row r="30" spans="2:52" x14ac:dyDescent="0.15">
      <c r="B30" s="446" t="s">
        <v>743</v>
      </c>
      <c r="C30" s="450">
        <f t="array" ref="C30">_xlfn.IFS(COUNTIF(応用技!E34:G35,"創造")&gt;=1,SUM(C27:C29)+1&amp;"～"&amp;SUM(C27:C29)+10,COUNTIF(応用技!E34:G35,"限定*")&gt;=1,"※",COUNTIF(応用技!E34:G35,"影響無効")&gt;=1,"※",TRUE(),SUM(C27:C29))</f>
        <v>0</v>
      </c>
      <c r="D30" s="450">
        <f>SUM(D27:D29)</f>
        <v>0</v>
      </c>
      <c r="E30" s="450">
        <f>SUM(E27:E29)</f>
        <v>0</v>
      </c>
      <c r="F30" s="447"/>
      <c r="G30" s="447"/>
      <c r="I30" s="451"/>
      <c r="J30" s="451"/>
      <c r="K30" s="449"/>
      <c r="L30" s="449"/>
      <c r="M30" s="449"/>
      <c r="N30" s="463" t="s">
        <v>282</v>
      </c>
      <c r="O30" s="464">
        <v>2</v>
      </c>
      <c r="P30" s="464">
        <v>1</v>
      </c>
      <c r="Q30" s="464"/>
      <c r="R30" s="465"/>
      <c r="S30" s="449"/>
      <c r="U30" s="451"/>
      <c r="V30" s="451"/>
      <c r="W30" s="449"/>
      <c r="X30" s="449"/>
      <c r="Y30" s="449"/>
      <c r="Z30" s="463" t="s">
        <v>282</v>
      </c>
      <c r="AA30" s="464">
        <v>2</v>
      </c>
      <c r="AB30" s="464">
        <v>1</v>
      </c>
      <c r="AC30" s="464"/>
      <c r="AD30" s="465"/>
      <c r="AE30" s="449"/>
      <c r="AG30" s="446" t="s">
        <v>743</v>
      </c>
      <c r="AH30" s="450">
        <f t="array" ref="AH30">_xlfn.IFS(COUNTIF(クリーチャー!S34:U35,"創造")&gt;=1,SUM(AH27:AH29)+1&amp;"～"&amp;SUM(AH27:AH29)+10,COUNTIF(クリーチャー!S34:U35,"限定*")&gt;=1,"※",COUNTIF(クリーチャー!S34:U35,"影響無効")&gt;=1,"※",TRUE(),SUM(AH27:AH29))</f>
        <v>0</v>
      </c>
      <c r="AI30" s="450">
        <f>SUM(AI27:AI29)</f>
        <v>0</v>
      </c>
      <c r="AJ30" s="450">
        <f>SUM(AJ27:AJ29)</f>
        <v>0</v>
      </c>
      <c r="AK30" s="447"/>
      <c r="AL30" s="447"/>
      <c r="AM30" s="444"/>
      <c r="AN30" s="446" t="s">
        <v>743</v>
      </c>
      <c r="AO30" s="450">
        <f t="array" ref="AO30">_xlfn.IFS(COUNTIF(クリーチャー_2!S34:U35,"創造")&gt;=1,SUM(AO27:AO29)+1&amp;"～"&amp;SUM(AO27:AO29)+10,COUNTIF(クリーチャー_2!S34:U35,"限定*")&gt;=1,"※",COUNTIF(クリーチャー_2!S34:U35,"影響無効")&gt;=1,"※",TRUE(),SUM(AO27:AO29))</f>
        <v>0</v>
      </c>
      <c r="AP30" s="450">
        <f>SUM(AP27:AP29)</f>
        <v>0</v>
      </c>
      <c r="AQ30" s="450">
        <f>SUM(S27:S29)</f>
        <v>0</v>
      </c>
      <c r="AR30" s="447"/>
      <c r="AS30" s="447"/>
      <c r="AT30" s="444"/>
      <c r="AU30" s="446" t="s">
        <v>743</v>
      </c>
      <c r="AV30" s="450">
        <f t="array" ref="AV30">_xlfn.IFS(COUNTIF(クリーチャー_3!S34:U35,"創造")&gt;=1,SUM(AV27:AV29)+1&amp;"～"&amp;SUM(AV27:AV29)+10,COUNTIF(クリーチャー_3!S34:U35,"限定*")&gt;=1,"※",COUNTIF(クリーチャー_3!S34:U35,"影響無効")&gt;=1,"※",TRUE(),SUM(AV27:AV29))</f>
        <v>0</v>
      </c>
      <c r="AW30" s="450">
        <f>SUM(AW27:AW29)</f>
        <v>0</v>
      </c>
      <c r="AX30" s="450">
        <f>SUM(AX27:AX29)</f>
        <v>0</v>
      </c>
      <c r="AY30" s="447"/>
      <c r="AZ30" s="447"/>
    </row>
    <row r="31" spans="2:52" x14ac:dyDescent="0.15">
      <c r="I31" s="451"/>
      <c r="J31" s="451"/>
      <c r="K31" s="449"/>
      <c r="L31" s="449"/>
      <c r="M31" s="449"/>
      <c r="N31" s="463" t="s">
        <v>287</v>
      </c>
      <c r="O31" s="464">
        <v>3</v>
      </c>
      <c r="P31" s="464">
        <v>1</v>
      </c>
      <c r="Q31" s="464"/>
      <c r="R31" s="465"/>
      <c r="S31" s="449"/>
      <c r="U31" s="451"/>
      <c r="V31" s="451"/>
      <c r="W31" s="449"/>
      <c r="X31" s="449"/>
      <c r="Y31" s="449"/>
      <c r="Z31" s="463" t="s">
        <v>287</v>
      </c>
      <c r="AA31" s="464">
        <v>3</v>
      </c>
      <c r="AB31" s="464">
        <v>1</v>
      </c>
      <c r="AC31" s="464"/>
      <c r="AD31" s="465"/>
      <c r="AE31" s="449"/>
      <c r="AI31" s="444"/>
      <c r="AJ31" s="444"/>
      <c r="AK31" s="444"/>
      <c r="AL31" s="444"/>
      <c r="AM31" s="444"/>
      <c r="AN31" s="444"/>
      <c r="AO31" s="444"/>
      <c r="AP31" s="444"/>
      <c r="AQ31" s="444"/>
      <c r="AS31" s="444"/>
      <c r="AT31" s="444"/>
      <c r="AU31" s="444"/>
      <c r="AV31" s="444"/>
    </row>
    <row r="32" spans="2:52" x14ac:dyDescent="0.15">
      <c r="B32" s="445" t="s">
        <v>750</v>
      </c>
      <c r="C32" s="446" t="s">
        <v>623</v>
      </c>
      <c r="D32" s="446" t="s">
        <v>449</v>
      </c>
      <c r="E32" s="446" t="s">
        <v>735</v>
      </c>
      <c r="F32" s="447" t="s">
        <v>736</v>
      </c>
      <c r="G32" s="446" t="s">
        <v>737</v>
      </c>
      <c r="I32" s="451"/>
      <c r="J32" s="451"/>
      <c r="K32" s="449"/>
      <c r="L32" s="449"/>
      <c r="M32" s="449"/>
      <c r="N32" s="463" t="s">
        <v>294</v>
      </c>
      <c r="O32" s="464">
        <v>3</v>
      </c>
      <c r="P32" s="464">
        <v>1</v>
      </c>
      <c r="Q32" s="464"/>
      <c r="R32" s="465"/>
      <c r="S32" s="449"/>
      <c r="U32" s="451"/>
      <c r="V32" s="451"/>
      <c r="W32" s="449"/>
      <c r="X32" s="449"/>
      <c r="Y32" s="449"/>
      <c r="Z32" s="463" t="s">
        <v>294</v>
      </c>
      <c r="AA32" s="464">
        <v>3</v>
      </c>
      <c r="AB32" s="464">
        <v>1</v>
      </c>
      <c r="AC32" s="464"/>
      <c r="AD32" s="465"/>
      <c r="AE32" s="449"/>
      <c r="AG32" s="445" t="s">
        <v>750</v>
      </c>
      <c r="AH32" s="446" t="s">
        <v>623</v>
      </c>
      <c r="AI32" s="446" t="s">
        <v>449</v>
      </c>
      <c r="AJ32" s="446" t="s">
        <v>735</v>
      </c>
      <c r="AK32" s="447" t="s">
        <v>736</v>
      </c>
      <c r="AL32" s="446" t="s">
        <v>737</v>
      </c>
      <c r="AM32" s="444"/>
      <c r="AN32" s="445" t="s">
        <v>750</v>
      </c>
      <c r="AO32" s="446" t="s">
        <v>623</v>
      </c>
      <c r="AP32" s="446" t="s">
        <v>449</v>
      </c>
      <c r="AQ32" s="446" t="s">
        <v>735</v>
      </c>
      <c r="AR32" s="447" t="s">
        <v>736</v>
      </c>
      <c r="AS32" s="446" t="s">
        <v>737</v>
      </c>
      <c r="AT32" s="444"/>
      <c r="AU32" s="445" t="s">
        <v>750</v>
      </c>
      <c r="AV32" s="446" t="s">
        <v>623</v>
      </c>
      <c r="AW32" s="446" t="s">
        <v>449</v>
      </c>
      <c r="AX32" s="446" t="s">
        <v>735</v>
      </c>
      <c r="AY32" s="447" t="s">
        <v>736</v>
      </c>
      <c r="AZ32" s="446" t="s">
        <v>737</v>
      </c>
    </row>
    <row r="33" spans="2:52" x14ac:dyDescent="0.15">
      <c r="B33" s="446" t="s">
        <v>9</v>
      </c>
      <c r="C33" s="450">
        <f>IF(応用技!B34="－","0",VLOOKUP(応用技!B34,計算用!$V$6:$X$11,2,FALSE()))+IF(応用技!C34="－","0",VLOOKUP(応用技!C34,計算用!$V$6:$X$11,2,FALSE()))+IF(応用技!D34="－","0",VLOOKUP(応用技!D34,計算用!$V$6:$X$11,2,FALSE()))+COUNTIF(応用技!B34:D34,"防御発動")^2</f>
        <v>0</v>
      </c>
      <c r="D33" s="450">
        <f>IF(応用技!B34="－","0",VLOOKUP(応用技!B34,$J$6:$L$11,3,FALSE()))+IF(応用技!C34="－","0",VLOOKUP(応用技!C34,$J$6:$L$11,3,FALSE()))+IF(応用技!D34="－","0",VLOOKUP(応用技!D34,$J$6:$L$11,3,FALSE()))</f>
        <v>0</v>
      </c>
      <c r="E33" s="425"/>
      <c r="F33" s="447"/>
      <c r="G33" s="447"/>
      <c r="I33" s="451"/>
      <c r="J33" s="451"/>
      <c r="K33" s="449"/>
      <c r="L33" s="449"/>
      <c r="M33" s="449"/>
      <c r="N33" s="463" t="s">
        <v>301</v>
      </c>
      <c r="O33" s="464">
        <v>3</v>
      </c>
      <c r="P33" s="464">
        <v>1</v>
      </c>
      <c r="Q33" s="464"/>
      <c r="R33" s="465"/>
      <c r="S33" s="449"/>
      <c r="U33" s="449"/>
      <c r="V33" s="449"/>
      <c r="W33" s="449"/>
      <c r="X33" s="449"/>
      <c r="Y33" s="451"/>
      <c r="Z33" s="463" t="s">
        <v>301</v>
      </c>
      <c r="AA33" s="464">
        <v>3</v>
      </c>
      <c r="AB33" s="464">
        <v>1</v>
      </c>
      <c r="AC33" s="464"/>
      <c r="AD33" s="465"/>
      <c r="AE33" s="451"/>
      <c r="AG33" s="446" t="s">
        <v>9</v>
      </c>
      <c r="AH33" s="450">
        <f>IF(クリーチャー!P34="－","0",VLOOKUP(クリーチャー!P34,計算用!$V$6:$X$11,2,FALSE()))+IF(クリーチャー!Q34="－","0",VLOOKUP(クリーチャー!Q34,計算用!$V$6:$X$11,2,FALSE()))+IF(クリーチャー!R34="－","0",VLOOKUP(クリーチャー!R34,計算用!$V$6:$X$11,2,FALSE()))+COUNTIF(クリーチャー!P34:R34,"防御発動")^2</f>
        <v>0</v>
      </c>
      <c r="AI33" s="450">
        <f>IF(クリーチャー!P34="－","0",VLOOKUP(クリーチャー!P34,$J$6:$L$11,3,FALSE()))+IF(クリーチャー!Q34="－","0",VLOOKUP(クリーチャー!Q34,$J$6:$L$11,3,FALSE()))+IF(クリーチャー!R34="－","0",VLOOKUP(クリーチャー!R34,$J$6:$L$11,3,FALSE()))</f>
        <v>0</v>
      </c>
      <c r="AJ33" s="425"/>
      <c r="AK33" s="447"/>
      <c r="AL33" s="447"/>
      <c r="AM33" s="444"/>
      <c r="AN33" s="446" t="s">
        <v>9</v>
      </c>
      <c r="AO33" s="450">
        <f>IF(クリーチャー_2!P34="－","0",VLOOKUP(クリーチャー_2!P34,計算用!$V$6:$X$11,2,FALSE()))+IF(クリーチャー_2!Q34="－","0",VLOOKUP(クリーチャー_2!Q34,計算用!$V$6:$X$11,2,FALSE()))+IF(クリーチャー_2!R34="－","0",VLOOKUP(クリーチャー_2!R34,計算用!$V$6:$X$11,2,FALSE()))+COUNTIF(クリーチャー_2!P34:R34,"防御発動")^2</f>
        <v>0</v>
      </c>
      <c r="AP33" s="450">
        <f>IF(クリーチャー_2!P34="－","0",VLOOKUP(クリーチャー_2!P34,$J$6:$L$11,3,FALSE()))+IF(クリーチャー_2!Q34="－","0",VLOOKUP(クリーチャー_2!Q34,$J$6:$L$11,3,FALSE()))+IF(クリーチャー_2!R34="－","0",VLOOKUP(クリーチャー_2!R34,$J$6:$L$11,3,FALSE()))</f>
        <v>0</v>
      </c>
      <c r="AQ33" s="425"/>
      <c r="AR33" s="447"/>
      <c r="AS33" s="447"/>
      <c r="AT33" s="444"/>
      <c r="AU33" s="446" t="s">
        <v>9</v>
      </c>
      <c r="AV33" s="450">
        <f>IF(クリーチャー_3!P34="－","0",VLOOKUP(クリーチャー_3!P34,計算用!$V$6:$X$11,2,FALSE()))+IF(クリーチャー_3!Q34="－","0",VLOOKUP(クリーチャー_3!Q34,計算用!$V$6:$X$11,2,FALSE()))+IF(クリーチャー_3!R34="－","0",VLOOKUP(クリーチャー_3!R34,計算用!$V$6:$X$11,2,FALSE()))+COUNTIF(クリーチャー_3!P34:R34,"防御発動")^2</f>
        <v>0</v>
      </c>
      <c r="AW33" s="450">
        <f>IF(クリーチャー_3!P34="－","0",VLOOKUP(クリーチャー_3!P34,$J$6:$L$11,3,FALSE()))+IF(クリーチャー_3!Q34="－","0",VLOOKUP(クリーチャー_3!Q34,$J$6:$L$11,3,FALSE()))+IF(クリーチャー_3!R34="－","0",VLOOKUP(クリーチャー_3!R34,$J$6:$L$11,3,FALSE()))</f>
        <v>0</v>
      </c>
      <c r="AX33" s="425"/>
      <c r="AY33" s="447"/>
      <c r="AZ33" s="447"/>
    </row>
    <row r="34" spans="2:52" x14ac:dyDescent="0.15">
      <c r="B34" s="446" t="s">
        <v>10</v>
      </c>
      <c r="C34" s="450" cm="1">
        <f t="array" ref="C34">IF(応用技!E34="－","0",VLOOKUP(応用技!E34,$Z$6:$AD$57,2,FALSE()))+IF(応用技!F34="－","0",VLOOKUP(応用技!F34,Z6:$AD$57,2,FALSE()))+IF(応用技!G34="－","0",VLOOKUP(応用技!G34,$Z$6:$AD$57,2,FALSE()))+IF(応用技!E35="－","0",VLOOKUP(応用技!E35,$Z$6:$AD$57,2,FALSE()))+IF(応用技!F35="－","0",VLOOKUP(応用技!F35,$Z$6:$AD$57,2,FALSE()))+IF(応用技!G35="－","0",VLOOKUP(応用技!G35,$Z$6:$AD$57,2,FALSE()))+_xlfn.IFS(F34&gt;=2,1+2*(F34-1),F34=1,1,F34=0,0)+_xlfn.IFS(G34&gt;=2,1+2*(G34-1),G34=1,1,G34=0,0)</f>
        <v>0</v>
      </c>
      <c r="D34" s="450">
        <f>IF(応用技!E34="－","0",VLOOKUP(応用技!E34,$Z$6:$AD$57,3,FALSE()))+IF(応用技!F34="－","0",VLOOKUP(応用技!F34,$Z$6:$AD$57,3,FALSE()))+IF(応用技!G34="－","0",VLOOKUP(応用技!G34,$Z$6:$AD$57,3,FALSE()))+IF(応用技!E35="－","0",VLOOKUP(応用技!E35,$Z$6:$AD$57,3,FALSE()))+IF(応用技!F35="－","0",VLOOKUP(応用技!F35,$Z$6:$AD$57,3,FALSE()))+IF(応用技!G35="－","0",VLOOKUP(応用技!G35,$Z$6:$AD$57,3,FALSE()))</f>
        <v>0</v>
      </c>
      <c r="E34" s="450">
        <f>IF(応用技!E34="－","0",VLOOKUP(応用技!E34,$Z$6:$AD$57,4,FALSE()))
+IF(応用技!F34="－","0",VLOOKUP(応用技!F34,$Z$6:$AD$57,4,FALSE()))
+IF(応用技!G34="－","0",VLOOKUP(応用技!G34,$Z$6:$AD$57,4,FALSE()))
+IF(応用技!E35="－","0",VLOOKUP(応用技!E35,$Z$6:$AD$57,4,FALSE()))
+IF(応用技!F35="－","0",VLOOKUP(応用技!F35,$Z$6:$AD$57,4,FALSE()))
+IF(応用技!G35="－","0",VLOOKUP(応用技!G35,$Z$6:$AD$57,4,FALSE()))</f>
        <v>0</v>
      </c>
      <c r="F34" s="447">
        <f>COUNTIFS(応用技!E34:G35,"強化*")</f>
        <v>0</v>
      </c>
      <c r="G34" s="447">
        <f>COUNTIFS(応用技!E34:G35,"減衰*")</f>
        <v>0</v>
      </c>
      <c r="I34" s="451"/>
      <c r="J34" s="451"/>
      <c r="K34" s="449"/>
      <c r="L34" s="449"/>
      <c r="M34" s="449"/>
      <c r="N34" s="463" t="s">
        <v>310</v>
      </c>
      <c r="O34" s="464">
        <v>3</v>
      </c>
      <c r="P34" s="464">
        <v>2</v>
      </c>
      <c r="Q34" s="464"/>
      <c r="R34" s="465"/>
      <c r="S34" s="449"/>
      <c r="U34" s="449"/>
      <c r="V34" s="449"/>
      <c r="W34" s="449"/>
      <c r="X34" s="449"/>
      <c r="Y34" s="451"/>
      <c r="Z34" s="463" t="s">
        <v>310</v>
      </c>
      <c r="AA34" s="464">
        <v>3</v>
      </c>
      <c r="AB34" s="464">
        <v>2</v>
      </c>
      <c r="AC34" s="464"/>
      <c r="AD34" s="465"/>
      <c r="AE34" s="451"/>
      <c r="AG34" s="446" t="s">
        <v>10</v>
      </c>
      <c r="AH34" s="450" cm="1">
        <f t="array" ref="AH34">IF(クリーチャー!S34="－","0",VLOOKUP(クリーチャー!S34,$Z$6:$AD$57,2,FALSE()))+IF(クリーチャー!T34="－","0",VLOOKUP(クリーチャー!T34,Z6:$AD$57,2,FALSE()))+IF(クリーチャー!U34="－","0",VLOOKUP(クリーチャー!U34,$Z$6:$AD$57,2,FALSE()))+IF(クリーチャー!S35="－","0",VLOOKUP(クリーチャー!S35,$Z$6:$AD$57,2,FALSE()))+IF(クリーチャー!T35="－","0",VLOOKUP(クリーチャー!T35,$Z$6:$AD$57,2,FALSE()))+IF(クリーチャー!U35="－","0",VLOOKUP(クリーチャー!U35,$Z$6:$AD$57,2,FALSE()))+_xlfn.IFS(AK34&gt;=2,1+2*(AK34-1),AK34=1,1,AK34=0,0)+_xlfn.IFS(AL34&gt;=2,1+2*(AL34-1),AL34=1,1,AL34=0,0)</f>
        <v>0</v>
      </c>
      <c r="AI34" s="450">
        <f>IF(クリーチャー!S34="－","0",VLOOKUP(クリーチャー!S34,$Z$6:$AD$57,3,FALSE()))+IF(クリーチャー!T34="－","0",VLOOKUP(クリーチャー!T34,$Z$6:$AD$57,3,FALSE()))+IF(クリーチャー!U34="－","0",VLOOKUP(クリーチャー!U34,$Z$6:$AD$57,3,FALSE()))+IF(クリーチャー!S35="－","0",VLOOKUP(クリーチャー!S35,$Z$6:$AD$57,3,FALSE()))+IF(クリーチャー!T35="－","0",VLOOKUP(クリーチャー!T35,$Z$6:$AD$57,3,FALSE()))+IF(クリーチャー!U35="－","0",VLOOKUP(クリーチャー!U35,$Z$6:$AD$57,3,FALSE()))</f>
        <v>0</v>
      </c>
      <c r="AJ34" s="450">
        <f>IF(クリーチャー!S34="－","0",VLOOKUP(クリーチャー!S34,$Z$6:$AD$57,4,FALSE()))+IF(クリーチャー!T34="－","0",VLOOKUP(クリーチャー!T34,$Z$6:$AD$57,4,FALSE()))+IF(クリーチャー!U34="－","0",VLOOKUP(クリーチャー!U34,$Z$6:$AD$57,4,FALSE()))+IF(クリーチャー!S35="－","0",VLOOKUP(クリーチャー!S35,$Z$6:$AD$57,4,FALSE()))+IF(クリーチャー!T35="－","0",VLOOKUP(クリーチャー!T35,$Z$6:$AD$57,4,FALSE()))+IF(クリーチャー!U35="－","0",VLOOKUP(クリーチャー!U35,$Z$6:$AD$57,4,FALSE()))</f>
        <v>0</v>
      </c>
      <c r="AK34" s="447">
        <f>COUNTIFS(クリーチャー!S34:U35,"強化*")</f>
        <v>0</v>
      </c>
      <c r="AL34" s="447">
        <f>COUNTIFS(クリーチャー!S34:U35,"減衰*")</f>
        <v>0</v>
      </c>
      <c r="AM34" s="444"/>
      <c r="AN34" s="446" t="s">
        <v>10</v>
      </c>
      <c r="AO34" s="450" cm="1">
        <f t="array" ref="AO34">IF(クリーチャー_2!S34="－","0",VLOOKUP(クリーチャー_2!S34,$Z$6:$AD$57,2,FALSE()))+IF(クリーチャー_2!T34="－","0",VLOOKUP(クリーチャー_2!T34,Z6:$AD$57,2,FALSE()))+IF(クリーチャー_2!U34="－","0",VLOOKUP(クリーチャー_2!U34,$Z$6:$AD$57,2,FALSE()))+IF(クリーチャー_2!S35="－","0",VLOOKUP(クリーチャー_2!S35,$Z$6:$AD$57,2,FALSE()))+IF(クリーチャー_2!T35="－","0",VLOOKUP(クリーチャー_2!T35,$Z$6:$AD$57,2,FALSE()))+IF(クリーチャー_2!U35="－","0",VLOOKUP(クリーチャー_2!U35,$Z$6:$AD$57,2,FALSE()))+_xlfn.IFS(AR34&gt;=2,1+2*(AR34-1),AR34=1,1,AR34=0,0)+_xlfn.IFS(AS34&gt;=2,1+2*(AS34-1),AS34=1,1,AS34=0,0)</f>
        <v>0</v>
      </c>
      <c r="AP34" s="450">
        <f>IF(クリーチャー_2!S34="－","0",VLOOKUP(クリーチャー_2!S34,$Z$6:$AD$57,3,FALSE()))+IF(クリーチャー_2!T34="－","0",VLOOKUP(クリーチャー_2!T34,$Z$6:$AD$57,3,FALSE()))+IF(クリーチャー_2!U34="－","0",VLOOKUP(クリーチャー_2!U34,$Z$6:$AD$57,3,FALSE()))+IF(クリーチャー_2!S35="－","0",VLOOKUP(クリーチャー_2!S35,$Z$6:$AD$57,3,FALSE()))+IF(クリーチャー_2!T35="－","0",VLOOKUP(クリーチャー_2!T35,$Z$6:$AD$57,3,FALSE()))+IF(クリーチャー_2!U35="－","0",VLOOKUP(クリーチャー_2!U35,$Z$6:$AD$57,3,FALSE()))</f>
        <v>0</v>
      </c>
      <c r="AQ34" s="450">
        <f>IF(クリーチャー_2!S34="－","0",VLOOKUP(クリーチャー_2!S34,$Z$6:$AD$57,4,FALSE()))+IF(クリーチャー_2!T34="－","0",VLOOKUP(クリーチャー_2!T34,$Z$6:$AD$57,4,FALSE()))+IF(クリーチャー_2!U34="－","0",VLOOKUP(クリーチャー_2!U34,$Z$6:$AD$57,4,FALSE()))+IF(クリーチャー_2!S35="－","0",VLOOKUP(クリーチャー_2!S35,$Z$6:$AD$57,4,FALSE()))+IF(クリーチャー_2!T35="－","0",VLOOKUP(クリーチャー_2!T35,$Z$6:$AD$57,4,FALSE()))+IF(クリーチャー_2!U35="－","0",VLOOKUP(クリーチャー_2!U35,$Z$6:$AD$57,4,FALSE()))</f>
        <v>0</v>
      </c>
      <c r="AR34" s="447">
        <f>COUNTIFS(クリーチャー_2!S34:U35,"強化*")</f>
        <v>0</v>
      </c>
      <c r="AS34" s="447">
        <f>COUNTIFS(クリーチャー_2!S34:U35,"減衰*")</f>
        <v>0</v>
      </c>
      <c r="AT34" s="444"/>
      <c r="AU34" s="446" t="s">
        <v>10</v>
      </c>
      <c r="AV34" s="450" cm="1">
        <f t="array" ref="AV34">IF(クリーチャー_3!S34="－","0",VLOOKUP(クリーチャー_3!S34,$Z$6:$AD$57,2,FALSE()))+IF(クリーチャー_3!T34="－","0",VLOOKUP(クリーチャー_3!T34,Z6:$AD$57,2,FALSE()))+IF(クリーチャー_3!U34="－","0",VLOOKUP(クリーチャー_3!U34,$Z$6:$AD$57,2,FALSE()))+IF(クリーチャー_3!S35="－","0",VLOOKUP(クリーチャー_3!S35,$Z$6:$AD$57,2,FALSE()))+IF(クリーチャー_3!T35="－","0",VLOOKUP(クリーチャー_3!T35,$Z$6:$AD$57,2,FALSE()))+IF(クリーチャー_3!U35="－","0",VLOOKUP(クリーチャー_3!U35,$Z$6:$AD$57,2,FALSE()))+_xlfn.IFS(AY34&gt;=2,1+2*(AY34-1),AY34=1,1,AY34=0,0)+_xlfn.IFS(AZ34&gt;=2,1+2*(AZ34-1),AZ34=1,1,AZ34=0,0)</f>
        <v>0</v>
      </c>
      <c r="AW34" s="450">
        <f>IF(クリーチャー_3!S34="－","0",VLOOKUP(クリーチャー_3!S34,$Z$6:$AD$57,3,FALSE()))+IF(クリーチャー_3!T34="－","0",VLOOKUP(クリーチャー_3!T34,$Z$6:$AD$57,3,FALSE()))+IF(クリーチャー_3!U34="－","0",VLOOKUP(クリーチャー_3!U34,$Z$6:$AD$57,3,FALSE()))+IF(クリーチャー_3!S35="－","0",VLOOKUP(クリーチャー_3!S35,$Z$6:$AD$57,3,FALSE()))+IF(クリーチャー_3!T35="－","0",VLOOKUP(クリーチャー_3!T35,$Z$6:$AD$57,3,FALSE()))+IF(クリーチャー_3!U35="－","0",VLOOKUP(クリーチャー_3!U35,$Z$6:$AD$57,3,FALSE()))</f>
        <v>0</v>
      </c>
      <c r="AX34" s="450">
        <f>IF(クリーチャー_3!S34="－","0",VLOOKUP(クリーチャー_3!S34,$Z$6:$AD$57,4,FALSE()))+IF(クリーチャー_3!T34="－","0",VLOOKUP(クリーチャー_3!T34,$Z$6:$AD$57,4,FALSE()))+IF(クリーチャー_3!U34="－","0",VLOOKUP(クリーチャー_3!U34,$Z$6:$AD$57,4,FALSE()))+IF(クリーチャー_3!S35="－","0",VLOOKUP(クリーチャー_3!S35,$Z$6:$AD$57,4,FALSE()))+IF(クリーチャー_3!T35="－","0",VLOOKUP(クリーチャー_3!T35,$Z$6:$AD$57,4,FALSE()))+IF(クリーチャー_3!U35="－","0",VLOOKUP(クリーチャー_3!U35,$Z$6:$AD$57,4,FALSE()))</f>
        <v>0</v>
      </c>
      <c r="AY34" s="447">
        <f>COUNTIFS(クリーチャー_3!S34:U35,"強化*")</f>
        <v>0</v>
      </c>
      <c r="AZ34" s="447">
        <f>COUNTIFS(クリーチャー_3!S34:U35,"減衰*")</f>
        <v>0</v>
      </c>
    </row>
    <row r="35" spans="2:52" x14ac:dyDescent="0.15">
      <c r="B35" s="446" t="s">
        <v>740</v>
      </c>
      <c r="C35" s="450">
        <f>IF(応用技!H34="－","0",VLOOKUP(応用技!H34,$V$15:$X$28,2,FALSE()))+IF(応用技!I34="－","0",VLOOKUP(応用技!I34,$V$15:$X$28,2,FALSE()))+IF(応用技!J34="－","0",VLOOKUP(応用技!J34,$V$15:$X$28,2,FALSE()))+IF(応用技!H35="－","0",VLOOKUP(応用技!H35,$V$15:$X$28,2,FALSE()))+IF(応用技!I35="－","0",VLOOKUP(応用技!I35,$V$15:$X$28,2,FALSE()))+IF(応用技!J35="－","0",VLOOKUP(応用技!J35,$V$15:$X$28,2,FALSE()))</f>
        <v>0</v>
      </c>
      <c r="D35" s="450">
        <f>IF(応用技!H34="－","0",VLOOKUP(応用技!H34,$V$15:$X$28,3,FALSE()))+IF(応用技!I34="－","0",VLOOKUP(応用技!I34,$V$15:$X$28,3,FALSE()))+IF(応用技!J34="－","0",VLOOKUP(応用技!J34,$V$15:$X$28,3,FALSE()))+IF(応用技!H35="－","0",VLOOKUP(応用技!H35,$V$15:$X$28,3,FALSE()))+IF(応用技!I35="－","0",VLOOKUP(応用技!I35,$V$15:$X$28,3,FALSE()))+IF(応用技!J35="－","0",VLOOKUP(応用技!J35,$V$15:$X$28,3,FALSE()))</f>
        <v>0</v>
      </c>
      <c r="E35" s="450"/>
      <c r="F35" s="447"/>
      <c r="G35" s="447"/>
      <c r="I35" s="451"/>
      <c r="J35" s="451"/>
      <c r="K35" s="449"/>
      <c r="L35" s="449"/>
      <c r="M35" s="449"/>
      <c r="N35" s="463" t="s">
        <v>316</v>
      </c>
      <c r="O35" s="464">
        <v>0</v>
      </c>
      <c r="P35" s="464">
        <v>1</v>
      </c>
      <c r="Q35" s="464"/>
      <c r="R35" s="465" t="s">
        <v>751</v>
      </c>
      <c r="S35" s="449"/>
      <c r="U35" s="449"/>
      <c r="V35" s="449"/>
      <c r="W35" s="449"/>
      <c r="X35" s="449"/>
      <c r="Y35" s="451"/>
      <c r="Z35" s="463" t="s">
        <v>316</v>
      </c>
      <c r="AA35" s="464">
        <v>0</v>
      </c>
      <c r="AB35" s="464">
        <v>1</v>
      </c>
      <c r="AC35" s="464"/>
      <c r="AD35" s="465" t="s">
        <v>751</v>
      </c>
      <c r="AE35" s="451"/>
      <c r="AG35" s="446" t="s">
        <v>740</v>
      </c>
      <c r="AH35" s="450">
        <f>IF(クリーチャー!V34="－","0",VLOOKUP(クリーチャー!V34,$V$15:$X$28,2,FALSE()))+IF(クリーチャー!W34="－","0",VLOOKUP(クリーチャー!W34,$V$15:$X$28,2,FALSE()))+IF(クリーチャー!X34="－","0",VLOOKUP(クリーチャー!X34,$V$15:$X$28,2,FALSE()))+IF(クリーチャー!V35="－","0",VLOOKUP(クリーチャー!V35,$V$15:$X$28,2,FALSE()))+IF(クリーチャー!W35="－","0",VLOOKUP(クリーチャー!W35,$V$15:$X$28,2,FALSE()))+IF(クリーチャー!X35="－","0",VLOOKUP(クリーチャー!X35,$V$15:$X$28,2,FALSE()))</f>
        <v>0</v>
      </c>
      <c r="AI35" s="450">
        <f>IF(クリーチャー!V34="－","0",VLOOKUP(クリーチャー!V34,$V$15:$X$28,3,FALSE()))+IF(クリーチャー!W34="－","0",VLOOKUP(クリーチャー!W34,$V$15:$X$28,3,FALSE()))+IF(クリーチャー!X34="－","0",VLOOKUP(クリーチャー!X34,$V$15:$X$28,3,FALSE()))+IF(クリーチャー!V35="－","0",VLOOKUP(クリーチャー!V35,$V$15:$X$28,3,FALSE()))+IF(クリーチャー!W35="－","0",VLOOKUP(クリーチャー!W35,$V$15:$X$28,3,FALSE()))+IF(クリーチャー!X35="－","0",VLOOKUP(クリーチャー!X35,$V$15:$X$28,3,FALSE()))</f>
        <v>0</v>
      </c>
      <c r="AJ35" s="450"/>
      <c r="AK35" s="447"/>
      <c r="AL35" s="447"/>
      <c r="AM35" s="444"/>
      <c r="AN35" s="446" t="s">
        <v>740</v>
      </c>
      <c r="AO35" s="450">
        <f>IF(クリーチャー_2!V34="－","0",VLOOKUP(クリーチャー_2!V34,$V$15:$X$28,2,FALSE()))+IF(クリーチャー_2!W34="－","0",VLOOKUP(クリーチャー_2!W34,$V$15:$X$28,2,FALSE()))+IF(クリーチャー_2!X34="－","0",VLOOKUP(クリーチャー_2!X34,$V$15:$X$28,2,FALSE()))+IF(クリーチャー_2!V35="－","0",VLOOKUP(クリーチャー_2!V35,$V$15:$X$28,2,FALSE()))+IF(クリーチャー_2!W35="－","0",VLOOKUP(クリーチャー_2!W35,$V$15:$X$28,2,FALSE()))+IF(クリーチャー_2!X35="－","0",VLOOKUP(クリーチャー_2!X35,$V$15:$X$28,2,FALSE()))</f>
        <v>0</v>
      </c>
      <c r="AP35" s="450">
        <f>IF(クリーチャー_2!V34="－","0",VLOOKUP(クリーチャー_2!V34,$V$15:$X$28,3,FALSE()))+IF(クリーチャー_2!W34="－","0",VLOOKUP(クリーチャー_2!W34,$V$15:$X$28,3,FALSE()))+IF(クリーチャー_2!X34="－","0",VLOOKUP(クリーチャー_2!X34,$V$15:$X$28,3,FALSE()))+IF(クリーチャー_2!V35="－","0",VLOOKUP(クリーチャー_2!V35,$V$15:$X$28,3,FALSE()))+IF(クリーチャー_2!W35="－","0",VLOOKUP(クリーチャー_2!W35,$V$15:$X$28,3,FALSE()))+IF(クリーチャー_2!X35="－","0",VLOOKUP(クリーチャー_2!X35,$V$15:$X$28,3,FALSE()))</f>
        <v>0</v>
      </c>
      <c r="AQ35" s="450"/>
      <c r="AR35" s="447"/>
      <c r="AS35" s="447"/>
      <c r="AT35" s="444"/>
      <c r="AU35" s="446" t="s">
        <v>740</v>
      </c>
      <c r="AV35" s="450">
        <f>IF(クリーチャー_3!V34="－","0",VLOOKUP(クリーチャー_3!V34,$V$15:$X$28,2,FALSE()))+IF(クリーチャー_3!W34="－","0",VLOOKUP(クリーチャー_3!W34,$V$15:$X$28,2,FALSE()))+IF(クリーチャー_3!X34="－","0",VLOOKUP(クリーチャー_3!X34,$V$15:$X$28,2,FALSE()))+IF(クリーチャー_3!V35="－","0",VLOOKUP(クリーチャー_3!V35,$V$15:$X$28,2,FALSE()))+IF(クリーチャー_3!W35="－","0",VLOOKUP(クリーチャー_3!W35,$V$15:$X$28,2,FALSE()))+IF(クリーチャー_3!X35="－","0",VLOOKUP(クリーチャー_3!X35,$V$15:$X$28,2,FALSE()))</f>
        <v>0</v>
      </c>
      <c r="AW35" s="450">
        <f>IF(クリーチャー_3!V34="－","0",VLOOKUP(クリーチャー_3!V34,$V$15:$X$28,3,FALSE()))+IF(クリーチャー_3!W34="－","0",VLOOKUP(クリーチャー_3!W34,$V$15:$X$28,3,FALSE()))+IF(クリーチャー_3!X34="－","0",VLOOKUP(クリーチャー_3!X34,$V$15:$X$28,3,FALSE()))+IF(クリーチャー_3!V35="－","0",VLOOKUP(クリーチャー_3!V35,$V$15:$X$28,3,FALSE()))+IF(クリーチャー_3!W35="－","0",VLOOKUP(クリーチャー_3!W35,$V$15:$X$28,3,FALSE()))+IF(クリーチャー_3!X35="－","0",VLOOKUP(クリーチャー_3!X35,$V$15:$X$28,3,FALSE()))</f>
        <v>0</v>
      </c>
      <c r="AX35" s="450"/>
      <c r="AY35" s="447"/>
      <c r="AZ35" s="447"/>
    </row>
    <row r="36" spans="2:52" x14ac:dyDescent="0.15">
      <c r="B36" s="446" t="s">
        <v>743</v>
      </c>
      <c r="C36" s="450">
        <f t="array" ref="C36">_xlfn.IFS(COUNTIF(応用技!E34:G35,"創造")&gt;=1,SUM(C33:C35)+1&amp;"～"&amp;SUM(C33:C35)+10,COUNTIF(応用技!E34:G35,"限定*")&gt;=1,"※",COUNTIF(応用技!E34:G35,"影響無効")&gt;=1,"※",TRUE(),SUM(C33:C35))</f>
        <v>0</v>
      </c>
      <c r="D36" s="450">
        <f>SUM(D33:D35)</f>
        <v>0</v>
      </c>
      <c r="E36" s="450">
        <f>SUM(E33:E35)</f>
        <v>0</v>
      </c>
      <c r="F36" s="447"/>
      <c r="G36" s="447"/>
      <c r="I36" s="451"/>
      <c r="J36" s="451"/>
      <c r="K36" s="449"/>
      <c r="L36" s="449"/>
      <c r="M36" s="449"/>
      <c r="N36" s="463" t="s">
        <v>323</v>
      </c>
      <c r="O36" s="464">
        <v>0</v>
      </c>
      <c r="P36" s="464">
        <v>0</v>
      </c>
      <c r="Q36" s="464">
        <v>1</v>
      </c>
      <c r="R36" s="465"/>
      <c r="S36" s="449"/>
      <c r="U36" s="449"/>
      <c r="V36" s="449"/>
      <c r="W36" s="449"/>
      <c r="X36" s="449"/>
      <c r="Y36" s="451"/>
      <c r="Z36" s="463" t="s">
        <v>752</v>
      </c>
      <c r="AA36" s="464">
        <v>0</v>
      </c>
      <c r="AB36" s="464">
        <v>0</v>
      </c>
      <c r="AC36" s="464">
        <v>1</v>
      </c>
      <c r="AD36" s="465"/>
      <c r="AE36" s="451"/>
      <c r="AG36" s="446" t="s">
        <v>743</v>
      </c>
      <c r="AH36" s="450">
        <f t="array" ref="AH36">_xlfn.IFS(COUNTIF(クリーチャー!S34:U35,"創造")&gt;=1,SUM(AH33:AH35)+1&amp;"～"&amp;SUM(AH33:AH35)+10,COUNTIF(クリーチャー!S34:U35,"限定*")&gt;=1,"※",COUNTIF(クリーチャー!S34:U35,"影響無効")&gt;=1,"※",TRUE(),SUM(AH33:AH35))</f>
        <v>0</v>
      </c>
      <c r="AI36" s="450">
        <f>SUM(AI33:AI35)</f>
        <v>0</v>
      </c>
      <c r="AJ36" s="450">
        <f>SUM(AJ33:AJ35)</f>
        <v>0</v>
      </c>
      <c r="AK36" s="447"/>
      <c r="AL36" s="447"/>
      <c r="AM36" s="444"/>
      <c r="AN36" s="446" t="s">
        <v>743</v>
      </c>
      <c r="AO36" s="450">
        <f t="array" ref="AO36">_xlfn.IFS(COUNTIF(クリーチャー_2!S34:U35,"創造")&gt;=1,SUM(AO33:AO35)+1&amp;"～"&amp;SUM(AO33:AO35)+10,COUNTIF(クリーチャー_2!S34:U35,"限定*")&gt;=1,"※",COUNTIF(クリーチャー_2!S34:U35,"影響無効")&gt;=1,"※",TRUE(),SUM(AO33:AO35))</f>
        <v>0</v>
      </c>
      <c r="AP36" s="450">
        <f>SUM(AP33:AP35)</f>
        <v>0</v>
      </c>
      <c r="AQ36" s="450">
        <f>SUM(AQ33:AQ35)</f>
        <v>0</v>
      </c>
      <c r="AR36" s="447"/>
      <c r="AS36" s="447"/>
      <c r="AT36" s="444"/>
      <c r="AU36" s="446" t="s">
        <v>743</v>
      </c>
      <c r="AV36" s="450">
        <f t="array" ref="AV36">_xlfn.IFS(COUNTIF(クリーチャー_3!S34:U35,"創造")&gt;=1,SUM(AV33:AV35)+1&amp;"～"&amp;SUM(AV33:AV35)+10,COUNTIF(クリーチャー_3!S34:U35,"限定*")&gt;=1,"※",COUNTIF(クリーチャー_3!S34:U35,"影響無効")&gt;=1,"※",TRUE(),SUM(AV33:AV35))</f>
        <v>0</v>
      </c>
      <c r="AW36" s="450">
        <f>SUM(AW33:AW35)</f>
        <v>0</v>
      </c>
      <c r="AX36" s="450">
        <f>SUM(AX33:AX35)</f>
        <v>0</v>
      </c>
      <c r="AY36" s="447"/>
      <c r="AZ36" s="447"/>
    </row>
    <row r="37" spans="2:52" x14ac:dyDescent="0.15">
      <c r="I37" s="451"/>
      <c r="J37" s="451"/>
      <c r="K37" s="449"/>
      <c r="L37" s="449"/>
      <c r="M37" s="449"/>
      <c r="N37" s="463" t="s">
        <v>330</v>
      </c>
      <c r="O37" s="464">
        <v>0</v>
      </c>
      <c r="P37" s="464">
        <v>0</v>
      </c>
      <c r="Q37" s="464">
        <v>1</v>
      </c>
      <c r="R37" s="465"/>
      <c r="S37" s="449"/>
      <c r="U37" s="449"/>
      <c r="V37" s="449"/>
      <c r="W37" s="449"/>
      <c r="X37" s="449"/>
      <c r="Y37" s="451"/>
      <c r="Z37" s="463" t="s">
        <v>330</v>
      </c>
      <c r="AA37" s="464">
        <v>0</v>
      </c>
      <c r="AB37" s="464">
        <v>0</v>
      </c>
      <c r="AC37" s="464">
        <v>1</v>
      </c>
      <c r="AD37" s="465"/>
      <c r="AE37" s="451"/>
      <c r="AI37" s="444"/>
      <c r="AJ37" s="444"/>
      <c r="AK37" s="444"/>
      <c r="AL37" s="444"/>
      <c r="AM37" s="444"/>
      <c r="AN37" s="444"/>
      <c r="AO37" s="444"/>
      <c r="AP37" s="444"/>
      <c r="AQ37" s="444"/>
      <c r="AS37" s="444"/>
      <c r="AT37" s="444"/>
      <c r="AU37" s="444"/>
      <c r="AV37" s="444"/>
    </row>
    <row r="38" spans="2:52" x14ac:dyDescent="0.15">
      <c r="B38" s="469" t="s">
        <v>753</v>
      </c>
      <c r="C38" s="470" t="s">
        <v>623</v>
      </c>
      <c r="D38" s="470" t="s">
        <v>449</v>
      </c>
      <c r="E38" s="470" t="s">
        <v>735</v>
      </c>
      <c r="F38" s="471" t="s">
        <v>736</v>
      </c>
      <c r="G38" s="470" t="s">
        <v>737</v>
      </c>
      <c r="I38" s="451"/>
      <c r="J38" s="451"/>
      <c r="K38" s="449"/>
      <c r="L38" s="449"/>
      <c r="M38" s="449"/>
      <c r="N38" s="463" t="s">
        <v>336</v>
      </c>
      <c r="O38" s="464">
        <v>0</v>
      </c>
      <c r="P38" s="464">
        <v>0</v>
      </c>
      <c r="Q38" s="464">
        <v>1</v>
      </c>
      <c r="R38" s="465"/>
      <c r="S38" s="449"/>
      <c r="U38" s="449"/>
      <c r="V38" s="449"/>
      <c r="W38" s="449"/>
      <c r="X38" s="449"/>
      <c r="Y38" s="451"/>
      <c r="Z38" s="463" t="s">
        <v>724</v>
      </c>
      <c r="AA38" s="464">
        <v>0</v>
      </c>
      <c r="AB38" s="464">
        <v>0</v>
      </c>
      <c r="AC38" s="464">
        <v>1</v>
      </c>
      <c r="AD38" s="465"/>
      <c r="AE38" s="451"/>
      <c r="AG38" s="469" t="s">
        <v>753</v>
      </c>
      <c r="AH38" s="470" t="s">
        <v>623</v>
      </c>
      <c r="AI38" s="470" t="s">
        <v>449</v>
      </c>
      <c r="AJ38" s="470" t="s">
        <v>735</v>
      </c>
      <c r="AK38" s="471" t="s">
        <v>736</v>
      </c>
      <c r="AL38" s="470" t="s">
        <v>737</v>
      </c>
      <c r="AM38" s="444"/>
      <c r="AN38" s="469" t="s">
        <v>753</v>
      </c>
      <c r="AO38" s="470" t="s">
        <v>623</v>
      </c>
      <c r="AP38" s="470" t="s">
        <v>449</v>
      </c>
      <c r="AQ38" s="470" t="s">
        <v>735</v>
      </c>
      <c r="AR38" s="471" t="s">
        <v>736</v>
      </c>
      <c r="AS38" s="470" t="s">
        <v>737</v>
      </c>
      <c r="AT38" s="444"/>
      <c r="AU38" s="469" t="s">
        <v>753</v>
      </c>
      <c r="AV38" s="470" t="s">
        <v>623</v>
      </c>
      <c r="AW38" s="470" t="s">
        <v>449</v>
      </c>
      <c r="AX38" s="470" t="s">
        <v>735</v>
      </c>
      <c r="AY38" s="471" t="s">
        <v>736</v>
      </c>
      <c r="AZ38" s="470" t="s">
        <v>737</v>
      </c>
    </row>
    <row r="39" spans="2:52" x14ac:dyDescent="0.15">
      <c r="B39" s="470" t="s">
        <v>9</v>
      </c>
      <c r="C39" s="472">
        <f>IF(応用技!B45="－","0",VLOOKUP(応用技!B45,計算用!$J$6:$L$11,2,FALSE()))+IF(応用技!C45="－","0",VLOOKUP(応用技!C45,計算用!$J$6:$L$11,2,FALSE()))+IF(応用技!D45="－","0",VLOOKUP(応用技!D45,計算用!$J$6:$L$11,2,FALSE()))+COUNTIF(応用技!B45:D45,"防御発動")^2</f>
        <v>0</v>
      </c>
      <c r="D39" s="472">
        <f>IF(応用技!B45="－","0",VLOOKUP(応用技!B45,$J$6:$L$11,3,FALSE()))+IF(応用技!C45="－","0",VLOOKUP(応用技!C45,$J$6:$L$11,3,FALSE()))+IF(応用技!D45="－","0",VLOOKUP(応用技!D45,$J$6:$L$11,3,FALSE()))</f>
        <v>0</v>
      </c>
      <c r="E39" s="473"/>
      <c r="F39" s="471"/>
      <c r="G39" s="471"/>
      <c r="I39" s="451"/>
      <c r="J39" s="451"/>
      <c r="K39" s="449"/>
      <c r="L39" s="449"/>
      <c r="M39" s="449"/>
      <c r="N39" s="463" t="s">
        <v>342</v>
      </c>
      <c r="O39" s="464">
        <v>0</v>
      </c>
      <c r="P39" s="464">
        <v>0</v>
      </c>
      <c r="Q39" s="464">
        <v>1</v>
      </c>
      <c r="R39" s="465"/>
      <c r="S39" s="449"/>
      <c r="U39" s="449"/>
      <c r="V39" s="449"/>
      <c r="W39" s="449"/>
      <c r="X39" s="449"/>
      <c r="Y39" s="451"/>
      <c r="Z39" s="463" t="s">
        <v>342</v>
      </c>
      <c r="AA39" s="464">
        <v>0</v>
      </c>
      <c r="AB39" s="464">
        <v>0</v>
      </c>
      <c r="AC39" s="464">
        <v>1</v>
      </c>
      <c r="AD39" s="465"/>
      <c r="AE39" s="451"/>
      <c r="AG39" s="470" t="s">
        <v>9</v>
      </c>
      <c r="AH39" s="472">
        <f>IF(クリーチャー!P45="－","0",VLOOKUP(クリーチャー!P45,計算用!$J$6:$L$11,2,FALSE()))+IF(クリーチャー!Q45="－","0",VLOOKUP(クリーチャー!Q45,計算用!$J$6:$L$11,2,FALSE()))+IF(クリーチャー!R45="－","0",VLOOKUP(クリーチャー!R45,計算用!$J$6:$L$11,2,FALSE()))+COUNTIF(クリーチャー!P45:R45,"防御発動")^2</f>
        <v>0</v>
      </c>
      <c r="AI39" s="472">
        <f>IF(クリーチャー!P45="－","0",VLOOKUP(クリーチャー!P45,$J$6:$L$11,3,FALSE()))+IF(クリーチャー!Q45="－","0",VLOOKUP(クリーチャー!Q45,$J$6:$L$11,3,FALSE()))+IF(クリーチャー!R45="－","0",VLOOKUP(クリーチャー!R45,$J$6:$L$11,3,FALSE()))</f>
        <v>0</v>
      </c>
      <c r="AJ39" s="473"/>
      <c r="AK39" s="471"/>
      <c r="AL39" s="471"/>
      <c r="AM39" s="444"/>
      <c r="AN39" s="470" t="s">
        <v>9</v>
      </c>
      <c r="AO39" s="472">
        <f>IF(クリーチャー_2!P45="－","0",VLOOKUP(クリーチャー_2!P45,計算用!$J$6:$L$11,2,FALSE()))+IF(クリーチャー_2!Q45="－","0",VLOOKUP(クリーチャー_2!Q45,計算用!$J$6:$L$11,2,FALSE()))+IF(クリーチャー_2!R45="－","0",VLOOKUP(クリーチャー_2!R45,計算用!$J$6:$L$11,2,FALSE()))+COUNTIF(クリーチャー_2!P45:R45,"防御発動")^2</f>
        <v>0</v>
      </c>
      <c r="AP39" s="472">
        <f>IF(クリーチャー_2!P45="－","0",VLOOKUP(クリーチャー_2!P45,$J$6:$L$11,3,FALSE()))+IF(クリーチャー_2!Q45="－","0",VLOOKUP(クリーチャー_2!Q45,$J$6:$L$11,3,FALSE()))+IF(クリーチャー_2!R45="－","0",VLOOKUP(クリーチャー_2!R45,$J$6:$L$11,3,FALSE()))</f>
        <v>0</v>
      </c>
      <c r="AQ39" s="473"/>
      <c r="AR39" s="471"/>
      <c r="AS39" s="471"/>
      <c r="AT39" s="444"/>
      <c r="AU39" s="470" t="s">
        <v>9</v>
      </c>
      <c r="AV39" s="472">
        <f>IF(クリーチャー_3!P45="－","0",VLOOKUP(クリーチャー_3!P45,計算用!$J$6:$L$11,2,FALSE()))+IF(クリーチャー_3!Q45="－","0",VLOOKUP(クリーチャー_3!Q45,計算用!$J$6:$L$11,2,FALSE()))+IF(クリーチャー_3!R45="－","0",VLOOKUP(クリーチャー_3!R45,計算用!$J$6:$L$11,2,FALSE()))+COUNTIF(クリーチャー_3!P45:R45,"防御発動")^2</f>
        <v>0</v>
      </c>
      <c r="AW39" s="472">
        <f>IF(クリーチャー_3!P45="－","0",VLOOKUP(クリーチャー_3!P45,$J$6:$L$11,3,FALSE()))+IF(クリーチャー_3!Q45="－","0",VLOOKUP(クリーチャー_3!Q45,$J$6:$L$11,3,FALSE()))+IF(クリーチャー_3!R45="－","0",VLOOKUP(クリーチャー_3!R45,$J$6:$L$11,3,FALSE()))</f>
        <v>0</v>
      </c>
      <c r="AX39" s="473"/>
      <c r="AY39" s="471"/>
      <c r="AZ39" s="471"/>
    </row>
    <row r="40" spans="2:52" x14ac:dyDescent="0.15">
      <c r="B40" s="470" t="s">
        <v>10</v>
      </c>
      <c r="C40" s="472" cm="1">
        <f t="array" ref="C40">IF(応用技!E45="－","0",VLOOKUP(応用技!E45,$N$6:$R$49,2,FALSE()))+IF(応用技!F45="－","0",VLOOKUP(応用技!F45,N6:$R$49,2,FALSE()))+IF(応用技!G45="－","0",VLOOKUP(応用技!G45,$N$6:$R$49,2,FALSE()))+IF(応用技!E46="－","0",VLOOKUP(応用技!E46,$N$6:$R$49,2,FALSE()))+IF(応用技!F46="－","0",VLOOKUP(応用技!F46,$N$6:$R$49,2,FALSE()))+IF(応用技!G46="－","0",VLOOKUP(応用技!G46,$N$6:$R$49,2,FALSE()))+_xlfn.IFS(F40&gt;=2,1+2*(F40-1),F40=1,1,F40=0,0)+_xlfn.IFS(G40&gt;=2,1+2*(G40-1),G40=1,1,G40=0,0)</f>
        <v>0</v>
      </c>
      <c r="D40" s="472">
        <f>IF(応用技!E45="－","0",VLOOKUP(応用技!E45,$N$6:$R$49,3,FALSE()))+IF(応用技!F45="－","0",VLOOKUP(応用技!F45,$N$6:$R$49,3,FALSE()))+IF(応用技!G45="－","0",VLOOKUP(応用技!G45,$N$6:$R$49,3,FALSE()))+IF(応用技!E46="－","0",VLOOKUP(応用技!E46,$N$6:$R$49,3,FALSE()))+IF(応用技!F46="－","0",VLOOKUP(応用技!F46,$N$6:$R$49,3,FALSE()))+IF(応用技!G46="－","0",VLOOKUP(応用技!G46,$N$6:$R$49,3,FALSE()))</f>
        <v>0</v>
      </c>
      <c r="E40" s="472">
        <f>IF(応用技!E45="－","0",VLOOKUP(応用技!E45,$N$6:$R$49,4,FALSE()))+IF(応用技!F45="－","0",VLOOKUP(応用技!F45,$N$6:$R$49,4,FALSE()))+IF(応用技!G45="－","0",VLOOKUP(応用技!G45,$N$6:$R$49,4,FALSE()))+IF(応用技!E46="－","0",VLOOKUP(応用技!E46,$N$6:$R$49,4,FALSE()))+IF(応用技!F46="－","0",VLOOKUP(応用技!F46,$N$6:$R$49,4,FALSE()))+IF(応用技!G46="－","0",VLOOKUP(応用技!G46,$N$6:$R$49,4,FALSE()))</f>
        <v>0</v>
      </c>
      <c r="F40" s="471">
        <f>COUNTIFS(応用技!E45:G46,"強化*")</f>
        <v>0</v>
      </c>
      <c r="G40" s="471">
        <f>COUNTIFS(応用技!E45:G46,"減衰*")</f>
        <v>0</v>
      </c>
      <c r="I40" s="451"/>
      <c r="J40" s="451"/>
      <c r="K40" s="449"/>
      <c r="L40" s="449"/>
      <c r="M40" s="449"/>
      <c r="N40" s="463" t="s">
        <v>347</v>
      </c>
      <c r="O40" s="464">
        <v>0</v>
      </c>
      <c r="P40" s="464">
        <v>0</v>
      </c>
      <c r="Q40" s="464">
        <v>1</v>
      </c>
      <c r="R40" s="465"/>
      <c r="S40" s="449"/>
      <c r="U40" s="449"/>
      <c r="V40" s="449"/>
      <c r="W40" s="449"/>
      <c r="X40" s="449"/>
      <c r="Y40" s="451"/>
      <c r="Z40" s="463" t="s">
        <v>347</v>
      </c>
      <c r="AA40" s="464">
        <v>0</v>
      </c>
      <c r="AB40" s="464">
        <v>0</v>
      </c>
      <c r="AC40" s="464">
        <v>1</v>
      </c>
      <c r="AD40" s="465"/>
      <c r="AE40" s="451"/>
      <c r="AG40" s="470" t="s">
        <v>10</v>
      </c>
      <c r="AH40" s="472" cm="1">
        <f t="array" ref="AH40">IF(クリーチャー!S45="－","0",VLOOKUP(クリーチャー!S45,$N$6:$R$49,2,FALSE()))+IF(クリーチャー!T45="－","0",VLOOKUP(クリーチャー!T45,N6:$R$49,2,FALSE()))+IF(クリーチャー!U45="－","0",VLOOKUP(クリーチャー!U45,$N$6:$R$49,2,FALSE()))+IF(クリーチャー!S46="－","0",VLOOKUP(クリーチャー!S46,$N$6:$R$49,2,FALSE()))+IF(クリーチャー!T46="－","0",VLOOKUP(クリーチャー!T46,$N$6:$R$49,2,FALSE()))+IF(クリーチャー!U46="－","0",VLOOKUP(クリーチャー!U46,$N$6:$R$49,2,FALSE()))+_xlfn.IFS(AK40&gt;=2,1+2*(AK40-1),AK40=1,1,AK40=0,0)+_xlfn.IFS(AL40&gt;=2,1+2*(AL40-1),AL40=1,1,AL40=0,0)</f>
        <v>0</v>
      </c>
      <c r="AI40" s="472">
        <f>IF(クリーチャー!S45="－","0",VLOOKUP(クリーチャー!S45,$N$6:$R$49,3,FALSE()))+IF(クリーチャー!T45="－","0",VLOOKUP(クリーチャー!T45,$N$6:$R$49,3,FALSE()))+IF(クリーチャー!U45="－","0",VLOOKUP(クリーチャー!U45,$N$6:$R$49,3,FALSE()))+IF(クリーチャー!S46="－","0",VLOOKUP(クリーチャー!S46,$N$6:$R$49,3,FALSE()))+IF(クリーチャー!T46="－","0",VLOOKUP(クリーチャー!T46,$N$6:$R$49,3,FALSE()))+IF(クリーチャー!U46="－","0",VLOOKUP(クリーチャー!U46,$N$6:$R$49,3,FALSE()))</f>
        <v>0</v>
      </c>
      <c r="AJ40" s="472">
        <f>IF(クリーチャー!S45="－","0",VLOOKUP(クリーチャー!S45,$N$6:$R$49,4,FALSE()))+IF(クリーチャー!T45="－","0",VLOOKUP(クリーチャー!T45,$N$6:$R$49,4,FALSE()))+IF(クリーチャー!U45="－","0",VLOOKUP(クリーチャー!U45,$N$6:$R$49,4,FALSE()))+IF(クリーチャー!S46="－","0",VLOOKUP(クリーチャー!S46,$N$6:$R$49,4,FALSE()))+IF(クリーチャー!T46="－","0",VLOOKUP(クリーチャー!T46,$N$6:$R$49,4,FALSE()))+IF(クリーチャー!U46="－","0",VLOOKUP(クリーチャー!U46,$N$6:$R$49,4,FALSE()))</f>
        <v>0</v>
      </c>
      <c r="AK40" s="471">
        <f>COUNTIFS(クリーチャー!S45:U46,"強化*")</f>
        <v>0</v>
      </c>
      <c r="AL40" s="471">
        <f>COUNTIFS(クリーチャー!S45:U46,"減衰*")</f>
        <v>0</v>
      </c>
      <c r="AM40" s="444"/>
      <c r="AN40" s="470" t="s">
        <v>10</v>
      </c>
      <c r="AO40" s="472" cm="1">
        <f t="array" ref="AO40">IF(クリーチャー_2!S45="－","0",VLOOKUP(クリーチャー_2!S45,$N$6:$R$49,2,FALSE()))+IF(クリーチャー_2!T45="－","0",VLOOKUP(クリーチャー_2!T45,$N$6:$R$49,2,FALSE()))+IF(クリーチャー_2!U45="－","0",VLOOKUP(クリーチャー_2!U45,$N$6:$R$49,2,FALSE()))+IF(クリーチャー_2!S46="－","0",VLOOKUP(クリーチャー_2!S46,$N$6:$R$49,2,FALSE()))+IF(クリーチャー_2!T46="－","0",VLOOKUP(クリーチャー_2!T46,$N$6:$R$49,2,FALSE()))+IF(クリーチャー_2!U46="－","0",VLOOKUP(クリーチャー_2!U46,$N$6:$R$49,2,FALSE()))+_xlfn.IFS(AR40&gt;=2,1+2*(AR40-1),AR40=1,1,AR40=0,0)+_xlfn.IFS(AS40&gt;=2,1+2*(AS40-1),AS40=1,1,AS40=0,0)</f>
        <v>0</v>
      </c>
      <c r="AP40" s="472">
        <f>IF(クリーチャー_2!S45="－","0",VLOOKUP(クリーチャー_2!S45,$N$6:$R$49,3,FALSE()))+IF(クリーチャー_2!T45="－","0",VLOOKUP(クリーチャー_2!T45,$N$6:$R$49,3,FALSE()))+IF(クリーチャー_2!U45="－","0",VLOOKUP(クリーチャー_2!U45,$N$6:$R$49,3,FALSE()))+IF(クリーチャー_2!S46="－","0",VLOOKUP(クリーチャー_2!S46,$N$6:$R$49,3,FALSE()))+IF(クリーチャー_2!T46="－","0",VLOOKUP(クリーチャー_2!T46,$N$6:$R$49,3,FALSE()))+IF(クリーチャー_2!U46="－","0",VLOOKUP(クリーチャー_2!U46,$N$6:$R$49,3,FALSE()))</f>
        <v>0</v>
      </c>
      <c r="AQ40" s="472">
        <f>IF(クリーチャー_2!S45="－","0",VLOOKUP(クリーチャー_2!S45,$N$6:$R$49,4,FALSE()))+IF(クリーチャー_2!T45="－","0",VLOOKUP(クリーチャー_2!T45,$N$6:$R$49,4,FALSE()))+IF(クリーチャー_2!U45="－","0",VLOOKUP(クリーチャー_2!U45,$N$6:$R$49,4,FALSE()))+IF(クリーチャー_2!S46="－","0",VLOOKUP(クリーチャー_2!S46,$N$6:$R$49,4,FALSE()))+IF(クリーチャー_2!T46="－","0",VLOOKUP(クリーチャー_2!T46,$N$6:$R$49,4,FALSE()))+IF(クリーチャー_2!U46="－","0",VLOOKUP(クリーチャー_2!U46,$N$6:$R$49,4,FALSE()))</f>
        <v>0</v>
      </c>
      <c r="AR40" s="471">
        <f>COUNTIFS(クリーチャー_2!S45:U46,"強化*")</f>
        <v>0</v>
      </c>
      <c r="AS40" s="471">
        <f>COUNTIFS(クリーチャー_2!S45:U46,"減衰*")</f>
        <v>0</v>
      </c>
      <c r="AT40" s="444"/>
      <c r="AU40" s="470" t="s">
        <v>10</v>
      </c>
      <c r="AV40" s="472" cm="1">
        <f t="array" ref="AV40">IF(クリーチャー_3!S45="－","0",VLOOKUP(クリーチャー_3!S45,$N$6:$R$49,2,FALSE()))+IF(クリーチャー_3!T45="－","0",VLOOKUP(クリーチャー_3!T45,N6:$R$49,2,FALSE()))+IF(クリーチャー_3!U45="－","0",VLOOKUP(クリーチャー_3!U45,$N$6:$R$49,2,FALSE()))+IF(クリーチャー_3!S46="－","0",VLOOKUP(クリーチャー_3!S46,$N$6:$R$49,2,FALSE()))+IF(クリーチャー_3!T46="－","0",VLOOKUP(クリーチャー_3!T46,$N$6:$R$49,2,FALSE()))+IF(クリーチャー_3!U46="－","0",VLOOKUP(クリーチャー_3!U46,$N$6:$R$49,2,FALSE()))+_xlfn.IFS(AY40&gt;=2,1+2*(AY40-1),AY40=1,1,AY40=0,0)+_xlfn.IFS(AZ40&gt;=2,1+2*(AZ40-1),AZ40=1,1,AZ40=0,0)</f>
        <v>0</v>
      </c>
      <c r="AW40" s="472">
        <f>IF(クリーチャー_3!S45="－","0",VLOOKUP(クリーチャー_3!S45,$N$6:$R$49,3,FALSE()))+IF(クリーチャー_3!T45="－","0",VLOOKUP(クリーチャー_3!T45,$N$6:$R$49,3,FALSE()))+IF(クリーチャー_3!U45="－","0",VLOOKUP(クリーチャー_3!U45,$N$6:$R$49,3,FALSE()))+IF(クリーチャー_3!S46="－","0",VLOOKUP(クリーチャー_3!S46,$N$6:$R$49,3,FALSE()))+IF(クリーチャー_3!T46="－","0",VLOOKUP(クリーチャー_3!T46,$N$6:$R$49,3,FALSE()))+IF(クリーチャー_3!U46="－","0",VLOOKUP(クリーチャー_3!U46,$N$6:$R$49,3,FALSE()))</f>
        <v>0</v>
      </c>
      <c r="AX40" s="472">
        <f>IF(クリーチャー_3!S45="－","0",VLOOKUP(クリーチャー_3!S45,$N$6:$R$49,4,FALSE()))+IF(クリーチャー_3!T45="－","0",VLOOKUP(クリーチャー_3!T45,$N$6:$R$49,4,FALSE()))+IF(クリーチャー_3!U45="－","0",VLOOKUP(クリーチャー_3!U45,$N$6:$R$49,4,FALSE()))+IF(クリーチャー_3!S46="－","0",VLOOKUP(クリーチャー_3!S46,$N$6:$R$49,4,FALSE()))+IF(クリーチャー_3!T46="－","0",VLOOKUP(クリーチャー_3!T46,$N$6:$R$49,4,FALSE()))+IF(クリーチャー_3!U46="－","0",VLOOKUP(クリーチャー_3!U46,$N$6:$R$49,4,FALSE()))</f>
        <v>0</v>
      </c>
      <c r="AY40" s="471">
        <f>COUNTIFS(クリーチャー_3!S45:U46,"強化*")</f>
        <v>0</v>
      </c>
      <c r="AZ40" s="471">
        <f>COUNTIFS(クリーチャー_3!S45:U46,"減衰*")</f>
        <v>0</v>
      </c>
    </row>
    <row r="41" spans="2:52" x14ac:dyDescent="0.15">
      <c r="B41" s="470" t="s">
        <v>740</v>
      </c>
      <c r="C41" s="472">
        <f>IF(応用技!H45="－","0",VLOOKUP(応用技!H45,$J$15:$L$27,2,FALSE()))+IF(応用技!I45="－","0",VLOOKUP(応用技!I45,$J$15:$L$27,2,FALSE()))+IF(応用技!J45="－","0",VLOOKUP(応用技!J45,$J$15:$L$27,2,FALSE()))+IF(応用技!H46="－","0",VLOOKUP(応用技!H46,$J$15:$L$27,2,FALSE()))+IF(応用技!I46="－","0",VLOOKUP(応用技!I46,$J$15:$L$27,2,FALSE()))+IF(応用技!J46="－","0",VLOOKUP(応用技!J46,$J$15:$L$27,2,FALSE()))</f>
        <v>0</v>
      </c>
      <c r="D41" s="472">
        <f>IF(応用技!H45="－","0",VLOOKUP(応用技!H45,$J$15:$L$27,3,FALSE()))+IF(応用技!I45="－","0",VLOOKUP(応用技!I45,$J$15:$L$27,3,FALSE()))+IF(応用技!J45="－","0",VLOOKUP(応用技!J45,$J$15:$L$27,3,FALSE()))+IF(応用技!H46="－","0",VLOOKUP(応用技!H46,$J$15:$L$27,3,FALSE()))+IF(応用技!I46="－","0",VLOOKUP(応用技!I46,$J$15:$L$27,3,FALSE()))+IF(応用技!J46="－","0",VLOOKUP(応用技!J46,$J$15:$L$27,3,FALSE()))</f>
        <v>0</v>
      </c>
      <c r="E41" s="472"/>
      <c r="F41" s="471"/>
      <c r="G41" s="471"/>
      <c r="I41" s="451"/>
      <c r="J41" s="451"/>
      <c r="K41" s="449"/>
      <c r="L41" s="449"/>
      <c r="M41" s="449"/>
      <c r="N41" s="474" t="s">
        <v>353</v>
      </c>
      <c r="O41" s="464">
        <v>0</v>
      </c>
      <c r="P41" s="464">
        <v>0</v>
      </c>
      <c r="Q41" s="464">
        <v>1</v>
      </c>
      <c r="R41" s="465" t="s">
        <v>754</v>
      </c>
      <c r="S41" s="449"/>
      <c r="U41" s="449"/>
      <c r="V41" s="449"/>
      <c r="W41" s="449"/>
      <c r="X41" s="449"/>
      <c r="Y41" s="451"/>
      <c r="Z41" s="474" t="s">
        <v>353</v>
      </c>
      <c r="AA41" s="464">
        <v>0</v>
      </c>
      <c r="AB41" s="464">
        <v>0</v>
      </c>
      <c r="AC41" s="464">
        <v>0</v>
      </c>
      <c r="AD41" s="465" t="s">
        <v>754</v>
      </c>
      <c r="AE41" s="451"/>
      <c r="AG41" s="470" t="s">
        <v>740</v>
      </c>
      <c r="AH41" s="472">
        <f>IF(クリーチャー!V45="－","0",VLOOKUP(クリーチャー!V45,$J$15:$L$27,2,FALSE()))+IF(クリーチャー!W45="－","0",VLOOKUP(クリーチャー!W45,$J$15:$L$27,2,FALSE()))+IF(クリーチャー!X45="－","0",VLOOKUP(クリーチャー!X45,$J$15:$L$27,2,FALSE()))+IF(クリーチャー!V46="－","0",VLOOKUP(クリーチャー!V46,$J$15:$L$27,2,FALSE()))+IF(クリーチャー!W46="－","0",VLOOKUP(クリーチャー!W46,$J$15:$L$27,2,FALSE()))+IF(クリーチャー!X46="－","0",VLOOKUP(クリーチャー!X46,$J$15:$L$27,2,FALSE()))</f>
        <v>0</v>
      </c>
      <c r="AI41" s="472">
        <f>IF(クリーチャー!V45="－","0",VLOOKUP(クリーチャー!V45,$J$15:$L$27,3,FALSE()))+IF(クリーチャー!W45="－","0",VLOOKUP(クリーチャー!W45,$J$15:$L$27,3,FALSE()))+IF(クリーチャー!X45="－","0",VLOOKUP(クリーチャー!X45,$J$15:$L$27,3,FALSE()))+IF(クリーチャー!V46="－","0",VLOOKUP(クリーチャー!V46,$J$15:$L$27,3,FALSE()))+IF(クリーチャー!W46="－","0",VLOOKUP(クリーチャー!W46,$J$15:$L$27,3,FALSE()))+IF(クリーチャー!X46="－","0",VLOOKUP(クリーチャー!X46,$J$15:$L$27,3,FALSE()))</f>
        <v>0</v>
      </c>
      <c r="AJ41" s="472"/>
      <c r="AK41" s="471"/>
      <c r="AL41" s="471"/>
      <c r="AM41" s="444"/>
      <c r="AN41" s="470" t="s">
        <v>740</v>
      </c>
      <c r="AO41" s="472">
        <f>IF(クリーチャー_2!V45="－","0",VLOOKUP(クリーチャー_2!V45,$J$15:$L$27,2,FALSE()))+IF(クリーチャー_2!W45="－","0",VLOOKUP(クリーチャー_2!W45,$J$15:$L$27,2,FALSE()))+IF(クリーチャー_2!X45="－","0",VLOOKUP(クリーチャー_2!X45,$J$15:$L$27,2,FALSE()))+IF(クリーチャー_2!V46="－","0",VLOOKUP(クリーチャー_2!V46,$J$15:$L$27,2,FALSE()))+IF(クリーチャー_2!W46="－","0",VLOOKUP(クリーチャー_2!W46,$J$15:$L$27,2,FALSE()))+IF(クリーチャー_2!X46="－","0",VLOOKUP(クリーチャー_2!X46,$J$15:$L$27,2,FALSE()))</f>
        <v>0</v>
      </c>
      <c r="AP41" s="472">
        <f>IF(クリーチャー_2!V45="－","0",VLOOKUP(クリーチャー_2!V45,$J$15:$L$27,3,FALSE()))+IF(クリーチャー_2!W45="－","0",VLOOKUP(クリーチャー_2!W45,$J$15:$L$27,3,FALSE()))+IF(クリーチャー_2!X45="－","0",VLOOKUP(クリーチャー_2!X45,$J$15:$L$27,3,FALSE()))+IF(クリーチャー_2!V46="－","0",VLOOKUP(クリーチャー_2!V46,$J$15:$L$27,3,FALSE()))+IF(クリーチャー_2!W46="－","0",VLOOKUP(クリーチャー_2!W46,$J$15:$L$27,3,FALSE()))+IF(クリーチャー_2!X46="－","0",VLOOKUP(クリーチャー_2!X46,$J$15:$L$27,3,FALSE()))</f>
        <v>0</v>
      </c>
      <c r="AQ41" s="472"/>
      <c r="AR41" s="471"/>
      <c r="AS41" s="471"/>
      <c r="AT41" s="444"/>
      <c r="AU41" s="470" t="s">
        <v>740</v>
      </c>
      <c r="AV41" s="472">
        <f>IF(クリーチャー_3!V45="－","0",VLOOKUP(クリーチャー_3!V45,$J$15:$L$27,2,FALSE()))+IF(クリーチャー_3!W45="－","0",VLOOKUP(クリーチャー_3!W45,$J$15:$L$27,2,FALSE()))+IF(クリーチャー_3!X45="－","0",VLOOKUP(クリーチャー_3!X45,$J$15:$L$27,2,FALSE()))+IF(クリーチャー_3!V46="－","0",VLOOKUP(クリーチャー_3!V46,$J$15:$L$27,2,FALSE()))+IF(クリーチャー_3!W46="－","0",VLOOKUP(クリーチャー_3!W46,$J$15:$L$27,2,FALSE()))+IF(クリーチャー_3!X46="－","0",VLOOKUP(クリーチャー_3!X46,$J$15:$L$27,2,FALSE()))</f>
        <v>0</v>
      </c>
      <c r="AW41" s="472">
        <f>IF(クリーチャー_3!V45="－","0",VLOOKUP(クリーチャー_3!V45,$J$15:$L$27,3,FALSE()))+IF(クリーチャー_3!W45="－","0",VLOOKUP(クリーチャー_3!W45,$J$15:$L$27,3,FALSE()))+IF(クリーチャー_3!X45="－","0",VLOOKUP(クリーチャー_3!X45,$J$15:$L$27,3,FALSE()))+IF(クリーチャー_3!V46="－","0",VLOOKUP(クリーチャー_3!V46,$J$15:$L$27,3,FALSE()))+IF(クリーチャー_3!W46="－","0",VLOOKUP(クリーチャー_3!W46,$J$15:$L$27,3,FALSE()))+IF(クリーチャー_3!X46="－","0",VLOOKUP(クリーチャー_3!X46,$J$15:$L$27,3,FALSE()))</f>
        <v>0</v>
      </c>
      <c r="AX41" s="472"/>
      <c r="AY41" s="471"/>
      <c r="AZ41" s="471"/>
    </row>
    <row r="42" spans="2:52" x14ac:dyDescent="0.15">
      <c r="B42" s="470" t="s">
        <v>743</v>
      </c>
      <c r="C42" s="472">
        <f t="array" ref="C42">_xlfn.IFS(COUNTIF(応用技!E45:G46,"創造")&gt;=1,SUM(C39:C41)+1&amp;"～"&amp;SUM(C39:C41)+10,COUNTIF(応用技!E45:G46,"限定*")&gt;=1,"※",COUNTIF(応用技!E45:G46,"影響無効")&gt;=1,"※",TRUE(),SUM(C39:C41))</f>
        <v>0</v>
      </c>
      <c r="D42" s="472">
        <f>SUM(D39:D41)</f>
        <v>0</v>
      </c>
      <c r="E42" s="472">
        <f>SUM(E39:E41)</f>
        <v>0</v>
      </c>
      <c r="F42" s="471"/>
      <c r="G42" s="471"/>
      <c r="I42" s="451"/>
      <c r="J42" s="451"/>
      <c r="K42" s="449"/>
      <c r="L42" s="449"/>
      <c r="M42" s="449"/>
      <c r="N42" s="463" t="s">
        <v>359</v>
      </c>
      <c r="O42" s="464">
        <v>0</v>
      </c>
      <c r="P42" s="464">
        <v>0</v>
      </c>
      <c r="Q42" s="464">
        <v>1</v>
      </c>
      <c r="R42" s="465" t="s">
        <v>754</v>
      </c>
      <c r="S42" s="449"/>
      <c r="U42" s="449"/>
      <c r="V42" s="449"/>
      <c r="W42" s="449"/>
      <c r="X42" s="449"/>
      <c r="Y42" s="451"/>
      <c r="Z42" s="463" t="s">
        <v>359</v>
      </c>
      <c r="AA42" s="464">
        <v>0</v>
      </c>
      <c r="AB42" s="464">
        <v>0</v>
      </c>
      <c r="AC42" s="464">
        <v>0</v>
      </c>
      <c r="AD42" s="465" t="s">
        <v>754</v>
      </c>
      <c r="AE42" s="451"/>
      <c r="AG42" s="470" t="s">
        <v>743</v>
      </c>
      <c r="AH42" s="472">
        <f t="array" ref="AH42">_xlfn.IFS(COUNTIF(クリーチャー!S45:U46,"創造")&gt;=1,SUM(AH39:AH41)+1&amp;"～"&amp;SUM(AH39:AH41)+10,COUNTIF(クリーチャー!S45:U46,"限定*")&gt;=1,"※",COUNTIF(クリーチャー!S45:U46,"影響無効")&gt;=1,"※",TRUE(),SUM(AH39:AH41))</f>
        <v>0</v>
      </c>
      <c r="AI42" s="472">
        <f>SUM(AI39:AI41)</f>
        <v>0</v>
      </c>
      <c r="AJ42" s="472">
        <f>SUM(AJ39:AJ41)</f>
        <v>0</v>
      </c>
      <c r="AK42" s="471"/>
      <c r="AL42" s="471"/>
      <c r="AM42" s="444"/>
      <c r="AN42" s="470" t="s">
        <v>743</v>
      </c>
      <c r="AO42" s="472">
        <f t="array" ref="AO42">_xlfn.IFS(COUNTIF(クリーチャー_2!S45:U46,"創造")&gt;=1,SUM(AO39:AO41)+1&amp;"～"&amp;SUM(AO39:AO41)+10,COUNTIF(クリーチャー_2!S45:U46,"限定*")&gt;=1,"※",COUNTIF(クリーチャー_2!S45:U46,"影響無効")&gt;=1,"※",TRUE(),SUM(AO39:AO41))</f>
        <v>0</v>
      </c>
      <c r="AP42" s="472">
        <f>SUM(AP39:AP41)</f>
        <v>0</v>
      </c>
      <c r="AQ42" s="472">
        <f>SUM(AQ39:AQ41)</f>
        <v>0</v>
      </c>
      <c r="AR42" s="471"/>
      <c r="AS42" s="471"/>
      <c r="AT42" s="444"/>
      <c r="AU42" s="470" t="s">
        <v>743</v>
      </c>
      <c r="AV42" s="472">
        <f t="array" ref="AV42">_xlfn.IFS(COUNTIF(クリーチャー_3!S45:U46,"創造")&gt;=1,SUM(AV39:AV41)+1&amp;"～"&amp;SUM(AV39:AV41)+10,COUNTIF(クリーチャー_3!S45:U46,"限定*")&gt;=1,"※",COUNTIF(クリーチャー_3!S45:U46,"影響無効")&gt;=1,"※",TRUE(),SUM(AV39:AV41))</f>
        <v>0</v>
      </c>
      <c r="AW42" s="472">
        <f>SUM(AW39:AW41)</f>
        <v>0</v>
      </c>
      <c r="AX42" s="472">
        <f>SUM(AX39:AX41)</f>
        <v>0</v>
      </c>
      <c r="AY42" s="471"/>
      <c r="AZ42" s="471"/>
    </row>
    <row r="43" spans="2:52" x14ac:dyDescent="0.15">
      <c r="B43" s="451"/>
      <c r="C43" s="451"/>
      <c r="D43" s="451"/>
      <c r="E43" s="451"/>
      <c r="F43" s="451"/>
      <c r="G43" s="451"/>
      <c r="I43" s="451"/>
      <c r="J43" s="451"/>
      <c r="K43" s="449"/>
      <c r="L43" s="449"/>
      <c r="M43" s="449"/>
      <c r="N43" s="463" t="s">
        <v>364</v>
      </c>
      <c r="O43" s="464">
        <v>0</v>
      </c>
      <c r="P43" s="464">
        <v>0</v>
      </c>
      <c r="Q43" s="464">
        <v>1</v>
      </c>
      <c r="R43" s="465" t="s">
        <v>754</v>
      </c>
      <c r="S43" s="449"/>
      <c r="U43" s="449"/>
      <c r="V43" s="449"/>
      <c r="W43" s="449"/>
      <c r="X43" s="449"/>
      <c r="Y43" s="451"/>
      <c r="Z43" s="463" t="s">
        <v>364</v>
      </c>
      <c r="AA43" s="464">
        <v>0</v>
      </c>
      <c r="AB43" s="464">
        <v>0</v>
      </c>
      <c r="AC43" s="464">
        <v>0</v>
      </c>
      <c r="AD43" s="465" t="s">
        <v>754</v>
      </c>
      <c r="AE43" s="451"/>
      <c r="AG43" s="451"/>
      <c r="AH43" s="451"/>
      <c r="AI43" s="451"/>
      <c r="AJ43" s="451"/>
      <c r="AK43" s="451"/>
      <c r="AL43" s="451"/>
      <c r="AM43" s="444"/>
      <c r="AN43" s="451"/>
      <c r="AO43" s="451"/>
      <c r="AP43" s="451"/>
      <c r="AQ43" s="451"/>
      <c r="AR43" s="451"/>
      <c r="AS43" s="451"/>
      <c r="AT43" s="444"/>
      <c r="AU43" s="451"/>
      <c r="AV43" s="451"/>
      <c r="AW43" s="451"/>
      <c r="AX43" s="451"/>
      <c r="AY43" s="451"/>
      <c r="AZ43" s="451"/>
    </row>
    <row r="44" spans="2:52" x14ac:dyDescent="0.15">
      <c r="B44" s="469" t="s">
        <v>755</v>
      </c>
      <c r="C44" s="470" t="s">
        <v>623</v>
      </c>
      <c r="D44" s="470" t="s">
        <v>449</v>
      </c>
      <c r="E44" s="470" t="s">
        <v>735</v>
      </c>
      <c r="F44" s="471" t="s">
        <v>736</v>
      </c>
      <c r="G44" s="470" t="s">
        <v>737</v>
      </c>
      <c r="I44" s="451"/>
      <c r="J44" s="451"/>
      <c r="K44" s="449"/>
      <c r="L44" s="449"/>
      <c r="M44" s="449"/>
      <c r="N44" s="463" t="s">
        <v>367</v>
      </c>
      <c r="O44" s="464">
        <v>3</v>
      </c>
      <c r="P44" s="464">
        <v>1</v>
      </c>
      <c r="Q44" s="464"/>
      <c r="R44" s="465"/>
      <c r="S44" s="449"/>
      <c r="U44" s="449"/>
      <c r="V44" s="449"/>
      <c r="W44" s="449"/>
      <c r="X44" s="449"/>
      <c r="Y44" s="451"/>
      <c r="Z44" s="463" t="s">
        <v>367</v>
      </c>
      <c r="AA44" s="464">
        <v>3</v>
      </c>
      <c r="AB44" s="464">
        <v>1</v>
      </c>
      <c r="AC44" s="464"/>
      <c r="AD44" s="465"/>
      <c r="AE44" s="451"/>
      <c r="AG44" s="469" t="s">
        <v>755</v>
      </c>
      <c r="AH44" s="470" t="s">
        <v>623</v>
      </c>
      <c r="AI44" s="470" t="s">
        <v>449</v>
      </c>
      <c r="AJ44" s="470" t="s">
        <v>735</v>
      </c>
      <c r="AK44" s="471" t="s">
        <v>736</v>
      </c>
      <c r="AL44" s="470" t="s">
        <v>737</v>
      </c>
      <c r="AM44" s="444"/>
      <c r="AN44" s="469" t="s">
        <v>755</v>
      </c>
      <c r="AO44" s="470" t="s">
        <v>623</v>
      </c>
      <c r="AP44" s="470" t="s">
        <v>449</v>
      </c>
      <c r="AQ44" s="470" t="s">
        <v>735</v>
      </c>
      <c r="AR44" s="471" t="s">
        <v>736</v>
      </c>
      <c r="AS44" s="470" t="s">
        <v>737</v>
      </c>
      <c r="AT44" s="444"/>
      <c r="AU44" s="469" t="s">
        <v>755</v>
      </c>
      <c r="AV44" s="470" t="s">
        <v>623</v>
      </c>
      <c r="AW44" s="470" t="s">
        <v>449</v>
      </c>
      <c r="AX44" s="470" t="s">
        <v>735</v>
      </c>
      <c r="AY44" s="471" t="s">
        <v>736</v>
      </c>
      <c r="AZ44" s="470" t="s">
        <v>737</v>
      </c>
    </row>
    <row r="45" spans="2:52" x14ac:dyDescent="0.15">
      <c r="B45" s="470" t="s">
        <v>9</v>
      </c>
      <c r="C45" s="472">
        <f>IF(応用技!B45="－","0",VLOOKUP(応用技!B45,計算用!$V$6:$X$11,2,FALSE()))+IF(応用技!C45="－","0",VLOOKUP(応用技!C45,計算用!$V$6:$X$11,2,FALSE()))+IF(応用技!D45="－","0",VLOOKUP(応用技!D45,計算用!$V$6:$X$11,2,FALSE()))+COUNTIF(応用技!B45:D45,"防御発動")^2</f>
        <v>0</v>
      </c>
      <c r="D45" s="472">
        <f>IF(応用技!B45="－","0",VLOOKUP(応用技!B45,$J$6:$L$11,3,FALSE()))+IF(応用技!C45="－","0",VLOOKUP(応用技!C45,$J$6:$L$11,3,FALSE()))+IF(応用技!D45="－","0",VLOOKUP(応用技!D45,$J$6:$L$11,3,FALSE()))</f>
        <v>0</v>
      </c>
      <c r="E45" s="473"/>
      <c r="F45" s="471"/>
      <c r="G45" s="471"/>
      <c r="I45" s="451"/>
      <c r="J45" s="451"/>
      <c r="K45" s="449"/>
      <c r="L45" s="449"/>
      <c r="M45" s="449"/>
      <c r="N45" s="463" t="s">
        <v>370</v>
      </c>
      <c r="O45" s="464">
        <v>3</v>
      </c>
      <c r="P45" s="464">
        <v>1</v>
      </c>
      <c r="Q45" s="464"/>
      <c r="R45" s="465"/>
      <c r="S45" s="449"/>
      <c r="U45" s="449"/>
      <c r="V45" s="449"/>
      <c r="W45" s="449"/>
      <c r="X45" s="449"/>
      <c r="Y45" s="451"/>
      <c r="Z45" s="463" t="s">
        <v>370</v>
      </c>
      <c r="AA45" s="464">
        <v>3</v>
      </c>
      <c r="AB45" s="464">
        <v>1</v>
      </c>
      <c r="AC45" s="464"/>
      <c r="AD45" s="465"/>
      <c r="AE45" s="451"/>
      <c r="AG45" s="470" t="s">
        <v>9</v>
      </c>
      <c r="AH45" s="472">
        <f>IF(クリーチャー!P45="－","0",VLOOKUP(クリーチャー!P45,計算用!$V$6:$X$11,2,FALSE()))+IF(クリーチャー!Q45="－","0",VLOOKUP(クリーチャー!Q45,計算用!$V$6:$X$11,2,FALSE()))+IF(クリーチャー!R45="－","0",VLOOKUP(クリーチャー!R45,計算用!$V$6:$X$11,2,FALSE()))+COUNTIF(クリーチャー!P45:R45,"防御発動")^2</f>
        <v>0</v>
      </c>
      <c r="AI45" s="472">
        <f>IF(クリーチャー!P45="－","0",VLOOKUP(クリーチャー!P45,$J$6:$L$11,3,FALSE()))+IF(クリーチャー!Q45="－","0",VLOOKUP(クリーチャー!Q45,$J$6:$L$11,3,FALSE()))+IF(クリーチャー!R45="－","0",VLOOKUP(クリーチャー!R45,$J$6:$L$11,3,FALSE()))</f>
        <v>0</v>
      </c>
      <c r="AJ45" s="473"/>
      <c r="AK45" s="471"/>
      <c r="AL45" s="471"/>
      <c r="AM45" s="444"/>
      <c r="AN45" s="470" t="s">
        <v>9</v>
      </c>
      <c r="AO45" s="472">
        <f>IF(クリーチャー_2!P45="－","0",VLOOKUP(クリーチャー_2!P45,計算用!$V$6:$X$11,2,FALSE()))+IF(クリーチャー_2!Q45="－","0",VLOOKUP(クリーチャー_2!Q45,計算用!$V$6:$X$11,2,FALSE()))+IF(クリーチャー_2!R45="－","0",VLOOKUP(クリーチャー_2!R45,計算用!$V$6:$X$11,2,FALSE()))+COUNTIF(クリーチャー_2!P45:R45,"防御発動")^2</f>
        <v>0</v>
      </c>
      <c r="AP45" s="472">
        <f>IF(クリーチャー_2!P45="－","0",VLOOKUP(クリーチャー_2!P45,$J$6:$L$11,3,FALSE()))+IF(クリーチャー_2!Q45="－","0",VLOOKUP(クリーチャー_2!Q45,$J$6:$L$11,3,FALSE()))+IF(クリーチャー_2!R45="－","0",VLOOKUP(クリーチャー_2!R45,$J$6:$L$11,3,FALSE()))</f>
        <v>0</v>
      </c>
      <c r="AQ45" s="473"/>
      <c r="AR45" s="471"/>
      <c r="AS45" s="471"/>
      <c r="AT45" s="444"/>
      <c r="AU45" s="470" t="s">
        <v>9</v>
      </c>
      <c r="AV45" s="472">
        <f>IF(クリーチャー_3!P45="－","0",VLOOKUP(クリーチャー_3!P45,計算用!$V$6:$X$11,2,FALSE()))+IF(クリーチャー_3!Q45="－","0",VLOOKUP(クリーチャー_3!Q45,計算用!$V$6:$X$11,2,FALSE()))+IF(クリーチャー_3!R45="－","0",VLOOKUP(クリーチャー_3!R45,計算用!$V$6:$X$11,2,FALSE()))+COUNTIF(クリーチャー_3!P45:R45,"防御発動")^2</f>
        <v>0</v>
      </c>
      <c r="AW45" s="472">
        <f>IF(クリーチャー_3!P45="－","0",VLOOKUP(クリーチャー_3!P45,$J$6:$L$11,3,FALSE()))+IF(クリーチャー_3!Q45="－","0",VLOOKUP(クリーチャー_3!Q45,$J$6:$L$11,3,FALSE()))+IF(クリーチャー_3!R45="－","0",VLOOKUP(クリーチャー_3!R45,$J$6:$L$11,3,FALSE()))</f>
        <v>0</v>
      </c>
      <c r="AX45" s="473"/>
      <c r="AY45" s="471"/>
      <c r="AZ45" s="471"/>
    </row>
    <row r="46" spans="2:52" x14ac:dyDescent="0.15">
      <c r="B46" s="470" t="s">
        <v>10</v>
      </c>
      <c r="C46" s="472" cm="1">
        <f t="array" ref="C46">IF(応用技!E45="－","0",VLOOKUP(応用技!E45,$Z$6:$AD$57,2,FALSE()))+IF(応用技!F45="－","0",VLOOKUP(応用技!F45,Z6:$AD$57,2,FALSE()))+IF(応用技!G45="－","0",VLOOKUP(応用技!G45,$Z$6:$AD$57,2,FALSE()))+IF(応用技!E46="－","0",VLOOKUP(応用技!E46,$Z$6:$AD$57,2,FALSE()))+IF(応用技!F46="－","0",VLOOKUP(応用技!F46,$Z$6:$AD$57,2,FALSE()))+IF(応用技!G46="－","0",VLOOKUP(応用技!G46,$Z$6:$AD$57,2,FALSE()))+_xlfn.IFS(F46&gt;=2,1+2*(F46-1),F46=1,1,F46=0,0)+_xlfn.IFS(G46&gt;=2,1+2*(G46-1),G46=1,1,G46=0,0)</f>
        <v>0</v>
      </c>
      <c r="D46" s="472">
        <f>IF(応用技!E45="－","0",VLOOKUP(応用技!E45,$Z$6:$AD$57,3,FALSE()))+IF(応用技!F45="－","0",VLOOKUP(応用技!F45,$Z$6:$AD$57,3,FALSE()))+IF(応用技!G45="－","0",VLOOKUP(応用技!G45,$Z$6:$AD$57,3,FALSE()))+IF(応用技!E46="－","0",VLOOKUP(応用技!E46,$Z$6:$AD$57,3,FALSE()))+IF(応用技!F46="－","0",VLOOKUP(応用技!F46,$Z$6:$AD$57,3,FALSE()))+IF(応用技!G46="－","0",VLOOKUP(応用技!G46,$Z$6:$AD$57,3,FALSE()))</f>
        <v>0</v>
      </c>
      <c r="E46" s="472">
        <f>IF(応用技!E45="－","0",VLOOKUP(応用技!E45,$Z$6:$AD$57,4,FALSE()))
+IF(応用技!F45="－","0",VLOOKUP(応用技!F45,$Z$6:$AD$57,4,FALSE()))
+IF(応用技!G45="－","0",VLOOKUP(応用技!G45,$Z$6:$AD$57,4,FALSE()))
+IF(応用技!E46="－","0",VLOOKUP(応用技!E46,$Z$6:$AD$57,4,FALSE()))
+IF(応用技!F46="－","0",VLOOKUP(応用技!F46,$Z$6:$AD$57,4,FALSE()))
+IF(応用技!G46="－","0",VLOOKUP(応用技!G46,$Z$6:$AD$57,4,FALSE()))</f>
        <v>0</v>
      </c>
      <c r="F46" s="471">
        <f>COUNTIFS(応用技!E45:G46,"強化*")</f>
        <v>0</v>
      </c>
      <c r="G46" s="471">
        <f>COUNTIFS(応用技!E45:G46,"減衰*")</f>
        <v>0</v>
      </c>
      <c r="I46" s="451"/>
      <c r="J46" s="451"/>
      <c r="K46" s="449"/>
      <c r="L46" s="449"/>
      <c r="M46" s="449"/>
      <c r="N46" s="463" t="s">
        <v>373</v>
      </c>
      <c r="O46" s="464">
        <v>0</v>
      </c>
      <c r="P46" s="464">
        <v>1</v>
      </c>
      <c r="Q46" s="464"/>
      <c r="R46" s="465" t="s">
        <v>373</v>
      </c>
      <c r="S46" s="449"/>
      <c r="U46" s="449"/>
      <c r="V46" s="449"/>
      <c r="W46" s="449"/>
      <c r="X46" s="449"/>
      <c r="Y46" s="451"/>
      <c r="Z46" s="463" t="s">
        <v>373</v>
      </c>
      <c r="AA46" s="464">
        <v>0</v>
      </c>
      <c r="AB46" s="464">
        <v>1</v>
      </c>
      <c r="AC46" s="464"/>
      <c r="AD46" s="465" t="s">
        <v>373</v>
      </c>
      <c r="AE46" s="451"/>
      <c r="AG46" s="470" t="s">
        <v>10</v>
      </c>
      <c r="AH46" s="472" cm="1">
        <f t="array" ref="AH46">IF(クリーチャー!S45="－","0",VLOOKUP(クリーチャー!S45,$Z$6:$AD$57,2,FALSE()))+IF(クリーチャー!T45="－","0",VLOOKUP(クリーチャー!T45,Z6:$AD$57,2,FALSE()))+IF(クリーチャー!U45="－","0",VLOOKUP(クリーチャー!U45,$Z$6:$AD$57,2,FALSE()))+IF(クリーチャー!S46="－","0",VLOOKUP(クリーチャー!S46,$Z$6:$AD$57,2,FALSE()))+IF(クリーチャー!T46="－","0",VLOOKUP(クリーチャー!T46,$Z$6:$AD$57,2,FALSE()))+IF(クリーチャー!U46="－","0",VLOOKUP(クリーチャー!U46,$Z$6:$AD$57,2,FALSE()))+_xlfn.IFS(AK46&gt;=2,1+2*(AK46-1),AK46=1,1,AK46=0,0)+_xlfn.IFS(AL46&gt;=2,1+2*(AL46-1),AL46=1,1,AL46=0,0)</f>
        <v>0</v>
      </c>
      <c r="AI46" s="472">
        <f>IF(クリーチャー!S45="－","0",VLOOKUP(クリーチャー!S45,$Z$6:$AD$57,3,FALSE()))+IF(クリーチャー!T45="－","0",VLOOKUP(クリーチャー!T45,$Z$6:$AD$57,3,FALSE()))+IF(クリーチャー!U45="－","0",VLOOKUP(クリーチャー!U45,$Z$6:$AD$57,3,FALSE()))+IF(クリーチャー!S46="－","0",VLOOKUP(クリーチャー!S46,$Z$6:$AD$57,3,FALSE()))+IF(クリーチャー!T46="－","0",VLOOKUP(クリーチャー!T46,$Z$6:$AD$57,3,FALSE()))+IF(クリーチャー!U46="－","0",VLOOKUP(クリーチャー!U46,$Z$6:$AD$57,3,FALSE()))</f>
        <v>0</v>
      </c>
      <c r="AJ46" s="472">
        <f>IF(クリーチャー!S45="－","0",VLOOKUP(クリーチャー!S45,$Z$6:$AD$57,4,FALSE()))+IF(クリーチャー!T45="－","0",VLOOKUP(クリーチャー!T45,$Z$6:$AD$57,4,FALSE()))+IF(クリーチャー!U45="－","0",VLOOKUP(クリーチャー!U45,$Z$6:$AD$57,4,FALSE()))+IF(クリーチャー!S46="－","0",VLOOKUP(クリーチャー!S46,$Z$6:$AD$57,4,FALSE()))+IF(クリーチャー!T46="－","0",VLOOKUP(クリーチャー!T46,$Z$6:$AD$57,4,FALSE()))+IF(クリーチャー!U46="－","0",VLOOKUP(クリーチャー!U46,$Z$6:$AD$57,4,FALSE()))</f>
        <v>0</v>
      </c>
      <c r="AK46" s="471">
        <f>COUNTIFS(クリーチャー!S45:U46,"強化*")</f>
        <v>0</v>
      </c>
      <c r="AL46" s="471">
        <f>COUNTIFS(クリーチャー!S45:U46,"減衰*")</f>
        <v>0</v>
      </c>
      <c r="AM46" s="444"/>
      <c r="AN46" s="470" t="s">
        <v>10</v>
      </c>
      <c r="AO46" s="472" cm="1">
        <f t="array" ref="AO46">IF(クリーチャー_2!S45="－","0",VLOOKUP(クリーチャー_2!S45,$Z$6:$AD$57,2,FALSE()))+IF(クリーチャー_2!T45="－","0",VLOOKUP(クリーチャー_2!T45,Z6:$AD$57,2,FALSE()))+IF(クリーチャー_2!U45="－","0",VLOOKUP(クリーチャー_2!U45,$Z$6:$AD$57,2,FALSE()))+IF(クリーチャー_2!S46="－","0",VLOOKUP(クリーチャー_2!S46,$Z$6:$AD$57,2,FALSE()))+IF(クリーチャー_2!T46="－","0",VLOOKUP(クリーチャー_2!T46,$Z$6:$AD$57,2,FALSE()))+IF(クリーチャー_2!U46="－","0",VLOOKUP(クリーチャー_2!U46,$Z$6:$AD$57,2,FALSE()))+_xlfn.IFS(AR46&gt;=2,1+2*(AR46-1),AR46=1,1,AR46=0,0)+_xlfn.IFS(AS46&gt;=2,1+2*(AS46-1),AS46=1,1,AS46=0,0)</f>
        <v>0</v>
      </c>
      <c r="AP46" s="472">
        <f>IF(クリーチャー_2!S45="－","0",VLOOKUP(クリーチャー_2!S45,$Z$6:$AD$57,3,FALSE()))+IF(クリーチャー_2!T45="－","0",VLOOKUP(クリーチャー_2!T45,$Z$6:$AD$57,3,FALSE()))+IF(クリーチャー_2!U45="－","0",VLOOKUP(クリーチャー_2!U45,$Z$6:$AD$57,3,FALSE()))+IF(クリーチャー_2!S46="－","0",VLOOKUP(クリーチャー_2!S46,$Z$6:$AD$57,3,FALSE()))+IF(クリーチャー_2!T46="－","0",VLOOKUP(クリーチャー_2!T46,$Z$6:$AD$57,3,FALSE()))+IF(クリーチャー_2!U46="－","0",VLOOKUP(クリーチャー_2!U46,$Z$6:$AD$57,3,FALSE()))</f>
        <v>0</v>
      </c>
      <c r="AQ46" s="472">
        <f>IF(クリーチャー_2!S45="－","0",VLOOKUP(クリーチャー_2!S45,$Z$6:$AD$57,4,FALSE()))+IF(クリーチャー_2!T45="－","0",VLOOKUP(クリーチャー_2!T45,$Z$6:$AD$57,4,FALSE()))+IF(クリーチャー_2!U45="－","0",VLOOKUP(クリーチャー_2!U45,$Z$6:$AD$57,4,FALSE()))+IF(クリーチャー_2!S46="－","0",VLOOKUP(クリーチャー_2!S46,$Z$6:$AD$57,4,FALSE()))+IF(クリーチャー_2!T46="－","0",VLOOKUP(クリーチャー_2!T46,$Z$6:$AD$57,4,FALSE()))+IF(クリーチャー_2!U46="－","0",VLOOKUP(クリーチャー_2!U46,$Z$6:$AD$57,4,FALSE()))</f>
        <v>0</v>
      </c>
      <c r="AR46" s="471">
        <f>COUNTIFS(クリーチャー_2!S45:U46,"強化*")</f>
        <v>0</v>
      </c>
      <c r="AS46" s="471">
        <f>COUNTIFS(クリーチャー_2!S45:U46,"減衰*")</f>
        <v>0</v>
      </c>
      <c r="AT46" s="444"/>
      <c r="AU46" s="470" t="s">
        <v>10</v>
      </c>
      <c r="AV46" s="472" cm="1">
        <f t="array" ref="AV46">IF(クリーチャー_3!S45="－","0",VLOOKUP(クリーチャー_3!S45,$Z$6:$AD$57,2,FALSE()))+IF(クリーチャー_3!T45="－","0",VLOOKUP(クリーチャー_3!T45,Z6:$AD$57,2,FALSE()))+IF(クリーチャー_3!U45="－","0",VLOOKUP(クリーチャー_3!U45,$Z$6:$AD$57,2,FALSE()))+IF(クリーチャー_3!S46="－","0",VLOOKUP(クリーチャー_3!S46,$Z$6:$AD$57,2,FALSE()))+IF(クリーチャー_3!T46="－","0",VLOOKUP(クリーチャー_3!T46,$Z$6:$AD$57,2,FALSE()))+IF(クリーチャー_3!U46="－","0",VLOOKUP(クリーチャー_3!U46,$Z$6:$AD$57,2,FALSE()))+_xlfn.IFS(AY46&gt;=2,1+2*(AY46-1),AY46=1,1,AY46=0,0)+_xlfn.IFS(AZ46&gt;=2,1+2*(AZ46-1),AZ46=1,1,AZ46=0,0)</f>
        <v>0</v>
      </c>
      <c r="AW46" s="472">
        <f>IF(クリーチャー_3!S45="－","0",VLOOKUP(クリーチャー_3!S45,$Z$6:$AD$57,3,FALSE()))+IF(クリーチャー_3!T45="－","0",VLOOKUP(クリーチャー_3!T45,$Z$6:$AD$57,3,FALSE()))+IF(クリーチャー_3!U45="－","0",VLOOKUP(クリーチャー_3!U45,$Z$6:$AD$57,3,FALSE()))+IF(クリーチャー_3!S46="－","0",VLOOKUP(クリーチャー_3!S46,$Z$6:$AD$57,3,FALSE()))+IF(クリーチャー_3!T46="－","0",VLOOKUP(クリーチャー_3!T46,$Z$6:$AD$57,3,FALSE()))+IF(クリーチャー_3!U46="－","0",VLOOKUP(クリーチャー_3!U46,$Z$6:$AD$57,3,FALSE()))</f>
        <v>0</v>
      </c>
      <c r="AX46" s="472">
        <f>IF(クリーチャー_3!S45="－","0",VLOOKUP(クリーチャー_3!S45,$Z$6:$AD$57,4,FALSE()))+IF(クリーチャー_3!T45="－","0",VLOOKUP(クリーチャー_3!T45,$Z$6:$AD$57,4,FALSE()))+IF(クリーチャー_3!U45="－","0",VLOOKUP(クリーチャー_3!U45,$Z$6:$AD$57,4,FALSE()))+IF(クリーチャー_3!S46="－","0",VLOOKUP(クリーチャー_3!S46,$Z$6:$AD$57,4,FALSE()))+IF(クリーチャー_3!T46="－","0",VLOOKUP(クリーチャー_3!T46,$Z$6:$AD$57,4,FALSE()))+IF(クリーチャー_3!U46="－","0",VLOOKUP(クリーチャー_3!U46,$Z$6:$AD$57,4,FALSE()))</f>
        <v>0</v>
      </c>
      <c r="AY46" s="471">
        <f>COUNTIFS(クリーチャー_3!S45:U46,"強化*")</f>
        <v>0</v>
      </c>
      <c r="AZ46" s="471">
        <f>COUNTIFS(クリーチャー_3!S45:U46,"減衰*")</f>
        <v>0</v>
      </c>
    </row>
    <row r="47" spans="2:52" x14ac:dyDescent="0.15">
      <c r="B47" s="470" t="s">
        <v>740</v>
      </c>
      <c r="C47" s="472">
        <f>IF(応用技!H45="－","0",VLOOKUP(応用技!H45,$V$15:$X$28,2,FALSE()))+IF(応用技!I45="－","0",VLOOKUP(応用技!I45,$V$15:$X$28,2,FALSE()))+IF(応用技!J45="－","0",VLOOKUP(応用技!J45,$V$15:$X$28,2,FALSE()))+IF(応用技!H46="－","0",VLOOKUP(応用技!H46,$V$15:$X$28,2,FALSE()))+IF(応用技!I46="－","0",VLOOKUP(応用技!I46,$V$15:$X$28,2,FALSE()))+IF(応用技!J46="－","0",VLOOKUP(応用技!J46,$V$15:$X$28,2,FALSE()))</f>
        <v>0</v>
      </c>
      <c r="D47" s="472">
        <f>IF(応用技!H45="－","0",VLOOKUP(応用技!H45,$V$15:$X$28,3,FALSE()))+IF(応用技!I45="－","0",VLOOKUP(応用技!I45,$V$15:$X$28,3,FALSE()))+IF(応用技!J45="－","0",VLOOKUP(応用技!J45,$V$15:$X$28,3,FALSE()))+IF(応用技!H46="－","0",VLOOKUP(応用技!H46,$V$15:$X$28,3,FALSE()))+IF(応用技!I46="－","0",VLOOKUP(応用技!I46,$V$15:$X$28,3,FALSE()))+IF(応用技!J46="－","0",VLOOKUP(応用技!J46,$V$15:$X$28,3,FALSE()))</f>
        <v>0</v>
      </c>
      <c r="E47" s="472"/>
      <c r="F47" s="471"/>
      <c r="G47" s="471"/>
      <c r="I47" s="451"/>
      <c r="J47" s="451"/>
      <c r="K47" s="449"/>
      <c r="L47" s="449"/>
      <c r="M47" s="449"/>
      <c r="N47" s="463" t="s">
        <v>376</v>
      </c>
      <c r="O47" s="464">
        <v>6</v>
      </c>
      <c r="P47" s="464">
        <v>1</v>
      </c>
      <c r="Q47" s="464"/>
      <c r="R47" s="465"/>
      <c r="S47" s="449"/>
      <c r="U47" s="449"/>
      <c r="V47" s="449"/>
      <c r="W47" s="449"/>
      <c r="X47" s="449"/>
      <c r="Y47" s="451"/>
      <c r="Z47" s="463" t="s">
        <v>376</v>
      </c>
      <c r="AA47" s="464">
        <v>6</v>
      </c>
      <c r="AB47" s="464">
        <v>1</v>
      </c>
      <c r="AC47" s="464"/>
      <c r="AD47" s="465"/>
      <c r="AE47" s="451"/>
      <c r="AG47" s="470" t="s">
        <v>740</v>
      </c>
      <c r="AH47" s="472">
        <f>IF(クリーチャー!V45="－","0",VLOOKUP(クリーチャー!V45,$V$15:$X$28,2,FALSE()))+IF(クリーチャー!W45="－","0",VLOOKUP(クリーチャー!W45,$V$15:$X$28,2,FALSE()))+IF(クリーチャー!X45="－","0",VLOOKUP(クリーチャー!X45,$V$15:$X$28,2,FALSE()))+IF(クリーチャー!V46="－","0",VLOOKUP(クリーチャー!V46,$V$15:$X$28,2,FALSE()))+IF(クリーチャー!W46="－","0",VLOOKUP(クリーチャー!W46,$V$15:$X$28,2,FALSE()))+IF(クリーチャー!X46="－","0",VLOOKUP(クリーチャー!X46,$V$15:$X$28,2,FALSE()))</f>
        <v>0</v>
      </c>
      <c r="AI47" s="472">
        <f>IF(クリーチャー!V45="－","0",VLOOKUP(クリーチャー!V45,$V$15:$X$28,3,FALSE()))+IF(クリーチャー!W45="－","0",VLOOKUP(クリーチャー!W45,$V$15:$X$28,3,FALSE()))+IF(クリーチャー!X45="－","0",VLOOKUP(クリーチャー!X45,$V$15:$X$28,3,FALSE()))+IF(クリーチャー!V46="－","0",VLOOKUP(クリーチャー!V46,$V$15:$X$28,3,FALSE()))+IF(クリーチャー!W46="－","0",VLOOKUP(クリーチャー!W46,$V$15:$X$28,3,FALSE()))+IF(クリーチャー!X46="－","0",VLOOKUP(クリーチャー!X46,$V$15:$X$28,3,FALSE()))</f>
        <v>0</v>
      </c>
      <c r="AJ47" s="472"/>
      <c r="AK47" s="471"/>
      <c r="AL47" s="471"/>
      <c r="AM47" s="444"/>
      <c r="AN47" s="470" t="s">
        <v>740</v>
      </c>
      <c r="AO47" s="472">
        <f>IF(クリーチャー_2!V45="－","0",VLOOKUP(クリーチャー_2!V45,$V$15:$X$28,2,FALSE()))+IF(クリーチャー_2!W45="－","0",VLOOKUP(クリーチャー_2!W45,$V$15:$X$28,2,FALSE()))+IF(クリーチャー_2!X45="－","0",VLOOKUP(クリーチャー_2!X45,$V$15:$X$28,2,FALSE()))+IF(クリーチャー_2!V46="－","0",VLOOKUP(クリーチャー_2!V46,$V$15:$X$28,2,FALSE()))+IF(クリーチャー_2!W46="－","0",VLOOKUP(クリーチャー_2!W46,$V$15:$X$28,2,FALSE()))+IF(クリーチャー_2!X46="－","0",VLOOKUP(クリーチャー_2!X46,$V$15:$X$28,2,FALSE()))</f>
        <v>0</v>
      </c>
      <c r="AP47" s="472">
        <f>IF(クリーチャー_2!V45="－","0",VLOOKUP(クリーチャー_2!V45,$V$15:$X$28,3,FALSE()))+IF(クリーチャー_2!W45="－","0",VLOOKUP(クリーチャー_2!W45,$V$15:$X$28,3,FALSE()))+IF(クリーチャー_2!X45="－","0",VLOOKUP(クリーチャー_2!X45,$V$15:$X$28,3,FALSE()))+IF(クリーチャー_2!V46="－","0",VLOOKUP(クリーチャー_2!V46,$V$15:$X$28,3,FALSE()))+IF(クリーチャー_2!W46="－","0",VLOOKUP(クリーチャー_2!W46,$V$15:$X$28,3,FALSE()))+IF(クリーチャー_2!X46="－","0",VLOOKUP(クリーチャー_2!X46,$V$15:$X$28,3,FALSE()))</f>
        <v>0</v>
      </c>
      <c r="AQ47" s="472"/>
      <c r="AR47" s="471"/>
      <c r="AS47" s="471"/>
      <c r="AT47" s="444"/>
      <c r="AU47" s="470" t="s">
        <v>740</v>
      </c>
      <c r="AV47" s="472">
        <f>IF(クリーチャー_3!V45="－","0",VLOOKUP(クリーチャー_3!V45,$V$15:$X$28,2,FALSE()))+IF(クリーチャー_3!W45="－","0",VLOOKUP(クリーチャー_3!W45,$V$15:$X$28,2,FALSE()))+IF(クリーチャー_3!X45="－","0",VLOOKUP(クリーチャー_3!X45,$V$15:$X$28,2,FALSE()))+IF(クリーチャー_3!V46="－","0",VLOOKUP(クリーチャー_3!V46,$V$15:$X$28,2,FALSE()))+IF(クリーチャー_3!W46="－","0",VLOOKUP(クリーチャー_3!W46,$V$15:$X$28,2,FALSE()))+IF(クリーチャー_3!X46="－","0",VLOOKUP(クリーチャー_3!X46,$V$15:$X$28,2,FALSE()))</f>
        <v>0</v>
      </c>
      <c r="AW47" s="472">
        <f>IF(クリーチャー_3!V45="－","0",VLOOKUP(クリーチャー_3!V45,$V$15:$X$28,3,FALSE()))+IF(クリーチャー_3!W45="－","0",VLOOKUP(クリーチャー_3!W45,$V$15:$X$28,3,FALSE()))+IF(クリーチャー_3!X45="－","0",VLOOKUP(クリーチャー_3!X45,$V$15:$X$28,3,FALSE()))+IF(クリーチャー_3!V46="－","0",VLOOKUP(クリーチャー_3!V46,$V$15:$X$28,3,FALSE()))+IF(クリーチャー_3!W46="－","0",VLOOKUP(クリーチャー_3!W46,$V$15:$X$28,3,FALSE()))+IF(クリーチャー_3!X46="－","0",VLOOKUP(クリーチャー_3!X46,$V$15:$X$28,3,FALSE()))</f>
        <v>0</v>
      </c>
      <c r="AX47" s="472"/>
      <c r="AY47" s="471"/>
      <c r="AZ47" s="471"/>
    </row>
    <row r="48" spans="2:52" x14ac:dyDescent="0.15">
      <c r="B48" s="470" t="s">
        <v>743</v>
      </c>
      <c r="C48" s="472">
        <f t="array" ref="C48">_xlfn.IFS(COUNTIF(応用技!E45:G46,"創造")&gt;=1,SUM(C45:C47)+1&amp;"～"&amp;SUM(C45:C47)+10,COUNTIF(応用技!E45:G46,"限定*")&gt;=1,"※",COUNTIF(応用技!E45:G46,"影響無効")&gt;=1,"※",TRUE(),SUM(C45:C47))</f>
        <v>0</v>
      </c>
      <c r="D48" s="472">
        <f>SUM(D45:D47)</f>
        <v>0</v>
      </c>
      <c r="E48" s="472">
        <f>SUM(E45:E47)</f>
        <v>0</v>
      </c>
      <c r="F48" s="471"/>
      <c r="G48" s="471"/>
      <c r="I48" s="451"/>
      <c r="J48" s="451"/>
      <c r="K48" s="449"/>
      <c r="L48" s="449"/>
      <c r="M48" s="449"/>
      <c r="N48" s="463" t="s">
        <v>379</v>
      </c>
      <c r="O48" s="464">
        <v>7</v>
      </c>
      <c r="P48" s="464">
        <v>2</v>
      </c>
      <c r="Q48" s="464"/>
      <c r="R48" s="465"/>
      <c r="S48" s="449"/>
      <c r="U48" s="449"/>
      <c r="V48" s="449"/>
      <c r="W48" s="449"/>
      <c r="X48" s="449"/>
      <c r="Y48" s="451"/>
      <c r="Z48" s="463" t="s">
        <v>379</v>
      </c>
      <c r="AA48" s="464">
        <v>7</v>
      </c>
      <c r="AB48" s="464">
        <v>2</v>
      </c>
      <c r="AC48" s="464"/>
      <c r="AD48" s="465"/>
      <c r="AE48" s="451"/>
      <c r="AG48" s="470" t="s">
        <v>743</v>
      </c>
      <c r="AH48" s="472">
        <f t="array" ref="AH48">_xlfn.IFS(COUNTIF(クリーチャー!S45:U46,"創造")&gt;=1,SUM(AH45:AH47)+1&amp;"～"&amp;SUM(AH45:AH47)+10,COUNTIF(クリーチャー!S45:U46,"限定*")&gt;=1,"※",COUNTIF(クリーチャー!S45:U46,"影響無効")&gt;=1,"※",TRUE(),SUM(AH45:AH47))</f>
        <v>0</v>
      </c>
      <c r="AI48" s="472">
        <f>SUM(AI45:AI47)</f>
        <v>0</v>
      </c>
      <c r="AJ48" s="472">
        <f>SUM(AJ45:AJ47)</f>
        <v>0</v>
      </c>
      <c r="AK48" s="471"/>
      <c r="AL48" s="471"/>
      <c r="AM48" s="444"/>
      <c r="AN48" s="470" t="s">
        <v>743</v>
      </c>
      <c r="AO48" s="472">
        <f t="array" ref="AO48">_xlfn.IFS(COUNTIF(クリーチャー_2!S45:U46,"創造")&gt;=1,SUM(AO45:AO47)+1&amp;"～"&amp;SUM(AO45:AO47)+10,COUNTIF(クリーチャー_2!S45:U46,"限定*")&gt;=1,"※",COUNTIF(クリーチャー_2!S45:U46,"影響無効")&gt;=1,"※",TRUE(),SUM(AO45:AO47))</f>
        <v>0</v>
      </c>
      <c r="AP48" s="472">
        <f>SUM(AP45:AP47)</f>
        <v>0</v>
      </c>
      <c r="AQ48" s="472">
        <f>SUM(AQ45:AQ47)</f>
        <v>0</v>
      </c>
      <c r="AR48" s="471"/>
      <c r="AS48" s="471"/>
      <c r="AT48" s="444"/>
      <c r="AU48" s="470" t="s">
        <v>743</v>
      </c>
      <c r="AV48" s="472">
        <f t="array" ref="AV48">_xlfn.IFS(COUNTIF(クリーチャー_3!S45:U46,"創造")&gt;=1,SUM(AV45:AV47)+1&amp;"～"&amp;SUM(AV45:AV47)+10,COUNTIF(クリーチャー_3!S45:U46,"限定*")&gt;=1,"※",COUNTIF(クリーチャー_3!S45:U46,"影響無効")&gt;=1,"※",TRUE(),SUM(AV45:AV47))</f>
        <v>0</v>
      </c>
      <c r="AW48" s="472">
        <f>SUM(AW45:AW47)</f>
        <v>0</v>
      </c>
      <c r="AX48" s="472">
        <f>SUM(AX45:AX47)</f>
        <v>0</v>
      </c>
      <c r="AY48" s="471"/>
      <c r="AZ48" s="471"/>
    </row>
    <row r="49" spans="2:52" ht="15" thickBot="1" x14ac:dyDescent="0.2">
      <c r="I49" s="451"/>
      <c r="J49" s="451"/>
      <c r="K49" s="449"/>
      <c r="L49" s="449"/>
      <c r="M49" s="449"/>
      <c r="N49" s="466" t="s">
        <v>383</v>
      </c>
      <c r="O49" s="467">
        <v>9</v>
      </c>
      <c r="P49" s="467">
        <v>2</v>
      </c>
      <c r="Q49" s="467"/>
      <c r="R49" s="468"/>
      <c r="S49" s="449"/>
      <c r="U49" s="449"/>
      <c r="V49" s="449"/>
      <c r="W49" s="449"/>
      <c r="X49" s="449"/>
      <c r="Y49" s="451"/>
      <c r="Z49" s="463" t="s">
        <v>383</v>
      </c>
      <c r="AA49" s="464">
        <v>9</v>
      </c>
      <c r="AB49" s="464">
        <v>2</v>
      </c>
      <c r="AC49" s="464"/>
      <c r="AD49" s="465"/>
      <c r="AE49" s="451"/>
      <c r="AI49" s="444"/>
      <c r="AJ49" s="444"/>
      <c r="AK49" s="444"/>
      <c r="AL49" s="444"/>
      <c r="AM49" s="444"/>
      <c r="AN49" s="444"/>
      <c r="AO49" s="444"/>
      <c r="AP49" s="444"/>
      <c r="AQ49" s="444"/>
      <c r="AS49" s="444"/>
      <c r="AT49" s="444"/>
      <c r="AU49" s="444"/>
      <c r="AV49" s="444"/>
    </row>
    <row r="50" spans="2:52" x14ac:dyDescent="0.15">
      <c r="B50" s="445" t="s">
        <v>756</v>
      </c>
      <c r="C50" s="446" t="s">
        <v>623</v>
      </c>
      <c r="D50" s="446" t="s">
        <v>449</v>
      </c>
      <c r="E50" s="446" t="s">
        <v>735</v>
      </c>
      <c r="F50" s="447" t="s">
        <v>736</v>
      </c>
      <c r="G50" s="446" t="s">
        <v>737</v>
      </c>
      <c r="I50" s="451"/>
      <c r="J50" s="451"/>
      <c r="K50" s="449"/>
      <c r="L50" s="449"/>
      <c r="M50" s="449"/>
      <c r="N50" s="449"/>
      <c r="O50" s="449"/>
      <c r="P50" s="449"/>
      <c r="Q50" s="449"/>
      <c r="R50" s="449"/>
      <c r="S50" s="449"/>
      <c r="U50" s="451"/>
      <c r="V50" s="451"/>
      <c r="W50" s="449"/>
      <c r="X50" s="449"/>
      <c r="Y50" s="449"/>
      <c r="Z50" s="463" t="s">
        <v>1016</v>
      </c>
      <c r="AA50" s="464">
        <v>2</v>
      </c>
      <c r="AB50" s="464">
        <v>1</v>
      </c>
      <c r="AC50" s="464"/>
      <c r="AD50" s="465"/>
      <c r="AE50" s="449"/>
      <c r="AG50" s="445" t="s">
        <v>756</v>
      </c>
      <c r="AH50" s="446" t="s">
        <v>623</v>
      </c>
      <c r="AI50" s="446" t="s">
        <v>449</v>
      </c>
      <c r="AJ50" s="446" t="s">
        <v>735</v>
      </c>
      <c r="AK50" s="447" t="s">
        <v>736</v>
      </c>
      <c r="AL50" s="446" t="s">
        <v>737</v>
      </c>
      <c r="AM50" s="444"/>
      <c r="AN50" s="445" t="s">
        <v>756</v>
      </c>
      <c r="AO50" s="446" t="s">
        <v>623</v>
      </c>
      <c r="AP50" s="446" t="s">
        <v>449</v>
      </c>
      <c r="AQ50" s="446" t="s">
        <v>735</v>
      </c>
      <c r="AR50" s="447" t="s">
        <v>736</v>
      </c>
      <c r="AS50" s="446" t="s">
        <v>737</v>
      </c>
      <c r="AT50" s="444"/>
      <c r="AU50" s="445" t="s">
        <v>756</v>
      </c>
      <c r="AV50" s="446" t="s">
        <v>623</v>
      </c>
      <c r="AW50" s="446" t="s">
        <v>449</v>
      </c>
      <c r="AX50" s="446" t="s">
        <v>735</v>
      </c>
      <c r="AY50" s="447" t="s">
        <v>736</v>
      </c>
      <c r="AZ50" s="446" t="s">
        <v>737</v>
      </c>
    </row>
    <row r="51" spans="2:52" x14ac:dyDescent="0.15">
      <c r="B51" s="446" t="s">
        <v>9</v>
      </c>
      <c r="C51" s="450">
        <f>IF(応用技!B56="－","0",VLOOKUP(応用技!B56,計算用!$J$6:$L$11,2,FALSE()))+IF(応用技!C56="－","0",VLOOKUP(応用技!C56,計算用!$J$6:$L$11,2,FALSE()))+IF(応用技!D56="－","0",VLOOKUP(応用技!D56,計算用!$J$6:$L$11,2,FALSE()))+COUNTIF(応用技!B56:D56,"防御発動")^2</f>
        <v>0</v>
      </c>
      <c r="D51" s="450">
        <f>IF(応用技!B56="－","0",VLOOKUP(応用技!B56,$J$6:$L$11,3,FALSE()))+IF(応用技!C56="－","0",VLOOKUP(応用技!C56,$J$6:$L$11,3,FALSE()))+IF(応用技!D56="－","0",VLOOKUP(応用技!D56,$J$6:$L$11,3,FALSE()))</f>
        <v>0</v>
      </c>
      <c r="E51" s="425"/>
      <c r="F51" s="447"/>
      <c r="G51" s="447"/>
      <c r="U51" s="451"/>
      <c r="V51" s="451"/>
      <c r="W51" s="449"/>
      <c r="X51" s="449"/>
      <c r="Y51" s="449"/>
      <c r="Z51" s="621" t="s">
        <v>1137</v>
      </c>
      <c r="AA51" s="464">
        <v>2</v>
      </c>
      <c r="AB51" s="464">
        <v>1</v>
      </c>
      <c r="AC51" s="464"/>
      <c r="AD51" s="623"/>
      <c r="AE51" s="449"/>
      <c r="AG51" s="446" t="s">
        <v>9</v>
      </c>
      <c r="AH51" s="450">
        <f>IF(クリーチャー!P56="－","0",VLOOKUP(クリーチャー!P56,計算用!$J$6:$L$11,2,FALSE()))+IF(クリーチャー!Q56="－","0",VLOOKUP(クリーチャー!Q56,計算用!$J$6:$L$11,2,FALSE()))+IF(クリーチャー!R56="－","0",VLOOKUP(クリーチャー!R56,計算用!$J$6:$L$11,2,FALSE()))+COUNTIF(クリーチャー!P56:R56,"防御発動")^2</f>
        <v>0</v>
      </c>
      <c r="AI51" s="450">
        <f>IF(クリーチャー!P56="－","0",VLOOKUP(クリーチャー!P56,$J$6:$L$11,3,FALSE()))+IF(クリーチャー!Q56="－","0",VLOOKUP(クリーチャー!Q56,$J$6:$L$11,3,FALSE()))+IF(クリーチャー!R56="－","0",VLOOKUP(クリーチャー!R56,$J$6:$L$11,3,FALSE()))</f>
        <v>0</v>
      </c>
      <c r="AJ51" s="425"/>
      <c r="AK51" s="447"/>
      <c r="AL51" s="447"/>
      <c r="AM51" s="444"/>
      <c r="AN51" s="446" t="s">
        <v>9</v>
      </c>
      <c r="AO51" s="450">
        <f>IF(クリーチャー_2!P56="－","0",VLOOKUP(クリーチャー_2!P56,計算用!$J$6:$L$11,2,FALSE()))+IF(クリーチャー_2!Q56="－","0",VLOOKUP(クリーチャー_2!Q56,計算用!$J$6:$L$11,2,FALSE()))+IF(クリーチャー_2!R56="－","0",VLOOKUP(クリーチャー_2!R56,計算用!$J$6:$L$11,2,FALSE()))+COUNTIF(クリーチャー_2!P56:R56,"防御発動")^2</f>
        <v>0</v>
      </c>
      <c r="AP51" s="450">
        <f>IF(クリーチャー_2!P56="－","0",VLOOKUP(クリーチャー_2!P56,$J$6:$L$11,3,FALSE()))+IF(クリーチャー_2!Q56="－","0",VLOOKUP(クリーチャー_2!Q56,$J$6:$L$11,3,FALSE()))+IF(クリーチャー_2!R56="－","0",VLOOKUP(クリーチャー_2!R56,$J$6:$L$11,3,FALSE()))</f>
        <v>0</v>
      </c>
      <c r="AQ51" s="425"/>
      <c r="AR51" s="447"/>
      <c r="AS51" s="447"/>
      <c r="AT51" s="444"/>
      <c r="AU51" s="446" t="s">
        <v>9</v>
      </c>
      <c r="AV51" s="450">
        <f>IF(クリーチャー_3!P56="－","0",VLOOKUP(クリーチャー_3!P56,計算用!$J$6:$L$11,2,FALSE()))+IF(クリーチャー_3!Q56="－","0",VLOOKUP(クリーチャー_3!Q56,計算用!$J$6:$L$11,2,FALSE()))+IF(クリーチャー_3!R56="－","0",VLOOKUP(クリーチャー_3!R56,計算用!$J$6:$L$11,2,FALSE()))+COUNTIF(クリーチャー_3!P56:R56,"防御発動")^2</f>
        <v>0</v>
      </c>
      <c r="AW51" s="450">
        <f>IF(クリーチャー_3!P56="－","0",VLOOKUP(クリーチャー_3!P56,$J$6:$L$11,3,FALSE()))+IF(クリーチャー_3!Q56="－","0",VLOOKUP(クリーチャー_3!Q56,$J$6:$L$11,3,FALSE()))+IF(クリーチャー_3!R56="－","0",VLOOKUP(クリーチャー_3!R56,$J$6:$L$11,3,FALSE()))</f>
        <v>0</v>
      </c>
      <c r="AX51" s="425"/>
      <c r="AY51" s="447"/>
      <c r="AZ51" s="447"/>
    </row>
    <row r="52" spans="2:52" x14ac:dyDescent="0.15">
      <c r="B52" s="446" t="s">
        <v>10</v>
      </c>
      <c r="C52" s="450" cm="1">
        <f t="array" ref="C52">IF(応用技!E56="－","0",VLOOKUP(応用技!E56,$N$6:$R$49,2,FALSE()))+IF(応用技!F56="－","0",VLOOKUP(応用技!F56,N6:$R$49,2,FALSE()))+IF(応用技!G56="－","0",VLOOKUP(応用技!G56,$N$6:$R$49,2,FALSE()))+IF(応用技!E57="－","0",VLOOKUP(応用技!E57,$N$6:$R$49,2,FALSE()))+IF(応用技!F57="－","0",VLOOKUP(応用技!F57,$N$6:$R$49,2,FALSE()))+IF(応用技!G57="－","0",VLOOKUP(応用技!G57,$N$6:$R$49,2,FALSE()))+_xlfn.IFS(F52&gt;=2,1+2*(F52-1),F52=1,1,F52=0,0)+_xlfn.IFS(G52&gt;=2,1+2*(G52-1),G52=1,1,G52=0,0)</f>
        <v>0</v>
      </c>
      <c r="D52" s="450">
        <f>IF(応用技!E56="－","0",VLOOKUP(応用技!E56,$N$6:$R$49,3,FALSE()))+IF(応用技!F56="－","0",VLOOKUP(応用技!F56,$N$6:$R$49,3,FALSE()))+IF(応用技!G56="－","0",VLOOKUP(応用技!G56,$N$6:$R$49,3,FALSE()))+IF(応用技!E57="－","0",VLOOKUP(応用技!E57,$N$6:$R$49,3,FALSE()))+IF(応用技!F57="－","0",VLOOKUP(応用技!F57,$N$6:$R$49,3,FALSE()))+IF(応用技!G57="－","0",VLOOKUP(応用技!G57,$N$6:$R$49,3,FALSE()))</f>
        <v>0</v>
      </c>
      <c r="E52" s="450">
        <f>IF(応用技!E56="－","0",VLOOKUP(応用技!E56,$N$6:$R$49,4,FALSE()))+IF(応用技!F56="－","0",VLOOKUP(応用技!F56,$N$6:$R$49,4,FALSE()))+IF(応用技!G56="－","0",VLOOKUP(応用技!G56,$N$6:$R$49,4,FALSE()))+IF(応用技!E57="－","0",VLOOKUP(応用技!E57,$N$6:$R$49,4,FALSE()))+IF(応用技!F57="－","0",VLOOKUP(応用技!F57,$N$6:$R$49,4,FALSE()))+IF(応用技!G57="－","0",VLOOKUP(応用技!G57,$N$6:$R$49,4,FALSE()))</f>
        <v>0</v>
      </c>
      <c r="F52" s="447">
        <f>COUNTIFS(応用技!E56:G57,"強化*")</f>
        <v>0</v>
      </c>
      <c r="G52" s="447">
        <f>COUNTIFS(応用技!E56:G57,"減衰*")</f>
        <v>0</v>
      </c>
      <c r="U52" s="451"/>
      <c r="V52" s="451"/>
      <c r="W52" s="449"/>
      <c r="X52" s="449"/>
      <c r="Y52" s="449"/>
      <c r="Z52" s="621" t="s">
        <v>1133</v>
      </c>
      <c r="AA52" s="622">
        <v>0</v>
      </c>
      <c r="AB52" s="622">
        <v>0</v>
      </c>
      <c r="AC52" s="622">
        <v>1</v>
      </c>
      <c r="AD52" s="623"/>
      <c r="AE52" s="449"/>
      <c r="AG52" s="446" t="s">
        <v>10</v>
      </c>
      <c r="AH52" s="450" cm="1">
        <f t="array" ref="AH52">IF(クリーチャー!S56="－","0",VLOOKUP(クリーチャー!S56,$N$6:$R$49,2,FALSE()))+IF(クリーチャー!T56="－","0",VLOOKUP(クリーチャー!T56,N6:$R$49,2,FALSE()))+IF(クリーチャー!U56="－","0",VLOOKUP(クリーチャー!U56,$N$6:$R$49,2,FALSE()))+IF(クリーチャー!S57="－","0",VLOOKUP(クリーチャー!S57,$N$6:$R$49,2,FALSE()))+IF(クリーチャー!T57="－","0",VLOOKUP(クリーチャー!T57,$N$6:$R$49,2,FALSE()))+IF(クリーチャー!U57="－","0",VLOOKUP(クリーチャー!U57,$N$6:$R$49,2,FALSE()))+_xlfn.IFS(AK52&gt;=2,1+2*(AK52-1),AK52=1,1,AK52=0,0)+_xlfn.IFS(AL52&gt;=2,1+2*(AL52-1),AL52=1,1,AL52=0,0)</f>
        <v>0</v>
      </c>
      <c r="AI52" s="450">
        <f>IF(クリーチャー!S56="－","0",VLOOKUP(クリーチャー!S56,$N$6:$R$49,3,FALSE()))+IF(クリーチャー!T56="－","0",VLOOKUP(クリーチャー!T56,$N$6:$R$49,3,FALSE()))+IF(クリーチャー!U56="－","0",VLOOKUP(クリーチャー!U56,$N$6:$R$49,3,FALSE()))+IF(クリーチャー!S57="－","0",VLOOKUP(クリーチャー!S57,$N$6:$R$49,3,FALSE()))+IF(クリーチャー!T57="－","0",VLOOKUP(クリーチャー!T57,$N$6:$R$49,3,FALSE()))+IF(クリーチャー!U57="－","0",VLOOKUP(クリーチャー!U57,$N$6:$R$49,3,FALSE()))</f>
        <v>0</v>
      </c>
      <c r="AJ52" s="450">
        <f>IF(クリーチャー!S56="－","0",VLOOKUP(クリーチャー!S56,$N$6:$R$49,4,FALSE()))+IF(クリーチャー!T56="－","0",VLOOKUP(クリーチャー!T56,$N$6:$R$49,4,FALSE()))+IF(クリーチャー!U56="－","0",VLOOKUP(クリーチャー!U56,$N$6:$R$49,4,FALSE()))+IF(クリーチャー!S57="－","0",VLOOKUP(クリーチャー!S57,$N$6:$R$49,4,FALSE()))+IF(クリーチャー!T57="－","0",VLOOKUP(クリーチャー!T57,$N$6:$R$49,4,FALSE()))+IF(クリーチャー!U57="－","0",VLOOKUP(クリーチャー!U57,$N$6:$R$49,4,FALSE()))</f>
        <v>0</v>
      </c>
      <c r="AK52" s="447">
        <f>COUNTIFS(クリーチャー!S56:U57,"強化*")</f>
        <v>0</v>
      </c>
      <c r="AL52" s="447">
        <f>COUNTIFS(クリーチャー!S56:U57,"減衰*")</f>
        <v>0</v>
      </c>
      <c r="AM52" s="444"/>
      <c r="AN52" s="446" t="s">
        <v>10</v>
      </c>
      <c r="AO52" s="450" cm="1">
        <f t="array" ref="AO52">IF(クリーチャー_2!S56="－","0",VLOOKUP(クリーチャー_2!S56,$N$6:$R$49,2,FALSE()))+IF(クリーチャー_2!T56="－","0",VLOOKUP(クリーチャー_2!T56,$N$6:$R$49,2,FALSE()))+IF(クリーチャー_2!U56="－","0",VLOOKUP(クリーチャー_2!U56,$N$6:$R$49,2,FALSE()))+IF(クリーチャー_2!S57="－","0",VLOOKUP(クリーチャー_2!S57,$N$6:$R$49,2,FALSE()))+IF(クリーチャー_2!T57="－","0",VLOOKUP(クリーチャー_2!T57,$N$6:$R$49,2,FALSE()))+IF(クリーチャー_2!U57="－","0",VLOOKUP(クリーチャー_2!U57,$N$6:$R$49,2,FALSE()))+_xlfn.IFS(AR52&gt;=2,1+2*(AR52-1),AR52=1,1,AR52=0,0)+_xlfn.IFS(AS52&gt;=2,1+2*(AS52-1),AS52=1,1,AS52=0,0)</f>
        <v>0</v>
      </c>
      <c r="AP52" s="450">
        <f>IF(クリーチャー_2!S56="－","0",VLOOKUP(クリーチャー_2!S56,$N$6:$R$49,3,FALSE()))+IF(クリーチャー_2!T56="－","0",VLOOKUP(クリーチャー_2!T56,$N$6:$R$49,3,FALSE()))+IF(クリーチャー_2!U56="－","0",VLOOKUP(クリーチャー_2!U56,$N$6:$R$49,3,FALSE()))+IF(クリーチャー_2!S57="－","0",VLOOKUP(クリーチャー_2!S57,$N$6:$R$49,3,FALSE()))+IF(クリーチャー_2!T57="－","0",VLOOKUP(クリーチャー_2!T57,$N$6:$R$49,3,FALSE()))+IF(クリーチャー_2!U57="－","0",VLOOKUP(クリーチャー_2!U57,$N$6:$R$49,3,FALSE()))</f>
        <v>0</v>
      </c>
      <c r="AQ52" s="450">
        <f>IF(クリーチャー_2!S56="－","0",VLOOKUP(クリーチャー_2!S56,$N$6:$R$49,4,FALSE()))+IF(クリーチャー_2!T56="－","0",VLOOKUP(クリーチャー_2!T56,$N$6:$R$49,4,FALSE()))+IF(クリーチャー_2!U56="－","0",VLOOKUP(クリーチャー_2!U56,$N$6:$R$49,4,FALSE()))+IF(クリーチャー_2!S57="－","0",VLOOKUP(クリーチャー_2!S57,$N$6:$R$49,4,FALSE()))+IF(クリーチャー_2!T57="－","0",VLOOKUP(クリーチャー_2!T57,$N$6:$R$49,4,FALSE()))+IF(クリーチャー_2!U57="－","0",VLOOKUP(クリーチャー_2!U57,$N$6:$R$49,4,FALSE()))</f>
        <v>0</v>
      </c>
      <c r="AR52" s="447">
        <f>COUNTIFS(クリーチャー_2!S56:U57,"強化*")</f>
        <v>0</v>
      </c>
      <c r="AS52" s="447">
        <f>COUNTIFS(クリーチャー_2!S56:U57,"減衰*")</f>
        <v>0</v>
      </c>
      <c r="AT52" s="444"/>
      <c r="AU52" s="446" t="s">
        <v>10</v>
      </c>
      <c r="AV52" s="450" cm="1">
        <f t="array" ref="AV52">IF(クリーチャー_3!S56="－","0",VLOOKUP(クリーチャー_3!S56,$N$6:$R$49,2,FALSE()))+IF(クリーチャー_3!T56="－","0",VLOOKUP(クリーチャー_3!T56,N6:$R$49,2,FALSE()))+IF(クリーチャー_3!U56="－","0",VLOOKUP(クリーチャー_3!U56,$N$6:$R$49,2,FALSE()))+IF(クリーチャー_3!S57="－","0",VLOOKUP(クリーチャー_3!S57,$N$6:$R$49,2,FALSE()))+IF(クリーチャー_3!T57="－","0",VLOOKUP(クリーチャー_3!T57,$N$6:$R$49,2,FALSE()))+IF(クリーチャー_3!U57="－","0",VLOOKUP(クリーチャー_3!U57,$N$6:$R$49,2,FALSE()))+_xlfn.IFS(AY52&gt;=2,1+2*(AY52-1),AY52=1,1,AY52=0,0)+_xlfn.IFS(AZ52&gt;=2,1+2*(AZ52-1),AZ52=1,1,AZ52=0,0)</f>
        <v>0</v>
      </c>
      <c r="AW52" s="450">
        <f>IF(クリーチャー_3!S56="－","0",VLOOKUP(クリーチャー_3!S56,$N$6:$R$49,3,FALSE()))+IF(クリーチャー_3!T56="－","0",VLOOKUP(クリーチャー_3!T56,$N$6:$R$49,3,FALSE()))+IF(クリーチャー_3!U56="－","0",VLOOKUP(クリーチャー_3!U56,$N$6:$R$49,3,FALSE()))+IF(クリーチャー_3!S57="－","0",VLOOKUP(クリーチャー_3!S57,$N$6:$R$49,3,FALSE()))+IF(クリーチャー_3!T57="－","0",VLOOKUP(クリーチャー_3!T57,$N$6:$R$49,3,FALSE()))+IF(クリーチャー_3!U57="－","0",VLOOKUP(クリーチャー_3!U57,$N$6:$R$49,3,FALSE()))</f>
        <v>0</v>
      </c>
      <c r="AX52" s="450">
        <f>IF(クリーチャー_3!S56="－","0",VLOOKUP(クリーチャー_3!S56,$N$6:$R$49,4,FALSE()))+IF(クリーチャー_3!T56="－","0",VLOOKUP(クリーチャー_3!T56,$N$6:$R$49,4,FALSE()))+IF(クリーチャー_3!U56="－","0",VLOOKUP(クリーチャー_3!U56,$N$6:$R$49,4,FALSE()))+IF(クリーチャー_3!S57="－","0",VLOOKUP(クリーチャー_3!S57,$N$6:$R$49,4,FALSE()))+IF(クリーチャー_3!T57="－","0",VLOOKUP(クリーチャー_3!T57,$N$6:$R$49,4,FALSE()))+IF(クリーチャー_3!U57="－","0",VLOOKUP(クリーチャー_3!U57,$N$6:$R$49,4,FALSE()))</f>
        <v>0</v>
      </c>
      <c r="AY52" s="447">
        <f>COUNTIFS(クリーチャー_3!S56:U57,"強化*")</f>
        <v>0</v>
      </c>
      <c r="AZ52" s="447">
        <f>COUNTIFS(クリーチャー_3!S56:U57,"減衰*")</f>
        <v>0</v>
      </c>
    </row>
    <row r="53" spans="2:52" x14ac:dyDescent="0.15">
      <c r="B53" s="446" t="s">
        <v>740</v>
      </c>
      <c r="C53" s="450">
        <f>IF(応用技!H56="－","0",VLOOKUP(応用技!H56,$J$15:$L$27,2,FALSE()))+IF(応用技!I56="－","0",VLOOKUP(応用技!I56,$J$15:$L$27,2,FALSE()))+IF(応用技!J56="－","0",VLOOKUP(応用技!J56,$J$15:$L$27,2,FALSE()))+IF(応用技!H57="－","0",VLOOKUP(応用技!H57,$J$15:$L$27,2,FALSE()))+IF(応用技!I57="－","0",VLOOKUP(応用技!I57,$J$15:$L$27,2,FALSE()))+IF(応用技!J57="－","0",VLOOKUP(応用技!J57,$J$15:$L$27,2,FALSE()))</f>
        <v>0</v>
      </c>
      <c r="D53" s="450">
        <f>IF(応用技!H56="－","0",VLOOKUP(応用技!H56,$J$15:$L$27,3,FALSE()))+IF(応用技!I56="－","0",VLOOKUP(応用技!I56,$J$15:$L$27,3,FALSE()))+IF(応用技!J56="－","0",VLOOKUP(応用技!J56,$J$15:$L$27,3,FALSE()))+IF(応用技!H57="－","0",VLOOKUP(応用技!H57,$J$15:$L$27,3,FALSE()))+IF(応用技!I57="－","0",VLOOKUP(応用技!I57,$J$15:$L$27,3,FALSE()))+IF(応用技!J57="－","0",VLOOKUP(応用技!J57,$J$15:$L$27,3,FALSE()))</f>
        <v>0</v>
      </c>
      <c r="E53" s="450"/>
      <c r="F53" s="447"/>
      <c r="G53" s="447"/>
      <c r="U53" s="451"/>
      <c r="V53" s="451"/>
      <c r="W53" s="449"/>
      <c r="X53" s="449"/>
      <c r="Y53" s="449"/>
      <c r="Z53" s="621" t="s">
        <v>1134</v>
      </c>
      <c r="AA53" s="622">
        <v>0</v>
      </c>
      <c r="AB53" s="622">
        <v>0</v>
      </c>
      <c r="AC53" s="622">
        <v>1</v>
      </c>
      <c r="AD53" s="623"/>
      <c r="AE53" s="449"/>
      <c r="AG53" s="446" t="s">
        <v>740</v>
      </c>
      <c r="AH53" s="450">
        <f>IF(クリーチャー!V56="－","0",VLOOKUP(クリーチャー!V56,$J$15:$L$27,2,FALSE()))+IF(クリーチャー!W56="－","0",VLOOKUP(クリーチャー!W56,$J$15:$L$27,2,FALSE()))+IF(クリーチャー!X56="－","0",VLOOKUP(クリーチャー!X56,$J$15:$L$27,2,FALSE()))+IF(クリーチャー!V57="－","0",VLOOKUP(クリーチャー!V57,$J$15:$L$27,2,FALSE()))+IF(クリーチャー!W57="－","0",VLOOKUP(クリーチャー!W57,$J$15:$L$27,2,FALSE()))+IF(クリーチャー!X57="－","0",VLOOKUP(クリーチャー!X57,$J$15:$L$27,2,FALSE()))</f>
        <v>0</v>
      </c>
      <c r="AI53" s="450">
        <f>IF(クリーチャー!V56="－","0",VLOOKUP(クリーチャー!V56,$J$15:$L$27,3,FALSE()))+IF(クリーチャー!W56="－","0",VLOOKUP(クリーチャー!W56,$J$15:$L$27,3,FALSE()))+IF(クリーチャー!X56="－","0",VLOOKUP(クリーチャー!X56,$J$15:$L$27,3,FALSE()))+IF(クリーチャー!V57="－","0",VLOOKUP(クリーチャー!V57,$J$15:$L$27,3,FALSE()))+IF(クリーチャー!W57="－","0",VLOOKUP(クリーチャー!W57,$J$15:$L$27,3,FALSE()))+IF(クリーチャー!X57="－","0",VLOOKUP(クリーチャー!X57,$J$15:$L$27,3,FALSE()))</f>
        <v>0</v>
      </c>
      <c r="AJ53" s="450"/>
      <c r="AK53" s="447"/>
      <c r="AL53" s="447"/>
      <c r="AM53" s="444"/>
      <c r="AN53" s="446" t="s">
        <v>740</v>
      </c>
      <c r="AO53" s="450">
        <f>IF(クリーチャー_2!V56="－","0",VLOOKUP(クリーチャー_2!V56,$J$15:$L$27,2,FALSE()))+IF(クリーチャー_2!W56="－","0",VLOOKUP(クリーチャー_2!W56,$J$15:$L$27,2,FALSE()))+IF(クリーチャー_2!X56="－","0",VLOOKUP(クリーチャー_2!X56,$J$15:$L$27,2,FALSE()))+IF(クリーチャー_2!V57="－","0",VLOOKUP(クリーチャー_2!V57,$J$15:$L$27,2,FALSE()))+IF(クリーチャー_2!W57="－","0",VLOOKUP(クリーチャー_2!W57,$J$15:$L$27,2,FALSE()))+IF(クリーチャー_2!X57="－","0",VLOOKUP(クリーチャー_2!X57,$J$15:$L$27,2,FALSE()))</f>
        <v>0</v>
      </c>
      <c r="AP53" s="450">
        <f>IF(クリーチャー_2!V56="－","0",VLOOKUP(クリーチャー_2!V56,$J$15:$L$27,3,FALSE()))+IF(クリーチャー_2!W56="－","0",VLOOKUP(クリーチャー_2!W56,$J$15:$L$27,3,FALSE()))+IF(クリーチャー_2!X56="－","0",VLOOKUP(クリーチャー_2!X56,$J$15:$L$27,3,FALSE()))+IF(クリーチャー_2!V57="－","0",VLOOKUP(クリーチャー_2!V57,$J$15:$L$27,3,FALSE()))+IF(クリーチャー_2!W57="－","0",VLOOKUP(クリーチャー_2!W57,$J$15:$L$27,3,FALSE()))+IF(クリーチャー_2!X57="－","0",VLOOKUP(クリーチャー_2!X57,$J$15:$L$27,3,FALSE()))</f>
        <v>0</v>
      </c>
      <c r="AQ53" s="450"/>
      <c r="AR53" s="447"/>
      <c r="AS53" s="447"/>
      <c r="AT53" s="444"/>
      <c r="AU53" s="446" t="s">
        <v>740</v>
      </c>
      <c r="AV53" s="450">
        <f>IF(クリーチャー_3!V56="－","0",VLOOKUP(クリーチャー_3!V56,$J$15:$L$27,2,FALSE()))+IF(クリーチャー_3!W56="－","0",VLOOKUP(クリーチャー_3!W56,$J$15:$L$27,2,FALSE()))+IF(クリーチャー_3!X56="－","0",VLOOKUP(クリーチャー_3!X56,$J$15:$L$27,2,FALSE()))+IF(クリーチャー_3!V57="－","0",VLOOKUP(クリーチャー_3!V57,$J$15:$L$27,2,FALSE()))+IF(クリーチャー_3!W57="－","0",VLOOKUP(クリーチャー_3!W57,$J$15:$L$27,2,FALSE()))+IF(クリーチャー_3!X57="－","0",VLOOKUP(クリーチャー_3!X57,$J$15:$L$27,2,FALSE()))</f>
        <v>0</v>
      </c>
      <c r="AW53" s="450">
        <f>IF(クリーチャー_3!V56="－","0",VLOOKUP(クリーチャー_3!V56,$J$15:$L$27,3,FALSE()))+IF(クリーチャー_3!W56="－","0",VLOOKUP(クリーチャー_3!W56,$J$15:$L$27,3,FALSE()))+IF(クリーチャー_3!X56="－","0",VLOOKUP(クリーチャー_3!X56,$J$15:$L$27,3,FALSE()))+IF(クリーチャー_3!V57="－","0",VLOOKUP(クリーチャー_3!V57,$J$15:$L$27,3,FALSE()))+IF(クリーチャー_3!W57="－","0",VLOOKUP(クリーチャー_3!W57,$J$15:$L$27,3,FALSE()))+IF(クリーチャー_3!X57="－","0",VLOOKUP(クリーチャー_3!X57,$J$15:$L$27,3,FALSE()))</f>
        <v>0</v>
      </c>
      <c r="AX53" s="450"/>
      <c r="AY53" s="447"/>
      <c r="AZ53" s="447"/>
    </row>
    <row r="54" spans="2:52" x14ac:dyDescent="0.15">
      <c r="B54" s="446" t="s">
        <v>743</v>
      </c>
      <c r="C54" s="450">
        <f t="array" ref="C54">_xlfn.IFS(COUNTIF(応用技!E56:G57,"創造")&gt;=1,SUM(C51:C53)+1&amp;"～"&amp;SUM(C51:C53)+10,COUNTIF(応用技!E56:G57,"限定*")&gt;=1,"※",COUNTIF(応用技!E56:G57,"影響無効")&gt;=1,"※",TRUE(),SUM(C51:C53))</f>
        <v>0</v>
      </c>
      <c r="D54" s="450">
        <f>SUM(D51:D53)</f>
        <v>0</v>
      </c>
      <c r="E54" s="450">
        <f>SUM(E51:E53)</f>
        <v>0</v>
      </c>
      <c r="F54" s="447"/>
      <c r="G54" s="447"/>
      <c r="U54" s="451"/>
      <c r="V54" s="451"/>
      <c r="W54" s="449"/>
      <c r="X54" s="449"/>
      <c r="Y54" s="449"/>
      <c r="Z54" s="621" t="s">
        <v>1135</v>
      </c>
      <c r="AA54" s="622">
        <v>0</v>
      </c>
      <c r="AB54" s="622">
        <v>0</v>
      </c>
      <c r="AC54" s="622">
        <v>1</v>
      </c>
      <c r="AD54" s="623"/>
      <c r="AE54" s="449"/>
      <c r="AG54" s="446" t="s">
        <v>743</v>
      </c>
      <c r="AH54" s="450">
        <f t="array" ref="AH54">_xlfn.IFS(COUNTIF(クリーチャー!S56:U57,"創造")&gt;=1,SUM(AH51:AH53)+1&amp;"～"&amp;SUM(AH51:AH53)+10,COUNTIF(クリーチャー!S56:U57,"限定*")&gt;=1,"※",COUNTIF(クリーチャー!S56:U57,"影響無効")&gt;=1,"※",TRUE(),SUM(AH51:AH53))</f>
        <v>0</v>
      </c>
      <c r="AI54" s="450">
        <f>SUM(AI51:AI53)</f>
        <v>0</v>
      </c>
      <c r="AJ54" s="450">
        <f>SUM(AJ51:AJ53)</f>
        <v>0</v>
      </c>
      <c r="AK54" s="447"/>
      <c r="AL54" s="447"/>
      <c r="AM54" s="444"/>
      <c r="AN54" s="446" t="s">
        <v>743</v>
      </c>
      <c r="AO54" s="450">
        <f t="array" ref="AO54">_xlfn.IFS(COUNTIF(クリーチャー_2!S56:U57,"創造")&gt;=1,SUM(AO51:AO53)+1&amp;"～"&amp;SUM(AO51:AO53)+10,COUNTIF(クリーチャー_2!S56:U57,"限定*")&gt;=1,"※",COUNTIF(クリーチャー_2!S56:U57,"影響無効")&gt;=1,"※",TRUE(),SUM(AO51:AO53))</f>
        <v>0</v>
      </c>
      <c r="AP54" s="450">
        <f>SUM(AP51:AP53)</f>
        <v>0</v>
      </c>
      <c r="AQ54" s="450">
        <f>SUM(AQ51:AQ53)</f>
        <v>0</v>
      </c>
      <c r="AR54" s="447"/>
      <c r="AS54" s="447"/>
      <c r="AT54" s="444"/>
      <c r="AU54" s="446" t="s">
        <v>743</v>
      </c>
      <c r="AV54" s="450">
        <f t="array" ref="AV54">_xlfn.IFS(COUNTIF(クリーチャー_3!S56:U57,"創造")&gt;=1,SUM(AV51:AV53)+1&amp;"～"&amp;SUM(AV51:AV53)+10,COUNTIF(クリーチャー_3!S56:U57,"限定*")&gt;=1,"※",COUNTIF(クリーチャー_3!S56:U57,"影響無効")&gt;=1,"※",TRUE(),SUM(AV51:AV53))</f>
        <v>0</v>
      </c>
      <c r="AW54" s="450">
        <f>SUM(AW51:AW53)</f>
        <v>0</v>
      </c>
      <c r="AX54" s="450">
        <f>SUM(AX51:AX53)</f>
        <v>0</v>
      </c>
      <c r="AY54" s="447"/>
      <c r="AZ54" s="447"/>
    </row>
    <row r="55" spans="2:52" x14ac:dyDescent="0.15">
      <c r="U55" s="449"/>
      <c r="V55" s="449"/>
      <c r="W55" s="449"/>
      <c r="X55" s="449"/>
      <c r="Y55" s="451"/>
      <c r="Z55" s="463" t="s">
        <v>1136</v>
      </c>
      <c r="AA55" s="464">
        <v>0</v>
      </c>
      <c r="AB55" s="464">
        <v>0</v>
      </c>
      <c r="AC55" s="464">
        <v>1</v>
      </c>
      <c r="AD55" s="475"/>
      <c r="AE55" s="451"/>
      <c r="AI55" s="444"/>
      <c r="AJ55" s="444"/>
      <c r="AK55" s="444"/>
      <c r="AL55" s="444"/>
      <c r="AM55" s="444"/>
      <c r="AN55" s="444"/>
      <c r="AO55" s="444"/>
      <c r="AP55" s="444"/>
      <c r="AQ55" s="444"/>
      <c r="AS55" s="444"/>
      <c r="AT55" s="444"/>
      <c r="AU55" s="444"/>
      <c r="AV55" s="444"/>
    </row>
    <row r="56" spans="2:52" x14ac:dyDescent="0.15">
      <c r="B56" s="445" t="s">
        <v>757</v>
      </c>
      <c r="C56" s="446" t="s">
        <v>623</v>
      </c>
      <c r="D56" s="446" t="s">
        <v>449</v>
      </c>
      <c r="E56" s="446" t="s">
        <v>735</v>
      </c>
      <c r="F56" s="447" t="s">
        <v>736</v>
      </c>
      <c r="G56" s="446" t="s">
        <v>737</v>
      </c>
      <c r="U56" s="449"/>
      <c r="V56" s="449"/>
      <c r="W56" s="449"/>
      <c r="X56" s="449"/>
      <c r="Y56" s="451"/>
      <c r="Z56" s="624" t="s">
        <v>1141</v>
      </c>
      <c r="AA56" s="625">
        <v>0</v>
      </c>
      <c r="AB56" s="625">
        <v>0</v>
      </c>
      <c r="AC56" s="625">
        <v>2</v>
      </c>
      <c r="AD56" s="626" t="s">
        <v>1139</v>
      </c>
      <c r="AE56" s="451"/>
      <c r="AG56" s="445" t="s">
        <v>757</v>
      </c>
      <c r="AH56" s="446" t="s">
        <v>623</v>
      </c>
      <c r="AI56" s="446" t="s">
        <v>449</v>
      </c>
      <c r="AJ56" s="446" t="s">
        <v>735</v>
      </c>
      <c r="AK56" s="447" t="s">
        <v>736</v>
      </c>
      <c r="AL56" s="446" t="s">
        <v>737</v>
      </c>
      <c r="AM56" s="444"/>
      <c r="AN56" s="445" t="s">
        <v>757</v>
      </c>
      <c r="AO56" s="446" t="s">
        <v>623</v>
      </c>
      <c r="AP56" s="446" t="s">
        <v>449</v>
      </c>
      <c r="AQ56" s="446" t="s">
        <v>735</v>
      </c>
      <c r="AR56" s="447" t="s">
        <v>736</v>
      </c>
      <c r="AS56" s="446" t="s">
        <v>737</v>
      </c>
      <c r="AT56" s="444"/>
      <c r="AU56" s="445" t="s">
        <v>757</v>
      </c>
      <c r="AV56" s="446" t="s">
        <v>623</v>
      </c>
      <c r="AW56" s="446" t="s">
        <v>449</v>
      </c>
      <c r="AX56" s="446" t="s">
        <v>735</v>
      </c>
      <c r="AY56" s="447" t="s">
        <v>736</v>
      </c>
      <c r="AZ56" s="446" t="s">
        <v>737</v>
      </c>
    </row>
    <row r="57" spans="2:52" ht="15" thickBot="1" x14ac:dyDescent="0.2">
      <c r="B57" s="446" t="s">
        <v>9</v>
      </c>
      <c r="C57" s="450">
        <f>IF(応用技!B56="－","0",VLOOKUP(応用技!B56,計算用!$V$6:$X$11,2,FALSE()))+IF(応用技!C56="－","0",VLOOKUP(応用技!C56,計算用!$V$6:$X$11,2,FALSE()))+IF(応用技!D56="－","0",VLOOKUP(応用技!D56,計算用!$V$6:$X$11,2,FALSE()))+COUNTIF(応用技!B56:D56,"防御発動")^2</f>
        <v>0</v>
      </c>
      <c r="D57" s="450">
        <f>IF(応用技!B56="－","0",VLOOKUP(応用技!B56,$J$6:$L$11,3,FALSE()))+IF(応用技!C56="－","0",VLOOKUP(応用技!C56,$J$6:$L$11,3,FALSE()))+IF(応用技!D56="－","0",VLOOKUP(応用技!D56,$J$6:$L$11,3,FALSE()))</f>
        <v>0</v>
      </c>
      <c r="E57" s="425"/>
      <c r="F57" s="447"/>
      <c r="G57" s="447"/>
      <c r="U57" s="449"/>
      <c r="V57" s="449"/>
      <c r="W57" s="449"/>
      <c r="X57" s="449"/>
      <c r="Y57" s="451"/>
      <c r="Z57" s="466" t="s">
        <v>1138</v>
      </c>
      <c r="AA57" s="467">
        <v>2</v>
      </c>
      <c r="AB57" s="467">
        <v>1</v>
      </c>
      <c r="AC57" s="467"/>
      <c r="AD57" s="476"/>
      <c r="AE57" s="451"/>
      <c r="AG57" s="446" t="s">
        <v>9</v>
      </c>
      <c r="AH57" s="450">
        <f>IF(クリーチャー!P56="－","0",VLOOKUP(クリーチャー!P56,計算用!$V$6:$X$11,2,FALSE()))+IF(クリーチャー!Q56="－","0",VLOOKUP(クリーチャー!Q56,計算用!$V$6:$X$11,2,FALSE()))+IF(クリーチャー!R56="－","0",VLOOKUP(クリーチャー!R56,計算用!$V$6:$X$11,2,FALSE()))+COUNTIF(クリーチャー!P56:R56,"防御発動")^2</f>
        <v>0</v>
      </c>
      <c r="AI57" s="450">
        <f>IF(クリーチャー!P56="－","0",VLOOKUP(クリーチャー!P56,$J$6:$L$11,3,FALSE()))+IF(クリーチャー!Q56="－","0",VLOOKUP(クリーチャー!Q56,$J$6:$L$11,3,FALSE()))+IF(クリーチャー!R56="－","0",VLOOKUP(クリーチャー!R56,$J$6:$L$11,3,FALSE()))</f>
        <v>0</v>
      </c>
      <c r="AJ57" s="425"/>
      <c r="AK57" s="447"/>
      <c r="AL57" s="447"/>
      <c r="AM57" s="444"/>
      <c r="AN57" s="446" t="s">
        <v>9</v>
      </c>
      <c r="AO57" s="450">
        <f>IF(クリーチャー_2!P56="－","0",VLOOKUP(クリーチャー_2!P56,計算用!$V$6:$X$11,2,FALSE()))+IF(クリーチャー_2!Q56="－","0",VLOOKUP(クリーチャー_2!Q56,計算用!$V$6:$X$11,2,FALSE()))+IF(クリーチャー_2!R56="－","0",VLOOKUP(クリーチャー_2!R56,計算用!$V$6:$X$11,2,FALSE()))+COUNTIF(クリーチャー_2!P56:R56,"防御発動")^2</f>
        <v>0</v>
      </c>
      <c r="AP57" s="450">
        <f>IF(クリーチャー_2!P56="－","0",VLOOKUP(クリーチャー_2!P56,$J$6:$L$11,3,FALSE()))+IF(クリーチャー_2!Q56="－","0",VLOOKUP(クリーチャー_2!Q56,$J$6:$L$11,3,FALSE()))+IF(クリーチャー_2!R56="－","0",VLOOKUP(クリーチャー_2!R56,$J$6:$L$11,3,FALSE()))</f>
        <v>0</v>
      </c>
      <c r="AQ57" s="425"/>
      <c r="AR57" s="447"/>
      <c r="AS57" s="447"/>
      <c r="AT57" s="444"/>
      <c r="AU57" s="446" t="s">
        <v>9</v>
      </c>
      <c r="AV57" s="450">
        <f>IF(クリーチャー_3!P56="－","0",VLOOKUP(クリーチャー_3!P56,計算用!$V$6:$X$11,2,FALSE()))+IF(クリーチャー_3!Q56="－","0",VLOOKUP(クリーチャー_3!Q56,計算用!$V$6:$X$11,2,FALSE()))+IF(クリーチャー_3!R56="－","0",VLOOKUP(クリーチャー_3!R56,計算用!$V$6:$X$11,2,FALSE()))+COUNTIF(クリーチャー_3!P56:R56,"防御発動")^2</f>
        <v>0</v>
      </c>
      <c r="AW57" s="450">
        <f>IF(クリーチャー_3!P56="－","0",VLOOKUP(クリーチャー_3!P56,$J$6:$L$11,3,FALSE()))+IF(クリーチャー_3!Q56="－","0",VLOOKUP(クリーチャー_3!Q56,$J$6:$L$11,3,FALSE()))+IF(クリーチャー_3!R56="－","0",VLOOKUP(クリーチャー_3!R56,$J$6:$L$11,3,FALSE()))</f>
        <v>0</v>
      </c>
      <c r="AX57" s="425"/>
      <c r="AY57" s="447"/>
      <c r="AZ57" s="447"/>
    </row>
    <row r="58" spans="2:52" x14ac:dyDescent="0.15">
      <c r="B58" s="446" t="s">
        <v>10</v>
      </c>
      <c r="C58" s="450" cm="1">
        <f t="array" ref="C58">IF(応用技!E56="－","0",VLOOKUP(応用技!E56,$Z$6:$AD$57,2,FALSE()))+IF(応用技!F56="－","0",VLOOKUP(応用技!F56,Z6:$AD$57,2,FALSE()))+IF(応用技!G56="－","0",VLOOKUP(応用技!G56,$Z$6:$AD$57,2,FALSE()))+IF(応用技!E57="－","0",VLOOKUP(応用技!E57,$Z$6:$AD$57,2,FALSE()))+IF(応用技!F57="－","0",VLOOKUP(応用技!F57,$Z$6:$AD$57,2,FALSE()))+IF(応用技!G57="－","0",VLOOKUP(応用技!G57,$Z$6:$AD$57,2,FALSE()))+_xlfn.IFS(F58&gt;=2,1+2*(F58-1),F58=1,1,F58=0,0)+_xlfn.IFS(G58&gt;=2,1+2*(G58-1),G58=1,1,G58=0,0)</f>
        <v>0</v>
      </c>
      <c r="D58" s="450">
        <f>IF(応用技!E56="－","0",VLOOKUP(応用技!E56,$Z$6:$AD$57,3,FALSE()))+IF(応用技!F56="－","0",VLOOKUP(応用技!F56,$Z$6:$AD$57,3,FALSE()))+IF(応用技!G56="－","0",VLOOKUP(応用技!G56,$Z$6:$AD$57,3,FALSE()))+IF(応用技!E57="－","0",VLOOKUP(応用技!E57,$Z$6:$AD$57,3,FALSE()))+IF(応用技!F57="－","0",VLOOKUP(応用技!F57,$Z$6:$AD$57,3,FALSE()))+IF(応用技!G57="－","0",VLOOKUP(応用技!G57,$Z$6:$AD$57,3,FALSE()))</f>
        <v>0</v>
      </c>
      <c r="E58" s="450">
        <f>IF(応用技!E56="－","0",VLOOKUP(応用技!E56,$Z$6:$AD$57,4,FALSE()))
+IF(応用技!F56="－","0",VLOOKUP(応用技!F56,$Z$6:$AD$57,4,FALSE()))
+IF(応用技!G56="－","0",VLOOKUP(応用技!G56,$Z$6:$AD$57,4,FALSE()))
+IF(応用技!E57="－","0",VLOOKUP(応用技!E57,$Z$6:$AD$57,4,FALSE()))
+IF(応用技!F57="－","0",VLOOKUP(応用技!F57,$Z$6:$AD$57,4,FALSE()))
+IF(応用技!G57="－","0",VLOOKUP(応用技!G57,$Z$6:$AD$57,4,FALSE()))</f>
        <v>0</v>
      </c>
      <c r="F58" s="447">
        <f>COUNTIFS(応用技!E56:G57,"強化*")</f>
        <v>0</v>
      </c>
      <c r="G58" s="447">
        <f>COUNTIFS(応用技!E56:G57,"減衰*")</f>
        <v>0</v>
      </c>
      <c r="U58" s="449"/>
      <c r="V58" s="449"/>
      <c r="W58" s="449"/>
      <c r="X58" s="449"/>
      <c r="Y58" s="451"/>
      <c r="Z58" s="451"/>
      <c r="AA58" s="451"/>
      <c r="AB58" s="451"/>
      <c r="AC58" s="451"/>
      <c r="AD58" s="451"/>
      <c r="AE58" s="451"/>
      <c r="AG58" s="446" t="s">
        <v>10</v>
      </c>
      <c r="AH58" s="450" cm="1">
        <f t="array" ref="AH58">IF(クリーチャー!S56="－","0",VLOOKUP(クリーチャー!S56,$Z$6:$AD$57,2,FALSE()))
+IF(クリーチャー!T56="－","0",VLOOKUP(クリーチャー!T56,Z6:$AD$57,2,FALSE()))
+IF(クリーチャー!U56="－","0",VLOOKUP(クリーチャー!U56,$Z$6:$AD$57,2,FALSE()))
+IF(クリーチャー!S57="－","0",VLOOKUP(クリーチャー!S57,$Z$6:$AD$57,2,FALSE()))
+IF(クリーチャー!T57="－","0",VLOOKUP(クリーチャー!T57,$Z$6:$AD$57,2,FALSE()))
+IF(クリーチャー!U57="－","0",VLOOKUP(クリーチャー!U57,$Z$6:$AD$57,2,FALSE()))
+_xlfn.IFS(AK58&gt;=2,1+2*(AK58-1),AK58=1,1,AK58=0,0)+_xlfn.IFS(AL58&gt;=2,1+2*(AL58-1),AL58=1,1,AL58=0,0)</f>
        <v>0</v>
      </c>
      <c r="AI58" s="450">
        <f>IF(クリーチャー!S56="－","0",VLOOKUP(クリーチャー!S56,$Z$6:$AD$57,3,FALSE()))
+IF(クリーチャー!T56="－","0",VLOOKUP(クリーチャー!T56,$Z$6:$AD$57,3,FALSE()))
+IF(クリーチャー!U56="－","0",VLOOKUP(クリーチャー!U56,$Z$6:$AD$57,3,FALSE()))
+IF(クリーチャー!S57="－","0",VLOOKUP(クリーチャー!S57,$Z$6:$AD$57,3,FALSE()))
+IF(クリーチャー!T57="－","0",VLOOKUP(クリーチャー!T57,$Z$6:$AD$57,3,FALSE()))
+IF(クリーチャー!U57="－","0",VLOOKUP(クリーチャー!U57,$Z$6:$AD$57,3,FALSE()))</f>
        <v>0</v>
      </c>
      <c r="AJ58" s="450">
        <f>IF(クリーチャー!S56="－","0",VLOOKUP(クリーチャー!S56,$Z$6:$AD$57,4,FALSE()))
+IF(クリーチャー!T56="－","0",VLOOKUP(クリーチャー!T56,$Z$6:$AD$57,4,FALSE()))
+IF(クリーチャー!U56="－","0",VLOOKUP(クリーチャー!U56,$Z$6:$AD$57,4,FALSE()))
+IF(クリーチャー!S57="－","0",VLOOKUP(クリーチャー!S57,$Z$6:$AD$57,4,FALSE()))
+IF(クリーチャー!T57="－","0",VLOOKUP(クリーチャー!T57,$Z$6:$AD$57,4,FALSE()))
+IF(クリーチャー!U57="－","0",VLOOKUP(クリーチャー!U57,$Z$6:$AD$57,4,FALSE()))</f>
        <v>0</v>
      </c>
      <c r="AK58" s="447">
        <f>COUNTIFS(クリーチャー!S56:U57,"強化*")</f>
        <v>0</v>
      </c>
      <c r="AL58" s="447">
        <f>COUNTIFS(クリーチャー!S56:U57,"減衰*")</f>
        <v>0</v>
      </c>
      <c r="AM58" s="444"/>
      <c r="AN58" s="446" t="s">
        <v>10</v>
      </c>
      <c r="AO58" s="450" cm="1">
        <f t="array" ref="AO58">IF(クリーチャー_2!S56="－","0",VLOOKUP(クリーチャー_2!S56,$Z$6:$AD$57,2,FALSE()))+IF(クリーチャー_2!T56="－","0",VLOOKUP(クリーチャー_2!T56,Z6:$AD$57,2,FALSE()))+IF(クリーチャー_2!U56="－","0",VLOOKUP(クリーチャー_2!U56,$Z$6:$AD$57,2,FALSE()))+IF(クリーチャー_2!S57="－","0",VLOOKUP(クリーチャー_2!S57,$Z$6:$AD$57,2,FALSE()))+IF(クリーチャー_2!T57="－","0",VLOOKUP(クリーチャー_2!T57,$Z$6:$AD$57,2,FALSE()))+IF(クリーチャー_2!U57="－","0",VLOOKUP(クリーチャー_2!U57,$Z$6:$AD$57,2,FALSE()))+_xlfn.IFS(AR58&gt;=2,1+2*(AR58-1),AR58=1,1,AR58=0,0)+_xlfn.IFS(AS58&gt;=2,1+2*(AS58-1),AS58=1,1,AS58=0,0)</f>
        <v>0</v>
      </c>
      <c r="AP58" s="450">
        <f>IF(クリーチャー_2!S56="－","0",VLOOKUP(クリーチャー_2!S56,$Z$6:$AD$57,3,FALSE()))+IF(クリーチャー_2!T56="－","0",VLOOKUP(クリーチャー_2!T56,$Z$6:$AD$57,3,FALSE()))+IF(クリーチャー_2!U56="－","0",VLOOKUP(クリーチャー_2!U56,$Z$6:$AD$57,3,FALSE()))+IF(クリーチャー_2!S57="－","0",VLOOKUP(クリーチャー_2!S57,$Z$6:$AD$57,3,FALSE()))+IF(クリーチャー_2!T57="－","0",VLOOKUP(クリーチャー_2!T57,$Z$6:$AD$57,3,FALSE()))+IF(クリーチャー_2!U57="－","0",VLOOKUP(クリーチャー_2!U57,$Z$6:$AD$57,3,FALSE()))</f>
        <v>0</v>
      </c>
      <c r="AQ58" s="450">
        <f>IF(クリーチャー_2!S56="－","0",VLOOKUP(クリーチャー_2!S56,$Z$6:$AD$57,4,FALSE()))+IF(クリーチャー_2!T56="－","0",VLOOKUP(クリーチャー_2!T56,$Z$6:$AD$57,4,FALSE()))+IF(クリーチャー_2!U56="－","0",VLOOKUP(クリーチャー_2!U56,$Z$6:$AD$57,4,FALSE()))+IF(クリーチャー_2!S57="－","0",VLOOKUP(クリーチャー_2!S57,$Z$6:$AD$57,4,FALSE()))+IF(クリーチャー_2!T57="－","0",VLOOKUP(クリーチャー_2!T57,$Z$6:$AD$57,4,FALSE()))+IF(クリーチャー_2!U57="－","0",VLOOKUP(クリーチャー_2!U57,$Z$6:$AD$57,4,FALSE()))</f>
        <v>0</v>
      </c>
      <c r="AR58" s="447">
        <f>COUNTIFS(クリーチャー_2!S56:U57,"強化*")</f>
        <v>0</v>
      </c>
      <c r="AS58" s="447">
        <f>COUNTIFS(クリーチャー_2!S56:U57,"減衰*")</f>
        <v>0</v>
      </c>
      <c r="AT58" s="444"/>
      <c r="AU58" s="446" t="s">
        <v>10</v>
      </c>
      <c r="AV58" s="450" cm="1">
        <f t="array" ref="AV58">IF(クリーチャー_3!S56="－","0",VLOOKUP(クリーチャー_3!S56,$Z$6:$AD$57,2,FALSE()))+IF(クリーチャー_3!T56="－","0",VLOOKUP(クリーチャー_3!T56,Z6:$AD$57,2,FALSE()))+IF(クリーチャー_3!U56="－","0",VLOOKUP(クリーチャー_3!U56,$Z$6:$AD$57,2,FALSE()))+IF(クリーチャー_3!S57="－","0",VLOOKUP(クリーチャー_3!S57,$Z$6:$AD$57,2,FALSE()))+IF(クリーチャー_3!T57="－","0",VLOOKUP(クリーチャー_3!T57,$Z$6:$AD$57,2,FALSE()))+IF(クリーチャー_3!U57="－","0",VLOOKUP(クリーチャー_3!U57,$Z$6:$AD$57,2,FALSE()))+_xlfn.IFS(AY58&gt;=2,1+2*(AY58-1),AY58=1,1,AY58=0,0)+_xlfn.IFS(AZ58&gt;=2,1+2*(AZ58-1),AZ58=1,1,AZ58=0,0)</f>
        <v>0</v>
      </c>
      <c r="AW58" s="450">
        <f>IF(クリーチャー_3!S56="－","0",VLOOKUP(クリーチャー_3!S56,$Z$6:$AD$57,3,FALSE()))+IF(クリーチャー_3!T56="－","0",VLOOKUP(クリーチャー_3!T56,$Z$6:$AD$57,3,FALSE()))+IF(クリーチャー_3!U56="－","0",VLOOKUP(クリーチャー_3!U56,$Z$6:$AD$57,3,FALSE()))+IF(クリーチャー_3!S57="－","0",VLOOKUP(クリーチャー_3!S57,$Z$6:$AD$57,3,FALSE()))+IF(クリーチャー_3!T57="－","0",VLOOKUP(クリーチャー_3!T57,$Z$6:$AD$57,3,FALSE()))+IF(クリーチャー_3!U57="－","0",VLOOKUP(クリーチャー_3!U57,$Z$6:$AD$57,3,FALSE()))</f>
        <v>0</v>
      </c>
      <c r="AX58" s="450">
        <f>IF(クリーチャー_3!S56="－","0",VLOOKUP(クリーチャー_3!S56,$Z$6:$AD$57,4,FALSE()))+IF(クリーチャー_3!T56="－","0",VLOOKUP(クリーチャー_3!T56,$Z$6:$AD$57,4,FALSE()))+IF(クリーチャー_3!U56="－","0",VLOOKUP(クリーチャー_3!U56,$Z$6:$AD$57,4,FALSE()))+IF(クリーチャー_3!S57="－","0",VLOOKUP(クリーチャー_3!S57,$Z$6:$AD$57,4,FALSE()))+IF(クリーチャー_3!T57="－","0",VLOOKUP(クリーチャー_3!T57,$Z$6:$AD$57,4,FALSE()))+IF(クリーチャー_3!U57="－","0",VLOOKUP(クリーチャー_3!U57,$Z$6:$AD$57,4,FALSE()))</f>
        <v>0</v>
      </c>
      <c r="AY58" s="447">
        <f>COUNTIFS(クリーチャー_3!S56:U57,"強化*")</f>
        <v>0</v>
      </c>
      <c r="AZ58" s="447">
        <f>COUNTIFS(クリーチャー_3!S56:U57,"減衰*")</f>
        <v>0</v>
      </c>
    </row>
    <row r="59" spans="2:52" x14ac:dyDescent="0.15">
      <c r="B59" s="446" t="s">
        <v>740</v>
      </c>
      <c r="C59" s="450">
        <f>IF(応用技!H56="－","0",VLOOKUP(応用技!H56,$V$15:$X$28,2,FALSE()))+IF(応用技!I56="－","0",VLOOKUP(応用技!I56,$V$15:$X$28,2,FALSE()))+IF(応用技!J56="－","0",VLOOKUP(応用技!J56,$V$15:$X$28,2,FALSE()))+IF(応用技!H57="－","0",VLOOKUP(応用技!H57,$V$15:$X$28,2,FALSE()))+IF(応用技!I57="－","0",VLOOKUP(応用技!I57,$V$15:$X$28,2,FALSE()))+IF(応用技!J57="－","0",VLOOKUP(応用技!J57,$V$15:$X$28,2,FALSE()))</f>
        <v>0</v>
      </c>
      <c r="D59" s="450">
        <f>IF(応用技!H56="－","0",VLOOKUP(応用技!H56,$V$15:$X$28,3,FALSE()))+IF(応用技!I56="－","0",VLOOKUP(応用技!I56,$V$15:$X$28,3,FALSE()))+IF(応用技!J56="－","0",VLOOKUP(応用技!J56,$V$15:$X$28,3,FALSE()))+IF(応用技!H57="－","0",VLOOKUP(応用技!H57,$V$15:$X$28,3,FALSE()))+IF(応用技!I57="－","0",VLOOKUP(応用技!I57,$V$15:$X$28,3,FALSE()))+IF(応用技!J57="－","0",VLOOKUP(応用技!J57,$V$15:$X$28,3,FALSE()))</f>
        <v>0</v>
      </c>
      <c r="E59" s="450"/>
      <c r="F59" s="447"/>
      <c r="G59" s="447"/>
      <c r="AG59" s="446" t="s">
        <v>740</v>
      </c>
      <c r="AH59" s="450">
        <f>IF(クリーチャー!V56="－","0",VLOOKUP(クリーチャー!V56,$V$15:$X$28,2,FALSE()))
+IF(クリーチャー!W56="－","0",VLOOKUP(クリーチャー!W56,$V$15:$X$28,2,FALSE()))
+IF(クリーチャー!X56="－","0",VLOOKUP(クリーチャー!X56,$V$15:$X$28,2,FALSE()))
+IF(クリーチャー!V57="－","0",VLOOKUP(クリーチャー!V57,$V$15:$X$28,2,FALSE()))
+IF(クリーチャー!W57="－","0",VLOOKUP(クリーチャー!W57,$V$15:$X$28,2,FALSE()))
+IF(クリーチャー!X57="－","0",VLOOKUP(クリーチャー!X57,$V$15:$X$28,2,FALSE()))</f>
        <v>0</v>
      </c>
      <c r="AI59" s="450">
        <f>IF(クリーチャー!V56="－","0",VLOOKUP(クリーチャー!V56,$V$15:$X$28,3,FALSE()))
+IF(クリーチャー!W56="－","0",VLOOKUP(クリーチャー!W56,$V$15:$X$28,3,FALSE()))
+IF(クリーチャー!X56="－","0",VLOOKUP(クリーチャー!X56,$V$15:$X$28,3,FALSE()))
+IF(クリーチャー!V57="－","0",VLOOKUP(クリーチャー!V57,$V$15:$X$28,3,FALSE()))
+IF(クリーチャー!W57="－","0",VLOOKUP(クリーチャー!W57,$V$15:$X$28,3,FALSE()))
+IF(クリーチャー!X57="－","0",VLOOKUP(クリーチャー!X57,$V$15:$X$28,3,FALSE()))</f>
        <v>0</v>
      </c>
      <c r="AJ59" s="450"/>
      <c r="AK59" s="447"/>
      <c r="AL59" s="447"/>
      <c r="AM59" s="444"/>
      <c r="AN59" s="446" t="s">
        <v>740</v>
      </c>
      <c r="AO59" s="450">
        <f>IF(クリーチャー_2!V56="－","0",VLOOKUP(クリーチャー_2!V56,$V$15:$X$28,2,FALSE()))+IF(クリーチャー_2!W56="－","0",VLOOKUP(クリーチャー_2!W56,$V$15:$X$28,2,FALSE()))+IF(クリーチャー_2!X56="－","0",VLOOKUP(クリーチャー_2!X56,$V$15:$X$28,2,FALSE()))+IF(クリーチャー_2!V57="－","0",VLOOKUP(クリーチャー_2!V57,$V$15:$X$28,2,FALSE()))+IF(クリーチャー_2!W57="－","0",VLOOKUP(クリーチャー_2!W57,$V$15:$X$28,2,FALSE()))+IF(クリーチャー_2!X57="－","0",VLOOKUP(クリーチャー_2!X57,$V$15:$X$28,2,FALSE()))</f>
        <v>0</v>
      </c>
      <c r="AP59" s="450">
        <f>IF(クリーチャー_2!V56="－","0",VLOOKUP(クリーチャー_2!V56,$V$15:$X$28,3,FALSE()))+IF(クリーチャー_2!W56="－","0",VLOOKUP(クリーチャー_2!W56,$V$15:$X$28,3,FALSE()))+IF(クリーチャー_2!X56="－","0",VLOOKUP(クリーチャー_2!X56,$V$15:$X$28,3,FALSE()))+IF(クリーチャー_2!V57="－","0",VLOOKUP(クリーチャー_2!V57,$V$15:$X$28,3,FALSE()))+IF(クリーチャー_2!W57="－","0",VLOOKUP(クリーチャー_2!W57,$V$15:$X$28,3,FALSE()))+IF(クリーチャー_2!X57="－","0",VLOOKUP(クリーチャー_2!X57,$V$15:$X$28,3,FALSE()))</f>
        <v>0</v>
      </c>
      <c r="AQ59" s="450"/>
      <c r="AR59" s="447"/>
      <c r="AS59" s="447"/>
      <c r="AT59" s="444"/>
      <c r="AU59" s="446" t="s">
        <v>740</v>
      </c>
      <c r="AV59" s="450">
        <f>IF(クリーチャー_3!V56="－","0",VLOOKUP(クリーチャー_3!V56,$V$15:$X$28,2,FALSE()))+IF(クリーチャー_3!W56="－","0",VLOOKUP(クリーチャー_3!W56,$V$15:$X$28,2,FALSE()))+IF(クリーチャー_3!X56="－","0",VLOOKUP(クリーチャー_3!X56,$V$15:$X$28,2,FALSE()))+IF(クリーチャー_3!V57="－","0",VLOOKUP(クリーチャー_3!V57,$V$15:$X$28,2,FALSE()))+IF(クリーチャー_3!W57="－","0",VLOOKUP(クリーチャー_3!W57,$V$15:$X$28,2,FALSE()))+IF(クリーチャー_3!X57="－","0",VLOOKUP(クリーチャー_3!X57,$V$15:$X$28,2,FALSE()))</f>
        <v>0</v>
      </c>
      <c r="AW59" s="450">
        <f>IF(クリーチャー_3!V56="－","0",VLOOKUP(クリーチャー_3!V56,$V$15:$X$28,3,FALSE()))+IF(クリーチャー_3!W56="－","0",VLOOKUP(クリーチャー_3!W56,$V$15:$X$28,3,FALSE()))+IF(クリーチャー_3!X56="－","0",VLOOKUP(クリーチャー_3!X56,$V$15:$X$28,3,FALSE()))+IF(クリーチャー_3!V57="－","0",VLOOKUP(クリーチャー_3!V57,$V$15:$X$28,3,FALSE()))+IF(クリーチャー_3!W57="－","0",VLOOKUP(クリーチャー_3!W57,$V$15:$X$28,3,FALSE()))+IF(クリーチャー_3!X57="－","0",VLOOKUP(クリーチャー_3!X57,$V$15:$X$28,3,FALSE()))</f>
        <v>0</v>
      </c>
      <c r="AX59" s="450"/>
      <c r="AY59" s="447"/>
      <c r="AZ59" s="447"/>
    </row>
    <row r="60" spans="2:52" x14ac:dyDescent="0.15">
      <c r="B60" s="446" t="s">
        <v>743</v>
      </c>
      <c r="C60" s="450">
        <f t="array" ref="C60">_xlfn.IFS(COUNTIF(応用技!E56:G57,"創造")&gt;=1,SUM(C57:C59)+1&amp;"～"&amp;SUM(C57:C59)+10,COUNTIF(応用技!E56:G57,"限定*")&gt;=1,"※",COUNTIF(応用技!E56:G57,"影響無効")&gt;=1,"※",TRUE(),SUM(C57:C59))</f>
        <v>0</v>
      </c>
      <c r="D60" s="450">
        <f>SUM(D57:D59)</f>
        <v>0</v>
      </c>
      <c r="E60" s="450">
        <f>SUM(E57:E59)</f>
        <v>0</v>
      </c>
      <c r="F60" s="447"/>
      <c r="G60" s="447"/>
      <c r="AG60" s="446" t="s">
        <v>743</v>
      </c>
      <c r="AH60" s="450">
        <f t="array" ref="AH60">_xlfn.IFS(COUNTIF(クリーチャー!S56:U57,"創造")&gt;=1,SUM(AH57:AH59)+1&amp;"～"&amp;SUM(AH57:AH59)+10,COUNTIF(クリーチャー!S56:U57,"限定*")&gt;=1,"※",COUNTIF(クリーチャー!S56:U57,"影響無効")&gt;=1,"※",TRUE(),SUM(AH57:AH59))</f>
        <v>0</v>
      </c>
      <c r="AI60" s="450">
        <f>SUM(AI57:AI59)</f>
        <v>0</v>
      </c>
      <c r="AJ60" s="450">
        <f>SUM(AJ57:AJ59)</f>
        <v>0</v>
      </c>
      <c r="AK60" s="447"/>
      <c r="AL60" s="447"/>
      <c r="AM60" s="444"/>
      <c r="AN60" s="446" t="s">
        <v>743</v>
      </c>
      <c r="AO60" s="450">
        <f t="array" ref="AO60">_xlfn.IFS(COUNTIF(クリーチャー_2!S56:U57,"創造")&gt;=1,SUM(AO57:AO59)+1&amp;"～"&amp;SUM(AO57:AO59)+10,COUNTIF(クリーチャー_2!S56:U57,"限定*")&gt;=1,"※",COUNTIF(クリーチャー_2!S56:U57,"影響無効")&gt;=1,"※",TRUE(),SUM(AO57:AO59))</f>
        <v>0</v>
      </c>
      <c r="AP60" s="450">
        <f>SUM(AP57:AP59)</f>
        <v>0</v>
      </c>
      <c r="AQ60" s="450">
        <f>SUM(AQ57:AQ59)</f>
        <v>0</v>
      </c>
      <c r="AR60" s="447"/>
      <c r="AS60" s="447"/>
      <c r="AT60" s="444"/>
      <c r="AU60" s="446" t="s">
        <v>743</v>
      </c>
      <c r="AV60" s="450">
        <f t="array" ref="AV60">_xlfn.IFS(COUNTIF(クリーチャー_3!S56:U57,"創造")&gt;=1,SUM(AV57:AV59)+1&amp;"～"&amp;SUM(AV57:AV59)+10,COUNTIF(クリーチャー_3!S56:U57,"限定*")&gt;=1,"※",COUNTIF(クリーチャー_3!S56:U57,"影響無効")&gt;=1,"※",TRUE(),SUM(AV57:AV59))</f>
        <v>0</v>
      </c>
      <c r="AW60" s="450">
        <f>SUM(AW57:AW59)</f>
        <v>0</v>
      </c>
      <c r="AX60" s="450">
        <f>SUM(AX57:AX59)</f>
        <v>0</v>
      </c>
      <c r="AY60" s="447"/>
      <c r="AZ60" s="447"/>
    </row>
    <row r="62" spans="2:52" x14ac:dyDescent="0.15">
      <c r="B62" s="469" t="s">
        <v>758</v>
      </c>
      <c r="C62" s="470" t="s">
        <v>623</v>
      </c>
      <c r="D62" s="470" t="s">
        <v>449</v>
      </c>
      <c r="E62" s="470" t="s">
        <v>735</v>
      </c>
      <c r="F62" s="471" t="s">
        <v>736</v>
      </c>
      <c r="G62" s="470" t="s">
        <v>737</v>
      </c>
    </row>
    <row r="63" spans="2:52" x14ac:dyDescent="0.15">
      <c r="B63" s="470" t="s">
        <v>9</v>
      </c>
      <c r="C63" s="472">
        <f>IF(応用技!B67="－","0",VLOOKUP(応用技!B67,計算用!$J$6:$L$11,2,FALSE()))+IF(応用技!C67="－","0",VLOOKUP(応用技!C67,計算用!$J$6:$L$11,2,FALSE()))+IF(応用技!D67="－","0",VLOOKUP(応用技!D67,計算用!$J$6:$L$11,2,FALSE()))+COUNTIF(応用技!B67:D67,"防御発動")^2</f>
        <v>0</v>
      </c>
      <c r="D63" s="472">
        <f>IF(応用技!B67="－","0",VLOOKUP(応用技!B67,$J$6:$L$11,3,FALSE()))+IF(応用技!C67="－","0",VLOOKUP(応用技!C67,$J$6:$L$11,3,FALSE()))+IF(応用技!D67="－","0",VLOOKUP(応用技!D67,$J$6:$L$11,3,FALSE()))</f>
        <v>0</v>
      </c>
      <c r="E63" s="473"/>
      <c r="F63" s="471"/>
      <c r="G63" s="471"/>
    </row>
    <row r="64" spans="2:52" x14ac:dyDescent="0.15">
      <c r="B64" s="470" t="s">
        <v>10</v>
      </c>
      <c r="C64" s="472" cm="1">
        <f t="array" ref="C64">IF(応用技!E67="－","0",VLOOKUP(応用技!E67,$N$6:$R$49,2,FALSE()))+IF(応用技!F67="－","0",VLOOKUP(応用技!F67,N6:$R$49,2,FALSE()))+IF(応用技!G67="－","0",VLOOKUP(応用技!G67,$N$6:$R$49,2,FALSE()))+IF(応用技!E68="－","0",VLOOKUP(応用技!E68,$N$6:$R$49,2,FALSE()))+IF(応用技!F68="－","0",VLOOKUP(応用技!F68,$N$6:$R$49,2,FALSE()))+IF(応用技!G68="－","0",VLOOKUP(応用技!G68,$N$6:$R$49,2,FALSE()))+_xlfn.IFS(F64&gt;=2,1+2*(F64-1),F64=1,1,F64=0,0)+_xlfn.IFS(G64&gt;=2,1+2*(G64-1),G64=1,1,G64=0,0)</f>
        <v>0</v>
      </c>
      <c r="D64" s="472">
        <f>IF(応用技!E67="－","0",VLOOKUP(応用技!E67,$N$6:$R$49,3,FALSE()))+IF(応用技!F67="－","0",VLOOKUP(応用技!F67,$N$6:$R$49,3,FALSE()))+IF(応用技!G67="－","0",VLOOKUP(応用技!G67,$N$6:$R$49,3,FALSE()))+IF(応用技!E68="－","0",VLOOKUP(応用技!E68,$N$6:$R$49,3,FALSE()))+IF(応用技!F68="－","0",VLOOKUP(応用技!F68,$N$6:$R$49,3,FALSE()))+IF(応用技!G68="－","0",VLOOKUP(応用技!G68,$N$6:$R$49,3,FALSE()))</f>
        <v>0</v>
      </c>
      <c r="E64" s="472">
        <f>IF(応用技!E67="－","0",VLOOKUP(応用技!E67,$N$6:$R$49,4,FALSE()))+IF(応用技!F67="－","0",VLOOKUP(応用技!F67,$N$6:$R$49,4,FALSE()))+IF(応用技!G67="－","0",VLOOKUP(応用技!G67,$N$6:$R$49,4,FALSE()))+IF(応用技!E68="－","0",VLOOKUP(応用技!E68,$N$6:$R$49,4,FALSE()))+IF(応用技!F68="－","0",VLOOKUP(応用技!F68,$N$6:$R$49,4,FALSE()))+IF(応用技!G68="－","0",VLOOKUP(応用技!G68,$N$6:$R$49,4,FALSE()))</f>
        <v>0</v>
      </c>
      <c r="F64" s="471">
        <f>COUNTIFS(応用技!E67:G68,"強化*")</f>
        <v>0</v>
      </c>
      <c r="G64" s="471">
        <f>COUNTIFS(応用技!E67:G68,"減衰*")</f>
        <v>0</v>
      </c>
    </row>
    <row r="65" spans="2:7" x14ac:dyDescent="0.15">
      <c r="B65" s="470" t="s">
        <v>740</v>
      </c>
      <c r="C65" s="472">
        <f>IF(応用技!H67="－","0",VLOOKUP(応用技!H67,$J$15:$L$27,2,FALSE()))+IF(応用技!I67="－","0",VLOOKUP(応用技!I67,$J$15:$L$27,2,FALSE()))+IF(応用技!J67="－","0",VLOOKUP(応用技!J67,$J$15:$L$27,2,FALSE()))+IF(応用技!H68="－","0",VLOOKUP(応用技!H68,$J$15:$L$27,2,FALSE()))+IF(応用技!I68="－","0",VLOOKUP(応用技!I68,$J$15:$L$27,2,FALSE()))+IF(応用技!J68="－","0",VLOOKUP(応用技!J68,$J$15:$L$27,2,FALSE()))</f>
        <v>0</v>
      </c>
      <c r="D65" s="472">
        <f>IF(応用技!H67="－","0",VLOOKUP(応用技!H67,$J$15:$L$27,3,FALSE()))+IF(応用技!I67="－","0",VLOOKUP(応用技!I67,$J$15:$L$27,3,FALSE()))+IF(応用技!J67="－","0",VLOOKUP(応用技!J67,$J$15:$L$27,3,FALSE()))+IF(応用技!H68="－","0",VLOOKUP(応用技!H68,$J$15:$L$27,3,FALSE()))+IF(応用技!I68="－","0",VLOOKUP(応用技!I68,$J$15:$L$27,3,FALSE()))+IF(応用技!J68="－","0",VLOOKUP(応用技!J68,$J$15:$L$27,3,FALSE()))</f>
        <v>0</v>
      </c>
      <c r="E65" s="472"/>
      <c r="F65" s="471"/>
      <c r="G65" s="471"/>
    </row>
    <row r="66" spans="2:7" x14ac:dyDescent="0.15">
      <c r="B66" s="470" t="s">
        <v>743</v>
      </c>
      <c r="C66" s="472">
        <f t="array" ref="C66">_xlfn.IFS(COUNTIF(応用技!E67:G68,"創造")&gt;=1,SUM(C63:C65)+1&amp;"～"&amp;SUM(C63:C65)+10,COUNTIF(応用技!E67:G68,"限定*")&gt;=1,"※",COUNTIF(応用技!E67:G68,"影響無効")&gt;=1,"※",TRUE(),SUM(C63:C65))</f>
        <v>0</v>
      </c>
      <c r="D66" s="472">
        <f>SUM(D63:D65)</f>
        <v>0</v>
      </c>
      <c r="E66" s="472">
        <f>SUM(E63:E65)</f>
        <v>0</v>
      </c>
      <c r="F66" s="471"/>
      <c r="G66" s="471"/>
    </row>
    <row r="67" spans="2:7" x14ac:dyDescent="0.15">
      <c r="B67" s="451"/>
      <c r="C67" s="451"/>
      <c r="D67" s="451"/>
      <c r="E67" s="451"/>
      <c r="F67" s="451"/>
      <c r="G67" s="451"/>
    </row>
    <row r="68" spans="2:7" x14ac:dyDescent="0.15">
      <c r="B68" s="469" t="s">
        <v>759</v>
      </c>
      <c r="C68" s="470" t="s">
        <v>623</v>
      </c>
      <c r="D68" s="470" t="s">
        <v>449</v>
      </c>
      <c r="E68" s="470" t="s">
        <v>735</v>
      </c>
      <c r="F68" s="471" t="s">
        <v>736</v>
      </c>
      <c r="G68" s="470" t="s">
        <v>737</v>
      </c>
    </row>
    <row r="69" spans="2:7" x14ac:dyDescent="0.15">
      <c r="B69" s="470" t="s">
        <v>9</v>
      </c>
      <c r="C69" s="472">
        <f>IF(応用技!B67="－","0",VLOOKUP(応用技!B67,計算用!$V$6:$X$11,2,FALSE()))+IF(応用技!C67="－","0",VLOOKUP(応用技!C67,計算用!$V$6:$X$11,2,FALSE()))+IF(応用技!D67="－","0",VLOOKUP(応用技!D67,計算用!$V$6:$X$11,2,FALSE()))+COUNTIF(応用技!B67:D67,"防御発動")^2</f>
        <v>0</v>
      </c>
      <c r="D69" s="472">
        <f>IF(応用技!B67="－","0",VLOOKUP(応用技!B67,$J$6:$L$11,3,FALSE()))+IF(応用技!C67="－","0",VLOOKUP(応用技!C67,$J$6:$L$11,3,FALSE()))+IF(応用技!D67="－","0",VLOOKUP(応用技!D67,$J$6:$L$11,3,FALSE()))</f>
        <v>0</v>
      </c>
      <c r="E69" s="473"/>
      <c r="F69" s="471"/>
      <c r="G69" s="471"/>
    </row>
    <row r="70" spans="2:7" x14ac:dyDescent="0.15">
      <c r="B70" s="470" t="s">
        <v>10</v>
      </c>
      <c r="C70" s="472" cm="1">
        <f t="array" ref="C70">IF(応用技!E67="－","0",VLOOKUP(応用技!E67,$Z$6:$AD$57,2,FALSE()))+IF(応用技!F67="－","0",VLOOKUP(応用技!F67,Z6:$AD$57,2,FALSE()))+IF(応用技!G67="－","0",VLOOKUP(応用技!G67,$Z$6:$AD$57,2,FALSE()))+IF(応用技!E68="－","0",VLOOKUP(応用技!E68,$Z$6:$AD$57,2,FALSE()))+IF(応用技!F68="－","0",VLOOKUP(応用技!F68,$Z$6:$AD$57,2,FALSE()))+IF(応用技!G68="－","0",VLOOKUP(応用技!G68,$Z$6:$AD$57,2,FALSE()))+_xlfn.IFS(F70&gt;=2,1+2*(F70-1),F70=1,1,F70=0,0)+_xlfn.IFS(G70&gt;=2,1+2*(G70-1),G70=1,1,G70=0,0)</f>
        <v>0</v>
      </c>
      <c r="D70" s="472">
        <f>IF(応用技!E67="－","0",VLOOKUP(応用技!E67,$Z$6:$AD$57,3,FALSE()))+IF(応用技!F67="－","0",VLOOKUP(応用技!F67,$Z$6:$AD$57,3,FALSE()))+IF(応用技!G67="－","0",VLOOKUP(応用技!G67,$Z$6:$AD$57,3,FALSE()))+IF(応用技!E68="－","0",VLOOKUP(応用技!E68,$Z$6:$AD$57,3,FALSE()))+IF(応用技!F68="－","0",VLOOKUP(応用技!F68,$Z$6:$AD$57,3,FALSE()))+IF(応用技!G68="－","0",VLOOKUP(応用技!G68,$Z$6:$AD$57,3,FALSE()))</f>
        <v>0</v>
      </c>
      <c r="E70" s="472">
        <f>IF(応用技!E67="－","0",VLOOKUP(応用技!E67,$Z$6:$AD$57,4,FALSE()))
+IF(応用技!F67="－","0",VLOOKUP(応用技!F67,$Z$6:$AD$57,4,FALSE()))
+IF(応用技!G67="－","0",VLOOKUP(応用技!G67,$Z$6:$AD$57,4,FALSE()))
+IF(応用技!E68="－","0",VLOOKUP(応用技!E68,$Z$6:$AD$57,4,FALSE()))
+IF(応用技!F68="－","0",VLOOKUP(応用技!F68,$Z$6:$AD$57,4,FALSE()))
+IF(応用技!G68="－","0",VLOOKUP(応用技!G68,$Z$6:$AD$57,4,FALSE()))</f>
        <v>0</v>
      </c>
      <c r="F70" s="471">
        <f>COUNTIFS(応用技!E67:G68,"強化*")</f>
        <v>0</v>
      </c>
      <c r="G70" s="471">
        <f>COUNTIFS(応用技!E67:G68,"減衰*")</f>
        <v>0</v>
      </c>
    </row>
    <row r="71" spans="2:7" x14ac:dyDescent="0.15">
      <c r="B71" s="470" t="s">
        <v>740</v>
      </c>
      <c r="C71" s="472">
        <f>IF(応用技!H67="－","0",VLOOKUP(応用技!H67,$V$15:$X$28,2,FALSE()))+IF(応用技!I67="－","0",VLOOKUP(応用技!I67,$V$15:$X$28,2,FALSE()))+IF(応用技!J67="－","0",VLOOKUP(応用技!J67,$V$15:$X$28,2,FALSE()))+IF(応用技!H68="－","0",VLOOKUP(応用技!H68,$V$15:$X$28,2,FALSE()))+IF(応用技!I68="－","0",VLOOKUP(応用技!I68,$V$15:$X$28,2,FALSE()))+IF(応用技!J68="－","0",VLOOKUP(応用技!J68,$V$15:$X$28,2,FALSE()))</f>
        <v>0</v>
      </c>
      <c r="D71" s="472">
        <f>IF(応用技!H67="－","0",VLOOKUP(応用技!H67,$V$15:$X$28,3,FALSE()))+IF(応用技!I67="－","0",VLOOKUP(応用技!I67,$V$15:$X$28,3,FALSE()))+IF(応用技!J67="－","0",VLOOKUP(応用技!J67,$V$15:$X$28,3,FALSE()))+IF(応用技!H68="－","0",VLOOKUP(応用技!H68,$V$15:$X$28,3,FALSE()))+IF(応用技!I68="－","0",VLOOKUP(応用技!I68,$V$15:$X$28,3,FALSE()))+IF(応用技!J68="－","0",VLOOKUP(応用技!J68,$V$15:$X$28,3,FALSE()))</f>
        <v>0</v>
      </c>
      <c r="E71" s="472"/>
      <c r="F71" s="471"/>
      <c r="G71" s="471"/>
    </row>
    <row r="72" spans="2:7" x14ac:dyDescent="0.15">
      <c r="B72" s="470" t="s">
        <v>743</v>
      </c>
      <c r="C72" s="472">
        <f t="array" ref="C72">_xlfn.IFS(COUNTIF(応用技!E67:G68,"創造")&gt;=1,SUM(C69:C71)+1&amp;"～"&amp;SUM(C69:C71)+10,COUNTIF(応用技!E67:G68,"限定*")&gt;=1,"※",COUNTIF(応用技!E67:G68,"影響無効")&gt;=1,"※",TRUE(),SUM(C69:C71))</f>
        <v>0</v>
      </c>
      <c r="D72" s="472">
        <f>SUM(D69:D71)</f>
        <v>0</v>
      </c>
      <c r="E72" s="472">
        <f>SUM(E69:E71)</f>
        <v>0</v>
      </c>
      <c r="F72" s="471"/>
      <c r="G72" s="471"/>
    </row>
    <row r="74" spans="2:7" x14ac:dyDescent="0.15">
      <c r="B74" s="445" t="s">
        <v>760</v>
      </c>
      <c r="C74" s="446" t="s">
        <v>623</v>
      </c>
      <c r="D74" s="446" t="s">
        <v>449</v>
      </c>
      <c r="E74" s="446" t="s">
        <v>735</v>
      </c>
      <c r="F74" s="447" t="s">
        <v>736</v>
      </c>
      <c r="G74" s="446" t="s">
        <v>737</v>
      </c>
    </row>
    <row r="75" spans="2:7" x14ac:dyDescent="0.15">
      <c r="B75" s="446" t="s">
        <v>9</v>
      </c>
      <c r="C75" s="450">
        <f>IF(応用技!B78="－","0",VLOOKUP(応用技!B78,計算用!$J$6:$L$11,2,FALSE()))+IF(応用技!C78="－","0",VLOOKUP(応用技!C78,計算用!$J$6:$L$11,2,FALSE()))+IF(応用技!D78="－","0",VLOOKUP(応用技!D78,計算用!$J$6:$L$11,2,FALSE()))+COUNTIF(応用技!B78:D78,"防御発動")^2</f>
        <v>0</v>
      </c>
      <c r="D75" s="450">
        <f>IF(応用技!B78="－","0",VLOOKUP(応用技!B78,$J$6:$L$11,3,FALSE()))+IF(応用技!C78="－","0",VLOOKUP(応用技!C78,$J$6:$L$11,3,FALSE()))+IF(応用技!D78="－","0",VLOOKUP(応用技!D78,$J$6:$L$11,3,FALSE()))</f>
        <v>0</v>
      </c>
      <c r="E75" s="425"/>
      <c r="F75" s="447"/>
      <c r="G75" s="447"/>
    </row>
    <row r="76" spans="2:7" x14ac:dyDescent="0.15">
      <c r="B76" s="446" t="s">
        <v>10</v>
      </c>
      <c r="C76" s="450" cm="1">
        <f t="array" ref="C76">IF(応用技!E78="－","0",VLOOKUP(応用技!E78,$N$6:$R$49,2,FALSE()))+IF(応用技!F78="－","0",VLOOKUP(応用技!F78,N6:$R$49,2,FALSE()))+IF(応用技!G78="－","0",VLOOKUP(応用技!G78,$N$6:$R$49,2,FALSE()))+IF(応用技!E79="－","0",VLOOKUP(応用技!E79,$N$6:$R$49,2,FALSE()))+IF(応用技!F79="－","0",VLOOKUP(応用技!F79,$N$6:$R$49,2,FALSE()))+IF(応用技!G79="－","0",VLOOKUP(応用技!G79,$N$6:$R$49,2,FALSE()))+_xlfn.IFS(F76&gt;=2,1+2*(F76-1),F76=1,1,F76=0,0)+_xlfn.IFS(G76&gt;=2,1+2*(G76-1),G76=1,1,G76=0,0)</f>
        <v>0</v>
      </c>
      <c r="D76" s="450">
        <f>IF(応用技!E78="－","0",VLOOKUP(応用技!E78,$N$6:$R$49,3,FALSE()))+IF(応用技!F78="－","0",VLOOKUP(応用技!F78,$N$6:$R$49,3,FALSE()))+IF(応用技!G78="－","0",VLOOKUP(応用技!G78,$N$6:$R$49,3,FALSE()))+IF(応用技!E79="－","0",VLOOKUP(応用技!E79,$N$6:$R$49,3,FALSE()))+IF(応用技!F79="－","0",VLOOKUP(応用技!F79,$N$6:$R$49,3,FALSE()))+IF(応用技!G79="－","0",VLOOKUP(応用技!G79,$N$6:$R$49,3,FALSE()))</f>
        <v>0</v>
      </c>
      <c r="E76" s="450">
        <f>IF(応用技!E78="－","0",VLOOKUP(応用技!E78,$N$6:$R$49,4,FALSE()))+IF(応用技!F78="－","0",VLOOKUP(応用技!F78,$N$6:$R$49,4,FALSE()))+IF(応用技!G78="－","0",VLOOKUP(応用技!G78,$N$6:$R$49,4,FALSE()))+IF(応用技!E79="－","0",VLOOKUP(応用技!E79,$N$6:$R$49,4,FALSE()))+IF(応用技!F79="－","0",VLOOKUP(応用技!F79,$N$6:$R$49,4,FALSE()))+IF(応用技!G79="－","0",VLOOKUP(応用技!G79,$N$6:$R$49,4,FALSE()))</f>
        <v>0</v>
      </c>
      <c r="F76" s="447">
        <f>COUNTIFS(応用技!E78:G79,"強化*")</f>
        <v>0</v>
      </c>
      <c r="G76" s="447">
        <f>COUNTIFS(応用技!E78:G79,"減衰*")</f>
        <v>0</v>
      </c>
    </row>
    <row r="77" spans="2:7" x14ac:dyDescent="0.15">
      <c r="B77" s="446" t="s">
        <v>740</v>
      </c>
      <c r="C77" s="450">
        <f>IF(応用技!H78="－","0",VLOOKUP(応用技!H78,$J$15:$L$27,2,FALSE()))+IF(応用技!I78="－","0",VLOOKUP(応用技!I78,$J$15:$L$27,2,FALSE()))+IF(応用技!J78="－","0",VLOOKUP(応用技!J78,$J$15:$L$27,2,FALSE()))+IF(応用技!H79="－","0",VLOOKUP(応用技!H79,$J$15:$L$27,2,FALSE()))+IF(応用技!I79="－","0",VLOOKUP(応用技!I79,$J$15:$L$27,2,FALSE()))+IF(応用技!J79="－","0",VLOOKUP(応用技!J79,$J$15:$L$27,2,FALSE()))</f>
        <v>0</v>
      </c>
      <c r="D77" s="450">
        <f>IF(応用技!H78="－","0",VLOOKUP(応用技!H78,$J$15:$L$27,3,FALSE()))+IF(応用技!I78="－","0",VLOOKUP(応用技!I78,$J$15:$L$27,3,FALSE()))+IF(応用技!J78="－","0",VLOOKUP(応用技!J78,$J$15:$L$27,3,FALSE()))+IF(応用技!H79="－","0",VLOOKUP(応用技!H79,$J$15:$L$27,3,FALSE()))+IF(応用技!I79="－","0",VLOOKUP(応用技!I79,$J$15:$L$27,3,FALSE()))+IF(応用技!J79="－","0",VLOOKUP(応用技!J79,$J$15:$L$27,3,FALSE()))</f>
        <v>0</v>
      </c>
      <c r="E77" s="450"/>
      <c r="F77" s="447"/>
      <c r="G77" s="447"/>
    </row>
    <row r="78" spans="2:7" x14ac:dyDescent="0.15">
      <c r="B78" s="446" t="s">
        <v>743</v>
      </c>
      <c r="C78" s="450">
        <f t="array" ref="C78">_xlfn.IFS(COUNTIF(応用技!E78:G79,"創造")&gt;=1,SUM(C75:C77)+1&amp;"～"&amp;SUM(C75:C77)+10,COUNTIF(応用技!E78:G79,"限定*")&gt;=1,"※",COUNTIF(応用技!E78:G79,"影響無効")&gt;=1,"※",TRUE(),SUM(C75:C77))</f>
        <v>0</v>
      </c>
      <c r="D78" s="450">
        <f>SUM(D75:D77)</f>
        <v>0</v>
      </c>
      <c r="E78" s="450">
        <f>SUM(E75:E77)</f>
        <v>0</v>
      </c>
      <c r="F78" s="447"/>
      <c r="G78" s="447"/>
    </row>
    <row r="80" spans="2:7" x14ac:dyDescent="0.15">
      <c r="B80" s="445" t="s">
        <v>761</v>
      </c>
      <c r="C80" s="446" t="s">
        <v>623</v>
      </c>
      <c r="D80" s="446" t="s">
        <v>449</v>
      </c>
      <c r="E80" s="446" t="s">
        <v>735</v>
      </c>
      <c r="F80" s="447" t="s">
        <v>736</v>
      </c>
      <c r="G80" s="446" t="s">
        <v>737</v>
      </c>
    </row>
    <row r="81" spans="2:7" x14ac:dyDescent="0.15">
      <c r="B81" s="446" t="s">
        <v>9</v>
      </c>
      <c r="C81" s="450">
        <f>IF(応用技!B78="－","0",VLOOKUP(応用技!B78,計算用!$V$6:$X$11,2,FALSE()))+IF(応用技!C78="－","0",VLOOKUP(応用技!C78,計算用!$V$6:$X$11,2,FALSE()))+IF(応用技!D78="－","0",VLOOKUP(応用技!D78,計算用!$V$6:$X$11,2,FALSE()))+COUNTIF(応用技!B78:D78,"防御発動")^2</f>
        <v>0</v>
      </c>
      <c r="D81" s="450">
        <f>IF(応用技!B78="－","0",VLOOKUP(応用技!B78,$J$6:$L$11,3,FALSE()))+IF(応用技!C78="－","0",VLOOKUP(応用技!C78,$J$6:$L$11,3,FALSE()))+IF(応用技!D78="－","0",VLOOKUP(応用技!D78,$J$6:$L$11,3,FALSE()))</f>
        <v>0</v>
      </c>
      <c r="E81" s="425"/>
      <c r="F81" s="447"/>
      <c r="G81" s="447"/>
    </row>
    <row r="82" spans="2:7" x14ac:dyDescent="0.15">
      <c r="B82" s="446" t="s">
        <v>10</v>
      </c>
      <c r="C82" s="450" cm="1">
        <f t="array" ref="C82">IF(応用技!E78="－","0",VLOOKUP(応用技!E78,$Z$6:$AD$57,2,FALSE()))+IF(応用技!F78="－","0",VLOOKUP(応用技!F78,Z6:$AD$57,2,FALSE()))+IF(応用技!G78="－","0",VLOOKUP(応用技!G78,$Z$6:$AD$57,2,FALSE()))+IF(応用技!E79="－","0",VLOOKUP(応用技!E79,$Z$6:$AD$57,2,FALSE()))+IF(応用技!F79="－","0",VLOOKUP(応用技!F79,$Z$6:$AD$57,2,FALSE()))+IF(応用技!G79="－","0",VLOOKUP(応用技!G79,$Z$6:$AD$57,2,FALSE()))+_xlfn.IFS(F82&gt;=2,1+2*(F82-1),F82=1,1,F82=0,0)+_xlfn.IFS(G82&gt;=2,1+2*(G82-1),G82=1,1,G82=0,0)</f>
        <v>0</v>
      </c>
      <c r="D82" s="450">
        <f>IF(応用技!E78="－","0",VLOOKUP(応用技!E78,$Z$6:$AD$57,3,FALSE()))+IF(応用技!F78="－","0",VLOOKUP(応用技!F78,$Z$6:$AD$57,3,FALSE()))+IF(応用技!G78="－","0",VLOOKUP(応用技!G78,$Z$6:$AD$57,3,FALSE()))+IF(応用技!E79="－","0",VLOOKUP(応用技!E79,$Z$6:$AD$57,3,FALSE()))+IF(応用技!F79="－","0",VLOOKUP(応用技!F79,$Z$6:$AD$57,3,FALSE()))+IF(応用技!G79="－","0",VLOOKUP(応用技!G79,$Z$6:$AD$57,3,FALSE()))</f>
        <v>0</v>
      </c>
      <c r="E82" s="450">
        <f>IF(応用技!E78="－","0",VLOOKUP(応用技!E78,$Z$6:$AD$57,4,FALSE()))
+IF(応用技!F78="－","0",VLOOKUP(応用技!F78,$Z$6:$AD$57,4,FALSE()))
+IF(応用技!G78="－","0",VLOOKUP(応用技!G78,$Z$6:$AD$57,4,FALSE()))
+IF(応用技!E79="－","0",VLOOKUP(応用技!E79,$Z$6:$AD$57,4,FALSE()))
+IF(応用技!F79="－","0",VLOOKUP(応用技!F79,$Z$6:$AD$57,4,FALSE()))
+IF(応用技!G79="－","0",VLOOKUP(応用技!G79,$Z$6:$AD$57,4,FALSE()))</f>
        <v>0</v>
      </c>
      <c r="F82" s="447">
        <f>COUNTIFS(応用技!E78:G79,"強化*")</f>
        <v>0</v>
      </c>
      <c r="G82" s="447">
        <f>COUNTIFS(応用技!E78:G79,"減衰*")</f>
        <v>0</v>
      </c>
    </row>
    <row r="83" spans="2:7" x14ac:dyDescent="0.15">
      <c r="B83" s="446" t="s">
        <v>740</v>
      </c>
      <c r="C83" s="450">
        <f>IF(応用技!H78="－","0",VLOOKUP(応用技!H78,$V$15:$X$28,2,FALSE()))+IF(応用技!I78="－","0",VLOOKUP(応用技!I78,$V$15:$X$28,2,FALSE()))+IF(応用技!J78="－","0",VLOOKUP(応用技!J78,$V$15:$X$28,2,FALSE()))+IF(応用技!H79="－","0",VLOOKUP(応用技!H79,$V$15:$X$28,2,FALSE()))+IF(応用技!I79="－","0",VLOOKUP(応用技!I79,$V$15:$X$28,2,FALSE()))+IF(応用技!J79="－","0",VLOOKUP(応用技!J79,$V$15:$X$28,2,FALSE()))</f>
        <v>0</v>
      </c>
      <c r="D83" s="450">
        <f>IF(応用技!H78="－","0",VLOOKUP(応用技!H78,$V$15:$X$28,3,FALSE()))+IF(応用技!I78="－","0",VLOOKUP(応用技!I78,$V$15:$X$28,3,FALSE()))+IF(応用技!J78="－","0",VLOOKUP(応用技!J78,$V$15:$X$28,3,FALSE()))+IF(応用技!H79="－","0",VLOOKUP(応用技!H79,$V$15:$X$28,3,FALSE()))+IF(応用技!I79="－","0",VLOOKUP(応用技!I79,$V$15:$X$28,3,FALSE()))+IF(応用技!J79="－","0",VLOOKUP(応用技!J79,$V$15:$X$28,3,FALSE()))</f>
        <v>0</v>
      </c>
      <c r="E83" s="450"/>
      <c r="F83" s="447"/>
      <c r="G83" s="447"/>
    </row>
    <row r="84" spans="2:7" x14ac:dyDescent="0.15">
      <c r="B84" s="446" t="s">
        <v>743</v>
      </c>
      <c r="C84" s="450">
        <f t="array" ref="C84">_xlfn.IFS(COUNTIF(応用技!E78:G79,"創造")&gt;=1,SUM(C81:C83)+1&amp;"～"&amp;SUM(C81:C83)+10,COUNTIF(応用技!E78:G79,"限定*")&gt;=1,"※",COUNTIF(応用技!E78:G79,"影響無効")&gt;=1,"※",TRUE(),SUM(C81:C83))</f>
        <v>0</v>
      </c>
      <c r="D84" s="450">
        <f>SUM(D81:D83)</f>
        <v>0</v>
      </c>
      <c r="E84" s="450">
        <f>SUM(E81:E83)</f>
        <v>0</v>
      </c>
      <c r="F84" s="447"/>
      <c r="G84" s="447"/>
    </row>
    <row r="86" spans="2:7" x14ac:dyDescent="0.15">
      <c r="B86" s="469" t="s">
        <v>762</v>
      </c>
      <c r="C86" s="470" t="s">
        <v>623</v>
      </c>
      <c r="D86" s="470" t="s">
        <v>449</v>
      </c>
      <c r="E86" s="470" t="s">
        <v>735</v>
      </c>
      <c r="F86" s="471" t="s">
        <v>736</v>
      </c>
      <c r="G86" s="470" t="s">
        <v>737</v>
      </c>
    </row>
    <row r="87" spans="2:7" x14ac:dyDescent="0.15">
      <c r="B87" s="470" t="s">
        <v>9</v>
      </c>
      <c r="C87" s="472">
        <f>IF(応用技!B89="－","0",VLOOKUP(応用技!B89,計算用!$J$6:$L$11,2,FALSE()))+IF(応用技!C89="－","0",VLOOKUP(応用技!C89,計算用!$J$6:$L$11,2,FALSE()))+IF(応用技!D89="－","0",VLOOKUP(応用技!D89,計算用!$J$6:$L$11,2,FALSE()))+COUNTIF(応用技!B89:D89,"防御発動")^2</f>
        <v>0</v>
      </c>
      <c r="D87" s="472">
        <f>IF(応用技!B89="－","0",VLOOKUP(応用技!B89,$J$6:$L$11,3,FALSE()))+IF(応用技!C89="－","0",VLOOKUP(応用技!C89,$J$6:$L$11,3,FALSE()))+IF(応用技!D89="－","0",VLOOKUP(応用技!D89,$J$6:$L$11,3,FALSE()))</f>
        <v>0</v>
      </c>
      <c r="E87" s="473"/>
      <c r="F87" s="471"/>
      <c r="G87" s="471"/>
    </row>
    <row r="88" spans="2:7" x14ac:dyDescent="0.15">
      <c r="B88" s="470" t="s">
        <v>10</v>
      </c>
      <c r="C88" s="472" cm="1">
        <f t="array" ref="C88">IF(応用技!E89="－","0",VLOOKUP(応用技!E89,$N$6:$R$49,2,FALSE()))+IF(応用技!F89="－","0",VLOOKUP(応用技!F89,N6:$R$49,2,FALSE()))+IF(応用技!G89="－","0",VLOOKUP(応用技!G89,$N$6:$R$49,2,FALSE()))+IF(応用技!E90="－","0",VLOOKUP(応用技!E90,$N$6:$R$49,2,FALSE()))+IF(応用技!F90="－","0",VLOOKUP(応用技!F90,$N$6:$R$49,2,FALSE()))+IF(応用技!G90="－","0",VLOOKUP(応用技!G90,$N$6:$R$49,2,FALSE()))+_xlfn.IFS(F88&gt;=2,1+2*(F88-1),F88=1,1,F88=0,0)+_xlfn.IFS(G88&gt;=2,1+2*(G88-1),G88=1,1,G88=0,0)</f>
        <v>0</v>
      </c>
      <c r="D88" s="472">
        <f>IF(応用技!E89="－","0",VLOOKUP(応用技!E89,$N$6:$R$49,3,FALSE()))+IF(応用技!F89="－","0",VLOOKUP(応用技!F89,$N$6:$R$49,3,FALSE()))+IF(応用技!G89="－","0",VLOOKUP(応用技!G89,$N$6:$R$49,3,FALSE()))+IF(応用技!E90="－","0",VLOOKUP(応用技!E90,$N$6:$R$49,3,FALSE()))+IF(応用技!F90="－","0",VLOOKUP(応用技!F90,$N$6:$R$49,3,FALSE()))+IF(応用技!G90="－","0",VLOOKUP(応用技!G90,$N$6:$R$49,3,FALSE()))</f>
        <v>0</v>
      </c>
      <c r="E88" s="472">
        <f>IF(応用技!E89="－","0",VLOOKUP(応用技!E89,$N$6:$R$49,4,FALSE()))+IF(応用技!F89="－","0",VLOOKUP(応用技!F89,$N$6:$R$49,4,FALSE()))+IF(応用技!G89="－","0",VLOOKUP(応用技!G89,$N$6:$R$49,4,FALSE()))+IF(応用技!E90="－","0",VLOOKUP(応用技!E90,$N$6:$R$49,4,FALSE()))+IF(応用技!F90="－","0",VLOOKUP(応用技!F90,$N$6:$R$49,4,FALSE()))+IF(応用技!G90="－","0",VLOOKUP(応用技!G90,$N$6:$R$49,4,FALSE()))</f>
        <v>0</v>
      </c>
      <c r="F88" s="471">
        <f>COUNTIFS(応用技!E89:G90,"強化*")</f>
        <v>0</v>
      </c>
      <c r="G88" s="471">
        <f>COUNTIFS(応用技!E89:G90,"減衰*")</f>
        <v>0</v>
      </c>
    </row>
    <row r="89" spans="2:7" x14ac:dyDescent="0.15">
      <c r="B89" s="470" t="s">
        <v>740</v>
      </c>
      <c r="C89" s="472">
        <f>IF(応用技!H89="－","0",VLOOKUP(応用技!H89,$J$15:$L$27,2,FALSE()))+IF(応用技!I89="－","0",VLOOKUP(応用技!I89,$J$15:$L$27,2,FALSE()))+IF(応用技!J89="－","0",VLOOKUP(応用技!J89,$J$15:$L$27,2,FALSE()))+IF(応用技!H90="－","0",VLOOKUP(応用技!H90,$J$15:$L$27,2,FALSE()))+IF(応用技!I90="－","0",VLOOKUP(応用技!I90,$J$15:$L$27,2,FALSE()))+IF(応用技!J90="－","0",VLOOKUP(応用技!J90,$J$15:$L$27,2,FALSE()))</f>
        <v>0</v>
      </c>
      <c r="D89" s="472">
        <f>IF(応用技!H89="－","0",VLOOKUP(応用技!H89,$J$15:$L$27,3,FALSE()))+IF(応用技!I89="－","0",VLOOKUP(応用技!I89,$J$15:$L$27,3,FALSE()))+IF(応用技!J89="－","0",VLOOKUP(応用技!J89,$J$15:$L$27,3,FALSE()))+IF(応用技!H90="－","0",VLOOKUP(応用技!H90,$J$15:$L$27,3,FALSE()))+IF(応用技!I90="－","0",VLOOKUP(応用技!I90,$J$15:$L$27,3,FALSE()))+IF(応用技!J90="－","0",VLOOKUP(応用技!J90,$J$15:$L$27,3,FALSE()))</f>
        <v>0</v>
      </c>
      <c r="E89" s="472"/>
      <c r="F89" s="471"/>
      <c r="G89" s="471"/>
    </row>
    <row r="90" spans="2:7" x14ac:dyDescent="0.15">
      <c r="B90" s="470" t="s">
        <v>743</v>
      </c>
      <c r="C90" s="472">
        <f t="array" ref="C90">_xlfn.IFS(COUNTIF(応用技!E89:G90,"創造")&gt;=1,SUM(C87:C89)+1&amp;"～"&amp;SUM(C87:C89)+10,COUNTIF(応用技!E89:G90,"限定*")&gt;=1,"※",COUNTIF(応用技!E89:G90,"影響無効")&gt;=1,"※",TRUE(),SUM(C87:C89))</f>
        <v>0</v>
      </c>
      <c r="D90" s="472">
        <f>SUM(D87:D89)</f>
        <v>0</v>
      </c>
      <c r="E90" s="472">
        <f>SUM(E87:E89)</f>
        <v>0</v>
      </c>
      <c r="F90" s="471"/>
      <c r="G90" s="471"/>
    </row>
    <row r="91" spans="2:7" x14ac:dyDescent="0.15">
      <c r="B91" s="451"/>
      <c r="C91" s="451"/>
      <c r="D91" s="451"/>
      <c r="E91" s="451"/>
      <c r="F91" s="451"/>
      <c r="G91" s="451"/>
    </row>
    <row r="92" spans="2:7" x14ac:dyDescent="0.15">
      <c r="B92" s="469" t="s">
        <v>763</v>
      </c>
      <c r="C92" s="470" t="s">
        <v>623</v>
      </c>
      <c r="D92" s="470" t="s">
        <v>449</v>
      </c>
      <c r="E92" s="470" t="s">
        <v>735</v>
      </c>
      <c r="F92" s="471" t="s">
        <v>736</v>
      </c>
      <c r="G92" s="470" t="s">
        <v>737</v>
      </c>
    </row>
    <row r="93" spans="2:7" x14ac:dyDescent="0.15">
      <c r="B93" s="470" t="s">
        <v>9</v>
      </c>
      <c r="C93" s="472">
        <f>IF(応用技!B89="－","0",VLOOKUP(応用技!B89,計算用!$V$6:$X$11,2,FALSE()))+IF(応用技!C89="－","0",VLOOKUP(応用技!C89,計算用!$V$6:$X$11,2,FALSE()))+IF(応用技!D89="－","0",VLOOKUP(応用技!D89,計算用!$V$6:$X$11,2,FALSE()))+COUNTIF(応用技!B89:D89,"防御発動")^2</f>
        <v>0</v>
      </c>
      <c r="D93" s="472">
        <f>IF(応用技!B89="－","0",VLOOKUP(応用技!B89,$J$6:$L$11,3,FALSE()))+IF(応用技!C89="－","0",VLOOKUP(応用技!C89,$J$6:$L$11,3,FALSE()))+IF(応用技!D89="－","0",VLOOKUP(応用技!D89,$J$6:$L$11,3,FALSE()))</f>
        <v>0</v>
      </c>
      <c r="E93" s="473"/>
      <c r="F93" s="471"/>
      <c r="G93" s="471"/>
    </row>
    <row r="94" spans="2:7" x14ac:dyDescent="0.15">
      <c r="B94" s="470" t="s">
        <v>10</v>
      </c>
      <c r="C94" s="472" cm="1">
        <f t="array" ref="C94">IF(応用技!E89="－","0",VLOOKUP(応用技!E89,$Z$6:$AD$57,2,FALSE()))+IF(応用技!F89="－","0",VLOOKUP(応用技!F89,Z6:$AD$57,2,FALSE()))+IF(応用技!G89="－","0",VLOOKUP(応用技!G89,$Z$6:$AD$57,2,FALSE()))+IF(応用技!E90="－","0",VLOOKUP(応用技!E90,$Z$6:$AD$57,2,FALSE()))+IF(応用技!F90="－","0",VLOOKUP(応用技!F90,$Z$6:$AD$57,2,FALSE()))+IF(応用技!G90="－","0",VLOOKUP(応用技!G90,$Z$6:$AD$57,2,FALSE()))+_xlfn.IFS(F94&gt;=2,1+2*(F94-1),F94=1,1,F94=0,0)+_xlfn.IFS(G94&gt;=2,1+2*(G94-1),G94=1,1,G94=0,0)</f>
        <v>0</v>
      </c>
      <c r="D94" s="472">
        <f>IF(応用技!E89="－","0",VLOOKUP(応用技!E89,$Z$6:$AD$57,3,FALSE()))+IF(応用技!F89="－","0",VLOOKUP(応用技!F89,$Z$6:$AD$57,3,FALSE()))+IF(応用技!G89="－","0",VLOOKUP(応用技!G89,$Z$6:$AD$57,3,FALSE()))+IF(応用技!E90="－","0",VLOOKUP(応用技!E90,$Z$6:$AD$57,3,FALSE()))+IF(応用技!F90="－","0",VLOOKUP(応用技!F90,$Z$6:$AD$57,3,FALSE()))+IF(応用技!G90="－","0",VLOOKUP(応用技!G90,$Z$6:$AD$57,3,FALSE()))</f>
        <v>0</v>
      </c>
      <c r="E94" s="472">
        <f>IF(応用技!E89="－","0",VLOOKUP(応用技!E89,$Z$6:$AD$57,4,FALSE()))
+IF(応用技!F89="－","0",VLOOKUP(応用技!F89,$Z$6:$AD$57,4,FALSE()))
+IF(応用技!G89="－","0",VLOOKUP(応用技!G89,$Z$6:$AD$57,4,FALSE()))
+IF(応用技!E90="－","0",VLOOKUP(応用技!E90,$Z$6:$AD$57,4,FALSE()))
+IF(応用技!F90="－","0",VLOOKUP(応用技!F90,$Z$6:$AD$57,4,FALSE()))
+IF(応用技!G90="－","0",VLOOKUP(応用技!G90,$Z$6:$AD$57,4,FALSE()))</f>
        <v>0</v>
      </c>
      <c r="F94" s="471">
        <f>COUNTIFS(応用技!E89:G90,"強化*")</f>
        <v>0</v>
      </c>
      <c r="G94" s="471">
        <f>COUNTIFS(応用技!E89:G90,"減衰*")</f>
        <v>0</v>
      </c>
    </row>
    <row r="95" spans="2:7" x14ac:dyDescent="0.15">
      <c r="B95" s="470" t="s">
        <v>740</v>
      </c>
      <c r="C95" s="472">
        <f>IF(応用技!H89="－","0",VLOOKUP(応用技!H89,$V$15:$X$28,2,FALSE()))+IF(応用技!I89="－","0",VLOOKUP(応用技!I89,$V$15:$X$28,2,FALSE()))+IF(応用技!J89="－","0",VLOOKUP(応用技!J89,$V$15:$X$28,2,FALSE()))+IF(応用技!H90="－","0",VLOOKUP(応用技!H90,$V$15:$X$28,2,FALSE()))+IF(応用技!I90="－","0",VLOOKUP(応用技!I90,$V$15:$X$28,2,FALSE()))+IF(応用技!J90="－","0",VLOOKUP(応用技!J90,$V$15:$X$28,2,FALSE()))</f>
        <v>0</v>
      </c>
      <c r="D95" s="472">
        <f>IF(応用技!H89="－","0",VLOOKUP(応用技!H89,$V$15:$X$28,3,FALSE()))+IF(応用技!I89="－","0",VLOOKUP(応用技!I89,$V$15:$X$28,3,FALSE()))+IF(応用技!J89="－","0",VLOOKUP(応用技!J89,$V$15:$X$28,3,FALSE()))+IF(応用技!H90="－","0",VLOOKUP(応用技!H90,$V$15:$X$28,3,FALSE()))+IF(応用技!I90="－","0",VLOOKUP(応用技!I90,$V$15:$X$28,3,FALSE()))+IF(応用技!J90="－","0",VLOOKUP(応用技!J90,$V$15:$X$28,3,FALSE()))</f>
        <v>0</v>
      </c>
      <c r="E95" s="472"/>
      <c r="F95" s="471"/>
      <c r="G95" s="471"/>
    </row>
    <row r="96" spans="2:7" x14ac:dyDescent="0.15">
      <c r="B96" s="470" t="s">
        <v>743</v>
      </c>
      <c r="C96" s="472">
        <f t="array" ref="C96">_xlfn.IFS(COUNTIF(応用技!E89:G90,"創造")&gt;=1,SUM(C93:C95)+1&amp;"～"&amp;SUM(C93:C95)+10,COUNTIF(応用技!E89:G90,"限定*")&gt;=1,"※",COUNTIF(応用技!E89:G90,"影響無効")&gt;=1,"※",TRUE(),SUM(C93:C95))</f>
        <v>0</v>
      </c>
      <c r="D96" s="472">
        <f>SUM(D93:D95)</f>
        <v>0</v>
      </c>
      <c r="E96" s="472">
        <f>SUM(E93:E95)</f>
        <v>0</v>
      </c>
      <c r="F96" s="471"/>
      <c r="G96" s="471"/>
    </row>
    <row r="98" spans="2:5" x14ac:dyDescent="0.15">
      <c r="B98" s="448" t="s">
        <v>764</v>
      </c>
      <c r="E98">
        <f>SUM(E6,E18,E30,E42,E54,E66,E78,E90)</f>
        <v>0</v>
      </c>
    </row>
    <row r="99" spans="2:5" x14ac:dyDescent="0.15">
      <c r="B99" s="448" t="s">
        <v>765</v>
      </c>
      <c r="E99">
        <f>SUM(E96,E84,E72,E60,E48,E36,E24,E12)</f>
        <v>0</v>
      </c>
    </row>
    <row r="101" spans="2:5" x14ac:dyDescent="0.15">
      <c r="B101" t="s">
        <v>766</v>
      </c>
    </row>
    <row r="102" spans="2:5" x14ac:dyDescent="0.15">
      <c r="B102" s="463" t="s">
        <v>752</v>
      </c>
      <c r="C102">
        <f>COUNTIF(応用技!$B$12:$J$90,計算用!B102)</f>
        <v>0</v>
      </c>
    </row>
    <row r="103" spans="2:5" x14ac:dyDescent="0.15">
      <c r="B103" s="463" t="s">
        <v>330</v>
      </c>
      <c r="C103">
        <f>COUNTIF(応用技!$B$12:$J$90,計算用!B103)</f>
        <v>0</v>
      </c>
    </row>
    <row r="104" spans="2:5" x14ac:dyDescent="0.15">
      <c r="B104" s="463" t="s">
        <v>342</v>
      </c>
      <c r="C104">
        <f>COUNTIF(応用技!$B$12:$J$90,計算用!B104)</f>
        <v>0</v>
      </c>
    </row>
    <row r="105" spans="2:5" x14ac:dyDescent="0.15">
      <c r="B105" s="463" t="s">
        <v>347</v>
      </c>
      <c r="C105">
        <f>COUNTIF(応用技!$B$12:$J$90,計算用!B105)</f>
        <v>0</v>
      </c>
    </row>
    <row r="106" spans="2:5" x14ac:dyDescent="0.15">
      <c r="B106" s="463" t="s">
        <v>767</v>
      </c>
      <c r="C106">
        <f>COUNTIF(応用技!$B$12:$J$90,計算用!B106)</f>
        <v>0</v>
      </c>
    </row>
    <row r="107" spans="2:5" x14ac:dyDescent="0.15">
      <c r="B107" s="463" t="s">
        <v>768</v>
      </c>
      <c r="C107">
        <f>COUNTIF(応用技!$B$12:$J$90,計算用!B107)</f>
        <v>0</v>
      </c>
    </row>
    <row r="115" spans="9:14" x14ac:dyDescent="0.15">
      <c r="I115" s="477"/>
      <c r="J115" s="448"/>
      <c r="K115" s="448"/>
      <c r="L115" s="448"/>
      <c r="M115"/>
      <c r="N115" s="448"/>
    </row>
    <row r="116" spans="9:14" x14ac:dyDescent="0.15">
      <c r="I116" s="448"/>
      <c r="J116" s="478"/>
      <c r="K116" s="478"/>
      <c r="L116" s="478"/>
      <c r="M116"/>
      <c r="N116"/>
    </row>
    <row r="117" spans="9:14" x14ac:dyDescent="0.15">
      <c r="I117" s="448"/>
      <c r="J117" s="478"/>
      <c r="K117" s="478"/>
      <c r="L117" s="478"/>
      <c r="M117"/>
      <c r="N117"/>
    </row>
    <row r="118" spans="9:14" x14ac:dyDescent="0.15">
      <c r="I118" s="448"/>
      <c r="J118" s="478"/>
      <c r="K118" s="478"/>
      <c r="L118" s="478"/>
      <c r="M118"/>
      <c r="N118"/>
    </row>
    <row r="119" spans="9:14" x14ac:dyDescent="0.15">
      <c r="I119" s="448"/>
      <c r="J119" s="478"/>
      <c r="K119" s="478"/>
      <c r="L119" s="478"/>
      <c r="M119"/>
      <c r="N119"/>
    </row>
    <row r="120" spans="9:14" x14ac:dyDescent="0.15">
      <c r="K120"/>
      <c r="L120"/>
      <c r="M120"/>
      <c r="N120"/>
    </row>
    <row r="121" spans="9:14" x14ac:dyDescent="0.15">
      <c r="I121" s="477"/>
      <c r="J121" s="448"/>
      <c r="K121" s="448"/>
      <c r="L121" s="448"/>
      <c r="M121"/>
      <c r="N121" s="448"/>
    </row>
    <row r="122" spans="9:14" x14ac:dyDescent="0.15">
      <c r="I122" s="448"/>
      <c r="J122" s="478"/>
      <c r="K122" s="478"/>
      <c r="L122" s="478"/>
      <c r="M122"/>
      <c r="N122"/>
    </row>
    <row r="123" spans="9:14" x14ac:dyDescent="0.15">
      <c r="I123" s="448"/>
      <c r="J123" s="478"/>
      <c r="K123" s="478"/>
      <c r="L123" s="478"/>
      <c r="M123"/>
      <c r="N123"/>
    </row>
    <row r="124" spans="9:14" x14ac:dyDescent="0.15">
      <c r="I124" s="448"/>
      <c r="J124" s="478"/>
      <c r="K124" s="478"/>
      <c r="L124" s="478"/>
      <c r="M124"/>
      <c r="N124"/>
    </row>
    <row r="125" spans="9:14" x14ac:dyDescent="0.15">
      <c r="I125" s="448"/>
      <c r="J125" s="478"/>
      <c r="K125" s="478"/>
      <c r="L125" s="478"/>
      <c r="M125"/>
      <c r="N125"/>
    </row>
  </sheetData>
  <mergeCells count="2">
    <mergeCell ref="I2:K2"/>
    <mergeCell ref="U2:W2"/>
  </mergeCells>
  <phoneticPr fontId="50"/>
  <pageMargins left="0.7" right="0.7" top="0.75" bottom="0.75"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5"/>
  <dimension ref="A1:AD62"/>
  <sheetViews>
    <sheetView zoomScaleNormal="100" workbookViewId="0"/>
  </sheetViews>
  <sheetFormatPr defaultColWidth="10" defaultRowHeight="14.1" customHeight="1" x14ac:dyDescent="0.15"/>
  <cols>
    <col min="1" max="1" width="10" style="48" bestFit="1"/>
    <col min="2" max="16384" width="10" style="48"/>
  </cols>
  <sheetData>
    <row r="1" spans="1:30" ht="14.1" customHeight="1" thickBot="1" x14ac:dyDescent="0.2">
      <c r="A1" s="291"/>
      <c r="B1" s="275"/>
      <c r="C1" s="275"/>
      <c r="D1" s="275"/>
      <c r="E1" s="275"/>
      <c r="F1" s="275"/>
      <c r="G1" s="275"/>
      <c r="H1" s="275"/>
      <c r="I1" s="275"/>
      <c r="J1" s="275"/>
      <c r="K1" s="275"/>
      <c r="L1" s="275"/>
      <c r="M1" s="275"/>
      <c r="N1" s="293"/>
      <c r="O1" s="268"/>
      <c r="P1" s="268"/>
      <c r="Q1" s="268"/>
      <c r="R1" s="268"/>
      <c r="S1" s="268"/>
      <c r="T1" s="268"/>
      <c r="U1" s="268"/>
      <c r="V1" s="268"/>
      <c r="W1" s="268"/>
      <c r="X1" s="268"/>
      <c r="Y1" s="268"/>
      <c r="Z1"/>
      <c r="AA1"/>
      <c r="AB1"/>
      <c r="AC1"/>
      <c r="AD1"/>
    </row>
    <row r="2" spans="1:30" ht="14.1" customHeight="1" thickBot="1" x14ac:dyDescent="0.2">
      <c r="A2" s="275"/>
      <c r="B2" s="899" t="s">
        <v>629</v>
      </c>
      <c r="C2" s="899"/>
      <c r="D2" s="900"/>
      <c r="E2" s="900"/>
      <c r="F2" s="900"/>
      <c r="G2" s="900"/>
      <c r="H2" s="900"/>
      <c r="I2" s="901" t="s">
        <v>451</v>
      </c>
      <c r="J2" s="901"/>
      <c r="K2" s="902" t="s">
        <v>18</v>
      </c>
      <c r="L2" s="902"/>
      <c r="M2" s="902"/>
      <c r="N2" s="293"/>
      <c r="O2" s="268"/>
      <c r="P2" s="903" t="s">
        <v>712</v>
      </c>
      <c r="Q2" s="903"/>
      <c r="R2" s="903"/>
      <c r="S2" s="903"/>
      <c r="T2" s="903"/>
      <c r="U2" s="903"/>
      <c r="V2" s="903"/>
      <c r="W2" s="903"/>
      <c r="X2" s="903"/>
      <c r="Y2" s="268"/>
      <c r="Z2"/>
      <c r="AA2"/>
      <c r="AB2"/>
      <c r="AC2"/>
      <c r="AD2"/>
    </row>
    <row r="3" spans="1:30" ht="14.1" customHeight="1" thickBot="1" x14ac:dyDescent="0.2">
      <c r="A3" s="275"/>
      <c r="B3" s="899"/>
      <c r="C3" s="899"/>
      <c r="D3" s="900"/>
      <c r="E3" s="900"/>
      <c r="F3" s="900"/>
      <c r="G3" s="900"/>
      <c r="H3" s="900"/>
      <c r="I3" s="901"/>
      <c r="J3" s="901"/>
      <c r="K3" s="902"/>
      <c r="L3" s="902"/>
      <c r="M3" s="902"/>
      <c r="N3" s="293"/>
      <c r="O3" s="268"/>
      <c r="P3" s="903"/>
      <c r="Q3" s="903"/>
      <c r="R3" s="903"/>
      <c r="S3" s="903"/>
      <c r="T3" s="903"/>
      <c r="U3" s="903"/>
      <c r="V3" s="903"/>
      <c r="W3" s="903"/>
      <c r="X3" s="903"/>
      <c r="Y3" s="268"/>
      <c r="Z3"/>
      <c r="AA3"/>
      <c r="AB3"/>
      <c r="AC3"/>
      <c r="AD3"/>
    </row>
    <row r="4" spans="1:30" ht="14.1" customHeight="1" thickBot="1" x14ac:dyDescent="0.2">
      <c r="A4" s="275"/>
      <c r="B4" s="275"/>
      <c r="C4" s="275"/>
      <c r="D4" s="275"/>
      <c r="E4" s="275"/>
      <c r="F4" s="275"/>
      <c r="G4" s="275"/>
      <c r="H4" s="275"/>
      <c r="I4" s="275"/>
      <c r="J4" s="275"/>
      <c r="K4" s="275"/>
      <c r="L4" s="275"/>
      <c r="M4" s="275"/>
      <c r="N4" s="293"/>
      <c r="O4" s="268"/>
      <c r="P4" s="904" t="s">
        <v>527</v>
      </c>
      <c r="Q4" s="904"/>
      <c r="R4" s="907">
        <f>F23</f>
        <v>2</v>
      </c>
      <c r="S4" s="905" t="s">
        <v>620</v>
      </c>
      <c r="T4" s="905"/>
      <c r="U4" s="907">
        <f>ROUNDDOWN((C23)/2,0)</f>
        <v>2</v>
      </c>
      <c r="V4" s="905" t="s">
        <v>621</v>
      </c>
      <c r="W4" s="905"/>
      <c r="X4" s="906">
        <f>ROUNDDOWN((C23)/3,0)</f>
        <v>1</v>
      </c>
      <c r="Y4" s="268"/>
      <c r="Z4"/>
      <c r="AA4"/>
      <c r="AB4"/>
      <c r="AC4"/>
      <c r="AD4"/>
    </row>
    <row r="5" spans="1:30" ht="14.1" customHeight="1" thickBot="1" x14ac:dyDescent="0.2">
      <c r="A5" s="275"/>
      <c r="B5" s="899" t="s">
        <v>630</v>
      </c>
      <c r="C5" s="899"/>
      <c r="D5" s="908">
        <v>0</v>
      </c>
      <c r="E5" s="293"/>
      <c r="F5" s="899" t="s">
        <v>631</v>
      </c>
      <c r="G5" s="899"/>
      <c r="H5" s="909">
        <f>C23</f>
        <v>4</v>
      </c>
      <c r="I5" s="909">
        <f>IF(L2="探索型",ROUNDDOWN(D23/3,0)+D23,D23)</f>
        <v>0</v>
      </c>
      <c r="J5" s="901" t="s">
        <v>632</v>
      </c>
      <c r="K5" s="901"/>
      <c r="L5" s="910" t="s">
        <v>18</v>
      </c>
      <c r="M5" s="910"/>
      <c r="N5" s="293"/>
      <c r="O5" s="269"/>
      <c r="P5" s="904"/>
      <c r="Q5" s="904"/>
      <c r="R5" s="907"/>
      <c r="S5" s="905"/>
      <c r="T5" s="905"/>
      <c r="U5" s="907"/>
      <c r="V5" s="905"/>
      <c r="W5" s="905"/>
      <c r="X5" s="906"/>
      <c r="Y5" s="268"/>
      <c r="Z5"/>
      <c r="AA5"/>
      <c r="AB5"/>
      <c r="AC5"/>
      <c r="AD5"/>
    </row>
    <row r="6" spans="1:30" ht="14.1" customHeight="1" thickBot="1" x14ac:dyDescent="0.2">
      <c r="A6" s="275"/>
      <c r="B6" s="899"/>
      <c r="C6" s="899"/>
      <c r="D6" s="908"/>
      <c r="E6" s="293"/>
      <c r="F6" s="899"/>
      <c r="G6" s="899"/>
      <c r="H6" s="909"/>
      <c r="I6" s="909"/>
      <c r="J6" s="901"/>
      <c r="K6" s="901"/>
      <c r="L6" s="910"/>
      <c r="M6" s="910"/>
      <c r="N6" s="293"/>
      <c r="O6" s="269"/>
      <c r="P6" s="269"/>
      <c r="Q6" s="269"/>
      <c r="R6" s="269"/>
      <c r="S6" s="269"/>
      <c r="T6" s="269"/>
      <c r="U6" s="269"/>
      <c r="V6" s="269"/>
      <c r="W6" s="269"/>
      <c r="X6" s="269"/>
      <c r="Y6" s="268"/>
      <c r="Z6"/>
      <c r="AA6"/>
      <c r="AB6"/>
      <c r="AC6"/>
      <c r="AD6"/>
    </row>
    <row r="7" spans="1:30" ht="14.1" customHeight="1" thickBot="1" x14ac:dyDescent="0.2">
      <c r="A7" s="275"/>
      <c r="B7" s="275"/>
      <c r="C7" s="275"/>
      <c r="D7" s="275"/>
      <c r="E7" s="275"/>
      <c r="F7" s="275"/>
      <c r="G7" s="275"/>
      <c r="H7" s="293"/>
      <c r="I7" s="275"/>
      <c r="J7" s="275"/>
      <c r="K7" s="275"/>
      <c r="L7" s="275"/>
      <c r="M7" s="275"/>
      <c r="N7" s="293"/>
      <c r="O7" s="268"/>
      <c r="P7" s="268"/>
      <c r="Q7" s="268"/>
      <c r="R7" s="268"/>
      <c r="S7" s="268"/>
      <c r="T7" s="268"/>
      <c r="U7" s="268"/>
      <c r="V7" s="268"/>
      <c r="W7" s="268"/>
      <c r="X7" s="268"/>
      <c r="Y7" s="268"/>
      <c r="Z7"/>
      <c r="AA7"/>
      <c r="AB7"/>
      <c r="AC7"/>
      <c r="AD7"/>
    </row>
    <row r="8" spans="1:30" ht="14.1" customHeight="1" thickBot="1" x14ac:dyDescent="0.2">
      <c r="A8" s="275"/>
      <c r="B8" s="897" t="s">
        <v>503</v>
      </c>
      <c r="C8" s="897"/>
      <c r="D8" s="897"/>
      <c r="E8" s="275"/>
      <c r="F8" s="896" t="s">
        <v>633</v>
      </c>
      <c r="G8" s="896"/>
      <c r="H8" s="293"/>
      <c r="I8" s="898" t="s">
        <v>634</v>
      </c>
      <c r="J8" s="898"/>
      <c r="K8" s="898"/>
      <c r="L8" s="898"/>
      <c r="M8" s="898"/>
      <c r="N8" s="293"/>
      <c r="O8" s="268"/>
      <c r="P8" s="873" t="s">
        <v>450</v>
      </c>
      <c r="Q8" s="874"/>
      <c r="R8" s="874"/>
      <c r="S8" s="874"/>
      <c r="T8" s="874"/>
      <c r="U8" s="490" t="s">
        <v>622</v>
      </c>
      <c r="V8" s="491" t="s">
        <v>270</v>
      </c>
      <c r="W8" s="491" t="s">
        <v>623</v>
      </c>
      <c r="X8" s="492" t="s">
        <v>624</v>
      </c>
      <c r="Y8" s="269"/>
      <c r="Z8"/>
      <c r="AA8"/>
      <c r="AB8"/>
      <c r="AC8"/>
      <c r="AD8"/>
    </row>
    <row r="9" spans="1:30" ht="14.1" customHeight="1" thickBot="1" x14ac:dyDescent="0.2">
      <c r="A9" s="275"/>
      <c r="B9" s="284"/>
      <c r="C9" s="287"/>
      <c r="D9" s="288" t="s">
        <v>635</v>
      </c>
      <c r="E9" s="275"/>
      <c r="F9" s="896"/>
      <c r="G9" s="896"/>
      <c r="H9" s="293"/>
      <c r="I9" s="875"/>
      <c r="J9" s="875"/>
      <c r="K9" s="875"/>
      <c r="L9" s="875"/>
      <c r="M9" s="875"/>
      <c r="N9" s="293"/>
      <c r="O9" s="268"/>
      <c r="P9" s="876"/>
      <c r="Q9" s="877"/>
      <c r="R9" s="877"/>
      <c r="S9" s="877"/>
      <c r="T9" s="877"/>
      <c r="U9" s="840" t="s">
        <v>18</v>
      </c>
      <c r="V9" s="884" t="s">
        <v>18</v>
      </c>
      <c r="W9" s="885">
        <f>IF(キャラシート!$I$3="蟹",計算用!AH12,計算用!AH6)</f>
        <v>0</v>
      </c>
      <c r="X9" s="893">
        <f>IF(キャラシート!$I$3="蟹",計算用!AI12,計算用!AI6)</f>
        <v>0</v>
      </c>
      <c r="Y9" s="268"/>
      <c r="Z9"/>
      <c r="AA9"/>
      <c r="AB9"/>
      <c r="AC9"/>
      <c r="AD9"/>
    </row>
    <row r="10" spans="1:30" ht="14.1" customHeight="1" thickBot="1" x14ac:dyDescent="0.2">
      <c r="A10" s="275"/>
      <c r="B10" s="285" t="s">
        <v>438</v>
      </c>
      <c r="C10" s="282">
        <f>D5</f>
        <v>0</v>
      </c>
      <c r="D10" s="49"/>
      <c r="E10" s="275"/>
      <c r="F10" s="285" t="s">
        <v>636</v>
      </c>
      <c r="G10" s="283">
        <f>F23</f>
        <v>2</v>
      </c>
      <c r="H10" s="293"/>
      <c r="I10" s="875"/>
      <c r="J10" s="875"/>
      <c r="K10" s="875"/>
      <c r="L10" s="875"/>
      <c r="M10" s="875"/>
      <c r="N10" s="293"/>
      <c r="O10" s="269"/>
      <c r="P10" s="876"/>
      <c r="Q10" s="877"/>
      <c r="R10" s="877"/>
      <c r="S10" s="877"/>
      <c r="T10" s="877"/>
      <c r="U10" s="840"/>
      <c r="V10" s="884"/>
      <c r="W10" s="885"/>
      <c r="X10" s="894"/>
      <c r="Y10" s="269"/>
      <c r="Z10"/>
      <c r="AA10"/>
      <c r="AB10"/>
      <c r="AC10"/>
      <c r="AD10"/>
    </row>
    <row r="11" spans="1:30" ht="14.1" customHeight="1" thickBot="1" x14ac:dyDescent="0.2">
      <c r="A11" s="275"/>
      <c r="B11" s="285" t="s">
        <v>611</v>
      </c>
      <c r="C11" s="282">
        <f>D5</f>
        <v>0</v>
      </c>
      <c r="D11" s="50"/>
      <c r="E11" s="275"/>
      <c r="F11" s="271"/>
      <c r="G11" s="267"/>
      <c r="H11" s="293"/>
      <c r="I11" s="875"/>
      <c r="J11" s="875"/>
      <c r="K11" s="875"/>
      <c r="L11" s="875"/>
      <c r="M11" s="875"/>
      <c r="N11" s="293"/>
      <c r="O11" s="268"/>
      <c r="P11" s="888" t="s">
        <v>9</v>
      </c>
      <c r="Q11" s="889"/>
      <c r="R11" s="889"/>
      <c r="S11" s="880" t="s">
        <v>10</v>
      </c>
      <c r="T11" s="880"/>
      <c r="U11" s="880"/>
      <c r="V11" s="881" t="s">
        <v>11</v>
      </c>
      <c r="W11" s="881"/>
      <c r="X11" s="882"/>
      <c r="Y11" s="268"/>
      <c r="Z11"/>
      <c r="AA11"/>
      <c r="AB11"/>
      <c r="AC11"/>
      <c r="AD11"/>
    </row>
    <row r="12" spans="1:30" ht="14.1" customHeight="1" thickBot="1" x14ac:dyDescent="0.2">
      <c r="A12" s="275"/>
      <c r="B12" s="285" t="s">
        <v>536</v>
      </c>
      <c r="C12" s="282">
        <f>D5</f>
        <v>0</v>
      </c>
      <c r="D12" s="50"/>
      <c r="E12" s="275"/>
      <c r="F12" s="271"/>
      <c r="G12" s="267"/>
      <c r="H12" s="293"/>
      <c r="I12" s="875"/>
      <c r="J12" s="875"/>
      <c r="K12" s="875"/>
      <c r="L12" s="875"/>
      <c r="M12" s="875"/>
      <c r="N12" s="293"/>
      <c r="O12" s="269"/>
      <c r="P12" s="886" t="s">
        <v>18</v>
      </c>
      <c r="Q12" s="890" t="s">
        <v>18</v>
      </c>
      <c r="R12" s="890" t="s">
        <v>18</v>
      </c>
      <c r="S12" s="441" t="s">
        <v>18</v>
      </c>
      <c r="T12" s="441" t="s">
        <v>18</v>
      </c>
      <c r="U12" s="441" t="s">
        <v>18</v>
      </c>
      <c r="V12" s="441" t="s">
        <v>18</v>
      </c>
      <c r="W12" s="441" t="s">
        <v>18</v>
      </c>
      <c r="X12" s="442" t="s">
        <v>18</v>
      </c>
      <c r="Y12" s="269"/>
      <c r="Z12"/>
      <c r="AA12"/>
      <c r="AB12"/>
      <c r="AC12"/>
      <c r="AD12"/>
    </row>
    <row r="13" spans="1:30" ht="14.1" customHeight="1" thickBot="1" x14ac:dyDescent="0.2">
      <c r="A13" s="275"/>
      <c r="B13" s="285" t="s">
        <v>541</v>
      </c>
      <c r="C13" s="282">
        <f>D5</f>
        <v>0</v>
      </c>
      <c r="D13" s="50"/>
      <c r="E13" s="275"/>
      <c r="F13" s="271"/>
      <c r="G13" s="267"/>
      <c r="H13" s="293"/>
      <c r="I13" s="875"/>
      <c r="J13" s="875"/>
      <c r="K13" s="875"/>
      <c r="L13" s="875"/>
      <c r="M13" s="875"/>
      <c r="N13" s="293"/>
      <c r="O13" s="268"/>
      <c r="P13" s="886"/>
      <c r="Q13" s="890"/>
      <c r="R13" s="890"/>
      <c r="S13" s="441" t="s">
        <v>18</v>
      </c>
      <c r="T13" s="441" t="s">
        <v>18</v>
      </c>
      <c r="U13" s="441" t="s">
        <v>18</v>
      </c>
      <c r="V13" s="441" t="s">
        <v>18</v>
      </c>
      <c r="W13" s="441" t="s">
        <v>18</v>
      </c>
      <c r="X13" s="442" t="s">
        <v>18</v>
      </c>
      <c r="Y13" s="268"/>
      <c r="Z13"/>
      <c r="AA13" s="437"/>
      <c r="AB13"/>
      <c r="AC13"/>
      <c r="AD13"/>
    </row>
    <row r="14" spans="1:30" ht="14.1" customHeight="1" thickBot="1" x14ac:dyDescent="0.2">
      <c r="A14" s="275"/>
      <c r="B14" s="285" t="s">
        <v>521</v>
      </c>
      <c r="C14" s="282">
        <f>IF(K2="攻撃型",ROUNDDOWN(C23/3,0),0)</f>
        <v>0</v>
      </c>
      <c r="D14" s="50"/>
      <c r="E14" s="275"/>
      <c r="F14" s="271"/>
      <c r="G14" s="267"/>
      <c r="H14" s="293"/>
      <c r="I14" s="875"/>
      <c r="J14" s="875"/>
      <c r="K14" s="875"/>
      <c r="L14" s="875"/>
      <c r="M14" s="875"/>
      <c r="N14" s="293"/>
      <c r="O14" s="269"/>
      <c r="P14" s="868" t="s">
        <v>626</v>
      </c>
      <c r="Q14" s="813"/>
      <c r="R14" s="813"/>
      <c r="S14" s="813"/>
      <c r="T14" s="813"/>
      <c r="U14" s="813"/>
      <c r="V14" s="813"/>
      <c r="W14" s="813"/>
      <c r="X14" s="869"/>
      <c r="Y14" s="269"/>
      <c r="Z14"/>
      <c r="AA14" s="437"/>
      <c r="AB14"/>
      <c r="AC14"/>
      <c r="AD14"/>
    </row>
    <row r="15" spans="1:30" ht="14.1" customHeight="1" thickBot="1" x14ac:dyDescent="0.2">
      <c r="A15" s="275"/>
      <c r="B15" s="285" t="s">
        <v>526</v>
      </c>
      <c r="C15" s="282">
        <f>IF(K2="攻撃型",ROUNDDOWN(C23/3,0),0)</f>
        <v>0</v>
      </c>
      <c r="D15" s="50"/>
      <c r="E15" s="275"/>
      <c r="F15" s="271"/>
      <c r="G15" s="267"/>
      <c r="H15" s="293"/>
      <c r="I15" s="875"/>
      <c r="J15" s="875"/>
      <c r="K15" s="875"/>
      <c r="L15" s="875"/>
      <c r="M15" s="875"/>
      <c r="N15" s="293"/>
      <c r="O15" s="268"/>
      <c r="P15" s="891"/>
      <c r="Q15" s="830"/>
      <c r="R15" s="830"/>
      <c r="S15" s="830"/>
      <c r="T15" s="830"/>
      <c r="U15" s="830"/>
      <c r="V15" s="830"/>
      <c r="W15" s="830"/>
      <c r="X15" s="892"/>
      <c r="Y15" s="268"/>
      <c r="Z15"/>
      <c r="AA15"/>
      <c r="AB15"/>
      <c r="AC15"/>
      <c r="AD15"/>
    </row>
    <row r="16" spans="1:30" ht="14.1" customHeight="1" thickBot="1" x14ac:dyDescent="0.2">
      <c r="A16" s="275"/>
      <c r="B16" s="286" t="s">
        <v>447</v>
      </c>
      <c r="C16" s="280">
        <f>D5</f>
        <v>0</v>
      </c>
      <c r="D16" s="51"/>
      <c r="E16" s="275"/>
      <c r="F16" s="273"/>
      <c r="G16" s="274"/>
      <c r="H16" s="293"/>
      <c r="I16" s="875"/>
      <c r="J16" s="875"/>
      <c r="K16" s="875"/>
      <c r="L16" s="875"/>
      <c r="M16" s="875"/>
      <c r="N16" s="293"/>
      <c r="O16" s="269"/>
      <c r="P16" s="891"/>
      <c r="Q16" s="830"/>
      <c r="R16" s="830"/>
      <c r="S16" s="830"/>
      <c r="T16" s="830"/>
      <c r="U16" s="830"/>
      <c r="V16" s="830"/>
      <c r="W16" s="830"/>
      <c r="X16" s="892"/>
      <c r="Y16" s="269"/>
      <c r="Z16"/>
      <c r="AA16"/>
      <c r="AB16"/>
      <c r="AC16"/>
      <c r="AD16"/>
    </row>
    <row r="17" spans="1:30" ht="14.1" customHeight="1" thickBot="1" x14ac:dyDescent="0.2">
      <c r="A17" s="275"/>
      <c r="B17" s="275"/>
      <c r="C17" s="275"/>
      <c r="D17" s="275"/>
      <c r="E17" s="292"/>
      <c r="F17" s="292"/>
      <c r="G17" s="292"/>
      <c r="H17" s="275"/>
      <c r="I17" s="875"/>
      <c r="J17" s="875"/>
      <c r="K17" s="875"/>
      <c r="L17" s="875"/>
      <c r="M17" s="875"/>
      <c r="N17" s="293"/>
      <c r="O17" s="269"/>
      <c r="P17" s="870" t="s">
        <v>627</v>
      </c>
      <c r="Q17" s="871"/>
      <c r="R17" s="871"/>
      <c r="S17" s="871"/>
      <c r="T17" s="871"/>
      <c r="U17" s="871"/>
      <c r="V17" s="871"/>
      <c r="W17" s="871"/>
      <c r="X17" s="872"/>
      <c r="Y17" s="268"/>
      <c r="Z17"/>
      <c r="AA17"/>
      <c r="AB17"/>
      <c r="AC17"/>
      <c r="AD17"/>
    </row>
    <row r="18" spans="1:30" ht="14.1" customHeight="1" thickBot="1" x14ac:dyDescent="0.2">
      <c r="A18" s="275"/>
      <c r="B18" s="879" t="s">
        <v>437</v>
      </c>
      <c r="C18" s="879"/>
      <c r="D18" s="272" t="s">
        <v>637</v>
      </c>
      <c r="E18" s="275"/>
      <c r="F18" s="488" t="s">
        <v>638</v>
      </c>
      <c r="G18" s="489" t="s">
        <v>854</v>
      </c>
      <c r="H18" s="293"/>
      <c r="I18" s="875"/>
      <c r="J18" s="875"/>
      <c r="K18" s="875"/>
      <c r="L18" s="875"/>
      <c r="M18" s="875"/>
      <c r="N18" s="293"/>
      <c r="O18" s="268"/>
      <c r="P18" s="268"/>
      <c r="Q18" s="268"/>
      <c r="R18" s="268"/>
      <c r="S18" s="268"/>
      <c r="T18" s="268"/>
      <c r="U18" s="268"/>
      <c r="V18" s="268"/>
      <c r="W18" s="268"/>
      <c r="X18" s="268"/>
      <c r="Y18" s="269"/>
      <c r="Z18"/>
      <c r="AA18"/>
      <c r="AB18"/>
      <c r="AC18"/>
      <c r="AD18"/>
    </row>
    <row r="19" spans="1:30" ht="14.1" customHeight="1" thickBot="1" x14ac:dyDescent="0.2">
      <c r="A19" s="275"/>
      <c r="B19" s="281">
        <f>キャラシート!G35</f>
        <v>0</v>
      </c>
      <c r="C19" s="279">
        <f>キャラシート!H35</f>
        <v>0</v>
      </c>
      <c r="D19" s="278">
        <f>IF(K2="攻撃型",ROUNDDOWN(C23/3,0),0)</f>
        <v>0</v>
      </c>
      <c r="E19" s="292"/>
      <c r="F19" s="277" t="str">
        <f>IF(K2="速度型","2D6","1D6")</f>
        <v>1D6</v>
      </c>
      <c r="G19" s="276" t="str">
        <f>IF(K2="探索型","2D6","1D6")</f>
        <v>1D6</v>
      </c>
      <c r="H19" s="293"/>
      <c r="I19" s="875"/>
      <c r="J19" s="875"/>
      <c r="K19" s="875"/>
      <c r="L19" s="875"/>
      <c r="M19" s="875"/>
      <c r="N19" s="293"/>
      <c r="O19" s="269"/>
      <c r="P19" s="873" t="s">
        <v>450</v>
      </c>
      <c r="Q19" s="874"/>
      <c r="R19" s="874"/>
      <c r="S19" s="874"/>
      <c r="T19" s="874"/>
      <c r="U19" s="490" t="s">
        <v>622</v>
      </c>
      <c r="V19" s="491" t="s">
        <v>270</v>
      </c>
      <c r="W19" s="491" t="s">
        <v>623</v>
      </c>
      <c r="X19" s="492" t="s">
        <v>624</v>
      </c>
      <c r="Y19" s="269"/>
      <c r="Z19"/>
      <c r="AA19"/>
      <c r="AB19"/>
      <c r="AC19"/>
      <c r="AD19"/>
    </row>
    <row r="20" spans="1:30" ht="14.1" customHeight="1" thickBot="1" x14ac:dyDescent="0.2">
      <c r="A20" s="292"/>
      <c r="B20" s="292"/>
      <c r="C20" s="292"/>
      <c r="D20" s="292"/>
      <c r="E20" s="292"/>
      <c r="F20" s="292"/>
      <c r="G20" s="275"/>
      <c r="H20" s="293"/>
      <c r="I20" s="875"/>
      <c r="J20" s="875"/>
      <c r="K20" s="875"/>
      <c r="L20" s="875"/>
      <c r="M20" s="875"/>
      <c r="N20" s="293"/>
      <c r="O20" s="268"/>
      <c r="P20" s="876"/>
      <c r="Q20" s="877"/>
      <c r="R20" s="877"/>
      <c r="S20" s="877"/>
      <c r="T20" s="877"/>
      <c r="U20" s="840" t="s">
        <v>18</v>
      </c>
      <c r="V20" s="884" t="s">
        <v>18</v>
      </c>
      <c r="W20" s="885">
        <f>IF(キャラシート!$I$3="蟹",計算用!AH24,計算用!AH18)</f>
        <v>0</v>
      </c>
      <c r="X20" s="895">
        <f>IF(キャラシート!$I$3="蟹",計算用!AI24,計算用!AI18)</f>
        <v>0</v>
      </c>
      <c r="Y20" s="268"/>
      <c r="Z20"/>
      <c r="AA20"/>
      <c r="AB20"/>
      <c r="AC20"/>
      <c r="AD20"/>
    </row>
    <row r="21" spans="1:30" ht="14.1" customHeight="1" thickBot="1" x14ac:dyDescent="0.2">
      <c r="A21" s="292"/>
      <c r="B21" s="883" t="s">
        <v>556</v>
      </c>
      <c r="C21" s="878"/>
      <c r="D21" s="878"/>
      <c r="E21" s="878"/>
      <c r="F21" s="878"/>
      <c r="G21" s="878"/>
      <c r="H21" s="293"/>
      <c r="I21" s="875"/>
      <c r="J21" s="875"/>
      <c r="K21" s="875"/>
      <c r="L21" s="875"/>
      <c r="M21" s="875"/>
      <c r="N21" s="293"/>
      <c r="O21" s="269"/>
      <c r="P21" s="876"/>
      <c r="Q21" s="877"/>
      <c r="R21" s="877"/>
      <c r="S21" s="877"/>
      <c r="T21" s="877"/>
      <c r="U21" s="840"/>
      <c r="V21" s="884"/>
      <c r="W21" s="885"/>
      <c r="X21" s="895"/>
      <c r="Y21" s="269"/>
      <c r="Z21"/>
      <c r="AA21"/>
      <c r="AB21"/>
      <c r="AC21"/>
      <c r="AD21"/>
    </row>
    <row r="22" spans="1:30" ht="14.1" customHeight="1" thickBot="1" x14ac:dyDescent="0.2">
      <c r="A22" s="292"/>
      <c r="B22" s="883"/>
      <c r="C22" s="878"/>
      <c r="D22" s="878"/>
      <c r="E22" s="878"/>
      <c r="F22" s="878"/>
      <c r="G22" s="878"/>
      <c r="H22" s="293"/>
      <c r="I22" s="875"/>
      <c r="J22" s="875"/>
      <c r="K22" s="875"/>
      <c r="L22" s="875"/>
      <c r="M22" s="875"/>
      <c r="N22" s="293"/>
      <c r="O22" s="268"/>
      <c r="P22" s="888" t="s">
        <v>9</v>
      </c>
      <c r="Q22" s="889"/>
      <c r="R22" s="889"/>
      <c r="S22" s="880" t="s">
        <v>10</v>
      </c>
      <c r="T22" s="880"/>
      <c r="U22" s="880"/>
      <c r="V22" s="881" t="s">
        <v>11</v>
      </c>
      <c r="W22" s="881"/>
      <c r="X22" s="882"/>
      <c r="Y22" s="268"/>
      <c r="Z22"/>
      <c r="AA22"/>
      <c r="AB22"/>
      <c r="AC22"/>
      <c r="AD22"/>
    </row>
    <row r="23" spans="1:30" ht="14.1" customHeight="1" thickBot="1" x14ac:dyDescent="0.2">
      <c r="A23" s="292"/>
      <c r="B23" s="289" t="s">
        <v>448</v>
      </c>
      <c r="C23" s="865">
        <f>キャラシート!H25-キャラシート!Y58</f>
        <v>4</v>
      </c>
      <c r="D23" s="865"/>
      <c r="E23" s="290" t="s">
        <v>527</v>
      </c>
      <c r="F23" s="866">
        <f>キャラシート!H27</f>
        <v>2</v>
      </c>
      <c r="G23" s="866"/>
      <c r="H23" s="293"/>
      <c r="I23" s="875"/>
      <c r="J23" s="875"/>
      <c r="K23" s="875"/>
      <c r="L23" s="875"/>
      <c r="M23" s="875"/>
      <c r="N23" s="293"/>
      <c r="O23" s="269"/>
      <c r="P23" s="886" t="s">
        <v>18</v>
      </c>
      <c r="Q23" s="890" t="s">
        <v>18</v>
      </c>
      <c r="R23" s="890" t="s">
        <v>18</v>
      </c>
      <c r="S23" s="441" t="s">
        <v>18</v>
      </c>
      <c r="T23" s="441" t="s">
        <v>18</v>
      </c>
      <c r="U23" s="441" t="s">
        <v>18</v>
      </c>
      <c r="V23" s="441" t="s">
        <v>18</v>
      </c>
      <c r="W23" s="441" t="s">
        <v>18</v>
      </c>
      <c r="X23" s="442" t="s">
        <v>18</v>
      </c>
      <c r="Y23" s="269"/>
      <c r="Z23"/>
      <c r="AA23"/>
      <c r="AB23"/>
      <c r="AC23"/>
      <c r="AD23"/>
    </row>
    <row r="24" spans="1:30" ht="14.1" customHeight="1" thickBot="1" x14ac:dyDescent="0.2">
      <c r="A24" s="292"/>
      <c r="B24" s="867" t="s">
        <v>567</v>
      </c>
      <c r="C24" s="867"/>
      <c r="D24" s="867"/>
      <c r="E24" s="867"/>
      <c r="F24" s="867"/>
      <c r="G24" s="867"/>
      <c r="H24" s="293"/>
      <c r="I24" s="875"/>
      <c r="J24" s="875"/>
      <c r="K24" s="875"/>
      <c r="L24" s="875"/>
      <c r="M24" s="875"/>
      <c r="N24" s="293"/>
      <c r="O24" s="268"/>
      <c r="P24" s="886"/>
      <c r="Q24" s="890"/>
      <c r="R24" s="890"/>
      <c r="S24" s="441" t="s">
        <v>18</v>
      </c>
      <c r="T24" s="441" t="s">
        <v>18</v>
      </c>
      <c r="U24" s="441" t="s">
        <v>18</v>
      </c>
      <c r="V24" s="441" t="s">
        <v>18</v>
      </c>
      <c r="W24" s="441" t="s">
        <v>18</v>
      </c>
      <c r="X24" s="442" t="s">
        <v>18</v>
      </c>
      <c r="Y24" s="268"/>
      <c r="Z24"/>
      <c r="AA24"/>
      <c r="AB24"/>
      <c r="AC24"/>
      <c r="AD24"/>
    </row>
    <row r="25" spans="1:30" ht="14.1" customHeight="1" thickBot="1" x14ac:dyDescent="0.2">
      <c r="A25" s="292"/>
      <c r="B25" s="864"/>
      <c r="C25" s="864"/>
      <c r="D25" s="864"/>
      <c r="E25" s="864"/>
      <c r="F25" s="864"/>
      <c r="G25" s="864"/>
      <c r="H25" s="293"/>
      <c r="I25" s="875"/>
      <c r="J25" s="875"/>
      <c r="K25" s="875"/>
      <c r="L25" s="875"/>
      <c r="M25" s="875"/>
      <c r="N25" s="293"/>
      <c r="O25" s="269"/>
      <c r="P25" s="868" t="s">
        <v>626</v>
      </c>
      <c r="Q25" s="813"/>
      <c r="R25" s="813"/>
      <c r="S25" s="813"/>
      <c r="T25" s="813"/>
      <c r="U25" s="813"/>
      <c r="V25" s="813"/>
      <c r="W25" s="813"/>
      <c r="X25" s="869"/>
      <c r="Y25" s="269"/>
      <c r="Z25"/>
      <c r="AA25"/>
      <c r="AB25"/>
      <c r="AC25"/>
      <c r="AD25"/>
    </row>
    <row r="26" spans="1:30" ht="14.1" customHeight="1" thickBot="1" x14ac:dyDescent="0.2">
      <c r="A26" s="292"/>
      <c r="B26" s="864"/>
      <c r="C26" s="864"/>
      <c r="D26" s="864"/>
      <c r="E26" s="864"/>
      <c r="F26" s="864"/>
      <c r="G26" s="864"/>
      <c r="H26" s="293"/>
      <c r="I26" s="875"/>
      <c r="J26" s="875"/>
      <c r="K26" s="875"/>
      <c r="L26" s="875"/>
      <c r="M26" s="875"/>
      <c r="N26" s="293"/>
      <c r="O26" s="268"/>
      <c r="P26" s="891"/>
      <c r="Q26" s="830"/>
      <c r="R26" s="830"/>
      <c r="S26" s="830"/>
      <c r="T26" s="830"/>
      <c r="U26" s="830"/>
      <c r="V26" s="830"/>
      <c r="W26" s="830"/>
      <c r="X26" s="892"/>
      <c r="Y26" s="268"/>
      <c r="Z26"/>
      <c r="AA26"/>
      <c r="AB26"/>
      <c r="AC26"/>
      <c r="AD26"/>
    </row>
    <row r="27" spans="1:30" ht="14.1" customHeight="1" thickBot="1" x14ac:dyDescent="0.2">
      <c r="A27" s="292"/>
      <c r="B27" s="864"/>
      <c r="C27" s="864"/>
      <c r="D27" s="864"/>
      <c r="E27" s="864"/>
      <c r="F27" s="864"/>
      <c r="G27" s="864"/>
      <c r="H27" s="293"/>
      <c r="I27" s="875"/>
      <c r="J27" s="875"/>
      <c r="K27" s="875"/>
      <c r="L27" s="875"/>
      <c r="M27" s="875"/>
      <c r="N27" s="293"/>
      <c r="O27" s="269"/>
      <c r="P27" s="891"/>
      <c r="Q27" s="830"/>
      <c r="R27" s="830"/>
      <c r="S27" s="830"/>
      <c r="T27" s="830"/>
      <c r="U27" s="830"/>
      <c r="V27" s="830"/>
      <c r="W27" s="830"/>
      <c r="X27" s="892"/>
      <c r="Y27" s="269"/>
      <c r="Z27"/>
      <c r="AA27"/>
      <c r="AB27"/>
      <c r="AC27"/>
      <c r="AD27"/>
    </row>
    <row r="28" spans="1:30" ht="14.1" customHeight="1" thickBot="1" x14ac:dyDescent="0.2">
      <c r="A28" s="292"/>
      <c r="B28" s="864"/>
      <c r="C28" s="864"/>
      <c r="D28" s="864"/>
      <c r="E28" s="864"/>
      <c r="F28" s="864"/>
      <c r="G28" s="864"/>
      <c r="H28" s="293"/>
      <c r="I28" s="875"/>
      <c r="J28" s="875"/>
      <c r="K28" s="875"/>
      <c r="L28" s="875"/>
      <c r="M28" s="875"/>
      <c r="N28" s="293"/>
      <c r="O28" s="268"/>
      <c r="P28" s="870" t="s">
        <v>627</v>
      </c>
      <c r="Q28" s="871"/>
      <c r="R28" s="871"/>
      <c r="S28" s="871"/>
      <c r="T28" s="871"/>
      <c r="U28" s="871"/>
      <c r="V28" s="871"/>
      <c r="W28" s="871"/>
      <c r="X28" s="872"/>
      <c r="Y28" s="268"/>
      <c r="Z28"/>
      <c r="AA28"/>
      <c r="AB28"/>
      <c r="AC28"/>
      <c r="AD28"/>
    </row>
    <row r="29" spans="1:30" ht="14.1" customHeight="1" thickBot="1" x14ac:dyDescent="0.2">
      <c r="A29" s="292"/>
      <c r="B29" s="864"/>
      <c r="C29" s="864"/>
      <c r="D29" s="864"/>
      <c r="E29" s="864"/>
      <c r="F29" s="864"/>
      <c r="G29" s="864"/>
      <c r="H29" s="293"/>
      <c r="I29" s="875"/>
      <c r="J29" s="875"/>
      <c r="K29" s="875"/>
      <c r="L29" s="875"/>
      <c r="M29" s="875"/>
      <c r="N29" s="293"/>
      <c r="O29" s="269"/>
      <c r="P29" s="269"/>
      <c r="Q29" s="269"/>
      <c r="R29" s="269"/>
      <c r="S29" s="269"/>
      <c r="T29" s="269"/>
      <c r="U29" s="269"/>
      <c r="V29" s="269"/>
      <c r="W29" s="269"/>
      <c r="X29" s="269"/>
      <c r="Y29" s="268"/>
      <c r="Z29"/>
      <c r="AA29"/>
      <c r="AB29"/>
      <c r="AC29"/>
      <c r="AD29"/>
    </row>
    <row r="30" spans="1:30" ht="14.1" customHeight="1" thickBot="1" x14ac:dyDescent="0.2">
      <c r="A30" s="292"/>
      <c r="B30" s="292"/>
      <c r="C30" s="292"/>
      <c r="D30" s="292"/>
      <c r="E30" s="292"/>
      <c r="F30" s="292"/>
      <c r="G30" s="292"/>
      <c r="H30" s="292"/>
      <c r="I30" s="292"/>
      <c r="J30" s="275"/>
      <c r="K30" s="292"/>
      <c r="L30" s="292"/>
      <c r="M30" s="275"/>
      <c r="N30" s="292"/>
      <c r="O30" s="268"/>
      <c r="P30" s="873" t="s">
        <v>450</v>
      </c>
      <c r="Q30" s="874"/>
      <c r="R30" s="874"/>
      <c r="S30" s="874"/>
      <c r="T30" s="874"/>
      <c r="U30" s="490" t="s">
        <v>622</v>
      </c>
      <c r="V30" s="491" t="s">
        <v>270</v>
      </c>
      <c r="W30" s="491" t="s">
        <v>623</v>
      </c>
      <c r="X30" s="492" t="s">
        <v>624</v>
      </c>
      <c r="Y30" s="269"/>
      <c r="Z30"/>
      <c r="AA30"/>
      <c r="AB30"/>
      <c r="AC30"/>
      <c r="AD30"/>
    </row>
    <row r="31" spans="1:30" ht="14.1" customHeight="1" x14ac:dyDescent="0.15">
      <c r="A31" s="292"/>
      <c r="B31" s="887" t="s">
        <v>639</v>
      </c>
      <c r="C31" s="887"/>
      <c r="D31" s="887"/>
      <c r="E31" s="887"/>
      <c r="F31" s="887"/>
      <c r="G31" s="887"/>
      <c r="H31" s="887"/>
      <c r="I31" s="887"/>
      <c r="J31" s="887"/>
      <c r="K31" s="887"/>
      <c r="L31" s="887"/>
      <c r="M31" s="887"/>
      <c r="N31" s="293"/>
      <c r="O31" s="269"/>
      <c r="P31" s="876"/>
      <c r="Q31" s="877"/>
      <c r="R31" s="877"/>
      <c r="S31" s="877"/>
      <c r="T31" s="877"/>
      <c r="U31" s="840" t="s">
        <v>18</v>
      </c>
      <c r="V31" s="884" t="s">
        <v>18</v>
      </c>
      <c r="W31" s="885">
        <f>IF(キャラシート!$I$3="蟹",計算用!AH36,計算用!AH30)</f>
        <v>0</v>
      </c>
      <c r="X31" s="895">
        <f>IF(キャラシート!$I$3="蟹",計算用!AI36,計算用!AI30)</f>
        <v>0</v>
      </c>
      <c r="Y31" s="268"/>
      <c r="Z31"/>
      <c r="AA31"/>
      <c r="AB31"/>
      <c r="AC31"/>
      <c r="AD31"/>
    </row>
    <row r="32" spans="1:30" ht="14.1" customHeight="1" thickBot="1" x14ac:dyDescent="0.2">
      <c r="A32" s="292"/>
      <c r="B32" s="864"/>
      <c r="C32" s="864"/>
      <c r="D32" s="864"/>
      <c r="E32" s="864"/>
      <c r="F32" s="864"/>
      <c r="G32" s="864"/>
      <c r="H32" s="864"/>
      <c r="I32" s="864"/>
      <c r="J32" s="864"/>
      <c r="K32" s="864"/>
      <c r="L32" s="864"/>
      <c r="M32" s="864"/>
      <c r="N32" s="293"/>
      <c r="O32" s="268"/>
      <c r="P32" s="876"/>
      <c r="Q32" s="877"/>
      <c r="R32" s="877"/>
      <c r="S32" s="877"/>
      <c r="T32" s="877"/>
      <c r="U32" s="840"/>
      <c r="V32" s="884"/>
      <c r="W32" s="885"/>
      <c r="X32" s="895"/>
      <c r="Y32" s="269"/>
      <c r="Z32"/>
      <c r="AA32"/>
      <c r="AB32"/>
      <c r="AC32"/>
      <c r="AD32"/>
    </row>
    <row r="33" spans="1:30" ht="14.1" customHeight="1" thickBot="1" x14ac:dyDescent="0.2">
      <c r="A33" s="292"/>
      <c r="B33" s="864"/>
      <c r="C33" s="864"/>
      <c r="D33" s="864"/>
      <c r="E33" s="864"/>
      <c r="F33" s="864"/>
      <c r="G33" s="864"/>
      <c r="H33" s="864"/>
      <c r="I33" s="864"/>
      <c r="J33" s="864"/>
      <c r="K33" s="864"/>
      <c r="L33" s="864"/>
      <c r="M33" s="864"/>
      <c r="N33" s="293"/>
      <c r="O33" s="269"/>
      <c r="P33" s="888" t="s">
        <v>9</v>
      </c>
      <c r="Q33" s="889"/>
      <c r="R33" s="889"/>
      <c r="S33" s="880" t="s">
        <v>10</v>
      </c>
      <c r="T33" s="880"/>
      <c r="U33" s="880"/>
      <c r="V33" s="881" t="s">
        <v>11</v>
      </c>
      <c r="W33" s="881"/>
      <c r="X33" s="882"/>
      <c r="Y33" s="268"/>
      <c r="Z33"/>
      <c r="AA33"/>
      <c r="AB33"/>
      <c r="AC33"/>
      <c r="AD33"/>
    </row>
    <row r="34" spans="1:30" ht="14.1" customHeight="1" thickBot="1" x14ac:dyDescent="0.2">
      <c r="A34" s="292"/>
      <c r="B34" s="864"/>
      <c r="C34" s="864"/>
      <c r="D34" s="864"/>
      <c r="E34" s="864"/>
      <c r="F34" s="864"/>
      <c r="G34" s="864"/>
      <c r="H34" s="864"/>
      <c r="I34" s="864"/>
      <c r="J34" s="864"/>
      <c r="K34" s="864"/>
      <c r="L34" s="864"/>
      <c r="M34" s="864"/>
      <c r="N34" s="293"/>
      <c r="O34" s="268"/>
      <c r="P34" s="886" t="s">
        <v>18</v>
      </c>
      <c r="Q34" s="890" t="s">
        <v>18</v>
      </c>
      <c r="R34" s="890" t="s">
        <v>18</v>
      </c>
      <c r="S34" s="441" t="s">
        <v>18</v>
      </c>
      <c r="T34" s="441" t="s">
        <v>18</v>
      </c>
      <c r="U34" s="441" t="s">
        <v>18</v>
      </c>
      <c r="V34" s="441" t="s">
        <v>18</v>
      </c>
      <c r="W34" s="441" t="s">
        <v>18</v>
      </c>
      <c r="X34" s="442" t="s">
        <v>18</v>
      </c>
      <c r="Y34" s="269"/>
      <c r="Z34"/>
      <c r="AA34"/>
      <c r="AB34"/>
      <c r="AC34"/>
      <c r="AD34"/>
    </row>
    <row r="35" spans="1:30" ht="14.1" customHeight="1" thickBot="1" x14ac:dyDescent="0.2">
      <c r="A35" s="292"/>
      <c r="B35" s="864"/>
      <c r="C35" s="864"/>
      <c r="D35" s="864"/>
      <c r="E35" s="864"/>
      <c r="F35" s="864"/>
      <c r="G35" s="864"/>
      <c r="H35" s="864"/>
      <c r="I35" s="864"/>
      <c r="J35" s="864"/>
      <c r="K35" s="864"/>
      <c r="L35" s="864"/>
      <c r="M35" s="864"/>
      <c r="N35" s="292"/>
      <c r="O35" s="269"/>
      <c r="P35" s="886"/>
      <c r="Q35" s="890"/>
      <c r="R35" s="890"/>
      <c r="S35" s="441" t="s">
        <v>18</v>
      </c>
      <c r="T35" s="441" t="s">
        <v>18</v>
      </c>
      <c r="U35" s="441" t="s">
        <v>18</v>
      </c>
      <c r="V35" s="441" t="s">
        <v>18</v>
      </c>
      <c r="W35" s="441" t="s">
        <v>18</v>
      </c>
      <c r="X35" s="442" t="s">
        <v>18</v>
      </c>
      <c r="Y35" s="268"/>
      <c r="Z35" s="1"/>
      <c r="AA35" s="1"/>
      <c r="AB35" s="1"/>
      <c r="AC35" s="1"/>
      <c r="AD35" s="1"/>
    </row>
    <row r="36" spans="1:30" ht="14.1" customHeight="1" x14ac:dyDescent="0.15">
      <c r="A36" s="292"/>
      <c r="B36" s="292"/>
      <c r="C36" s="292"/>
      <c r="D36" s="292"/>
      <c r="E36" s="292"/>
      <c r="F36" s="292"/>
      <c r="G36" s="292"/>
      <c r="H36" s="292"/>
      <c r="I36" s="292"/>
      <c r="J36" s="275"/>
      <c r="K36" s="292"/>
      <c r="L36" s="292"/>
      <c r="M36" s="275"/>
      <c r="N36" s="292"/>
      <c r="O36" s="268"/>
      <c r="P36" s="868" t="s">
        <v>626</v>
      </c>
      <c r="Q36" s="813"/>
      <c r="R36" s="813"/>
      <c r="S36" s="813"/>
      <c r="T36" s="813"/>
      <c r="U36" s="813"/>
      <c r="V36" s="813"/>
      <c r="W36" s="813"/>
      <c r="X36" s="869"/>
      <c r="Y36" s="269"/>
      <c r="Z36" s="1"/>
      <c r="AA36" s="1"/>
      <c r="AB36" s="1"/>
      <c r="AC36" s="1"/>
      <c r="AD36" s="1"/>
    </row>
    <row r="37" spans="1:30" ht="14.1" customHeight="1" x14ac:dyDescent="0.15">
      <c r="A37"/>
      <c r="B37"/>
      <c r="C37"/>
      <c r="D37"/>
      <c r="E37"/>
      <c r="F37"/>
      <c r="G37"/>
      <c r="H37"/>
      <c r="I37"/>
      <c r="J37"/>
      <c r="K37"/>
      <c r="L37"/>
      <c r="M37"/>
      <c r="N37"/>
      <c r="O37" s="269"/>
      <c r="P37" s="891"/>
      <c r="Q37" s="830"/>
      <c r="R37" s="830"/>
      <c r="S37" s="830"/>
      <c r="T37" s="830"/>
      <c r="U37" s="830"/>
      <c r="V37" s="830"/>
      <c r="W37" s="830"/>
      <c r="X37" s="892"/>
      <c r="Y37" s="268"/>
      <c r="Z37" s="1"/>
      <c r="AA37" s="1"/>
      <c r="AB37" s="1"/>
      <c r="AC37" s="1"/>
      <c r="AD37" s="1"/>
    </row>
    <row r="38" spans="1:30" ht="14.1" customHeight="1" x14ac:dyDescent="0.15">
      <c r="A38"/>
      <c r="B38"/>
      <c r="C38"/>
      <c r="D38"/>
      <c r="E38"/>
      <c r="F38"/>
      <c r="G38"/>
      <c r="H38"/>
      <c r="I38"/>
      <c r="J38"/>
      <c r="K38"/>
      <c r="L38"/>
      <c r="M38"/>
      <c r="N38"/>
      <c r="O38" s="268"/>
      <c r="P38" s="891"/>
      <c r="Q38" s="830"/>
      <c r="R38" s="830"/>
      <c r="S38" s="830"/>
      <c r="T38" s="830"/>
      <c r="U38" s="830"/>
      <c r="V38" s="830"/>
      <c r="W38" s="830"/>
      <c r="X38" s="892"/>
      <c r="Y38" s="269"/>
      <c r="Z38" s="1"/>
      <c r="AA38" s="1"/>
      <c r="AB38" s="1"/>
      <c r="AC38" s="1"/>
      <c r="AD38" s="1"/>
    </row>
    <row r="39" spans="1:30" ht="14.1" customHeight="1" thickBot="1" x14ac:dyDescent="0.2">
      <c r="A39"/>
      <c r="B39"/>
      <c r="C39"/>
      <c r="D39"/>
      <c r="E39"/>
      <c r="F39"/>
      <c r="G39"/>
      <c r="H39"/>
      <c r="I39"/>
      <c r="J39"/>
      <c r="K39"/>
      <c r="L39"/>
      <c r="M39"/>
      <c r="N39"/>
      <c r="O39" s="269"/>
      <c r="P39" s="870" t="s">
        <v>627</v>
      </c>
      <c r="Q39" s="871"/>
      <c r="R39" s="871"/>
      <c r="S39" s="871"/>
      <c r="T39" s="871"/>
      <c r="U39" s="871"/>
      <c r="V39" s="871"/>
      <c r="W39" s="871"/>
      <c r="X39" s="872"/>
      <c r="Y39" s="268"/>
      <c r="Z39" s="1"/>
      <c r="AA39" s="1"/>
      <c r="AB39" s="1"/>
      <c r="AC39" s="1"/>
      <c r="AD39" s="1"/>
    </row>
    <row r="40" spans="1:30" ht="14.1" customHeight="1" thickBot="1" x14ac:dyDescent="0.2">
      <c r="A40"/>
      <c r="B40"/>
      <c r="C40"/>
      <c r="D40"/>
      <c r="E40"/>
      <c r="F40"/>
      <c r="G40"/>
      <c r="H40"/>
      <c r="I40"/>
      <c r="J40"/>
      <c r="K40"/>
      <c r="L40"/>
      <c r="M40"/>
      <c r="N40"/>
      <c r="O40" s="268"/>
      <c r="P40" s="268"/>
      <c r="Q40" s="268"/>
      <c r="R40" s="268"/>
      <c r="S40" s="268"/>
      <c r="T40" s="268"/>
      <c r="U40" s="268"/>
      <c r="V40" s="268"/>
      <c r="W40" s="268"/>
      <c r="X40" s="268"/>
      <c r="Y40" s="269"/>
      <c r="Z40" s="1"/>
      <c r="AA40" s="1"/>
      <c r="AB40" s="1"/>
      <c r="AC40" s="1"/>
      <c r="AD40" s="1"/>
    </row>
    <row r="41" spans="1:30" ht="14.1" customHeight="1" x14ac:dyDescent="0.15">
      <c r="A41"/>
      <c r="B41"/>
      <c r="C41"/>
      <c r="D41"/>
      <c r="E41"/>
      <c r="F41"/>
      <c r="G41"/>
      <c r="H41"/>
      <c r="I41"/>
      <c r="J41"/>
      <c r="K41"/>
      <c r="L41"/>
      <c r="M41"/>
      <c r="N41"/>
      <c r="O41" s="269"/>
      <c r="P41" s="873" t="s">
        <v>450</v>
      </c>
      <c r="Q41" s="874"/>
      <c r="R41" s="874"/>
      <c r="S41" s="874"/>
      <c r="T41" s="874"/>
      <c r="U41" s="490" t="s">
        <v>622</v>
      </c>
      <c r="V41" s="491" t="s">
        <v>270</v>
      </c>
      <c r="W41" s="491" t="s">
        <v>623</v>
      </c>
      <c r="X41" s="492" t="s">
        <v>624</v>
      </c>
      <c r="Y41" s="269"/>
      <c r="Z41" s="1"/>
      <c r="AA41" s="1"/>
      <c r="AB41" s="1"/>
      <c r="AC41" s="1"/>
      <c r="AD41" s="1"/>
    </row>
    <row r="42" spans="1:30" ht="14.1" customHeight="1" x14ac:dyDescent="0.15">
      <c r="A42"/>
      <c r="B42"/>
      <c r="C42"/>
      <c r="D42"/>
      <c r="E42"/>
      <c r="F42"/>
      <c r="G42"/>
      <c r="H42"/>
      <c r="I42"/>
      <c r="J42"/>
      <c r="K42"/>
      <c r="L42"/>
      <c r="M42"/>
      <c r="N42"/>
      <c r="O42" s="268"/>
      <c r="P42" s="876"/>
      <c r="Q42" s="877"/>
      <c r="R42" s="877"/>
      <c r="S42" s="877"/>
      <c r="T42" s="877"/>
      <c r="U42" s="840" t="s">
        <v>18</v>
      </c>
      <c r="V42" s="884" t="s">
        <v>18</v>
      </c>
      <c r="W42" s="885">
        <f>IF(キャラシート!$I$3="蟹",計算用!AH48,計算用!AH42)</f>
        <v>0</v>
      </c>
      <c r="X42" s="895">
        <f>IF(キャラシート!$I$3="蟹",計算用!AI48,計算用!AI42)</f>
        <v>0</v>
      </c>
      <c r="Y42" s="268"/>
      <c r="Z42" s="1"/>
      <c r="AA42" s="1"/>
      <c r="AB42" s="1"/>
      <c r="AC42" s="1"/>
      <c r="AD42" s="1"/>
    </row>
    <row r="43" spans="1:30" ht="14.1" customHeight="1" x14ac:dyDescent="0.15">
      <c r="A43"/>
      <c r="B43"/>
      <c r="C43"/>
      <c r="D43"/>
      <c r="E43"/>
      <c r="F43"/>
      <c r="G43"/>
      <c r="H43"/>
      <c r="I43"/>
      <c r="J43"/>
      <c r="K43"/>
      <c r="L43"/>
      <c r="M43"/>
      <c r="N43"/>
      <c r="O43" s="269"/>
      <c r="P43" s="876"/>
      <c r="Q43" s="877"/>
      <c r="R43" s="877"/>
      <c r="S43" s="877"/>
      <c r="T43" s="877"/>
      <c r="U43" s="840"/>
      <c r="V43" s="884"/>
      <c r="W43" s="885"/>
      <c r="X43" s="895"/>
      <c r="Y43" s="269"/>
      <c r="Z43" s="1"/>
      <c r="AA43" s="1"/>
      <c r="AB43" s="1"/>
      <c r="AC43" s="1"/>
      <c r="AD43" s="1"/>
    </row>
    <row r="44" spans="1:30" ht="14.1" customHeight="1" x14ac:dyDescent="0.15">
      <c r="A44"/>
      <c r="B44"/>
      <c r="C44"/>
      <c r="D44"/>
      <c r="E44"/>
      <c r="F44"/>
      <c r="G44"/>
      <c r="H44"/>
      <c r="I44"/>
      <c r="J44"/>
      <c r="K44"/>
      <c r="L44"/>
      <c r="M44"/>
      <c r="N44"/>
      <c r="O44" s="268"/>
      <c r="P44" s="888" t="s">
        <v>9</v>
      </c>
      <c r="Q44" s="889"/>
      <c r="R44" s="889"/>
      <c r="S44" s="880" t="s">
        <v>10</v>
      </c>
      <c r="T44" s="880"/>
      <c r="U44" s="880"/>
      <c r="V44" s="881" t="s">
        <v>11</v>
      </c>
      <c r="W44" s="881"/>
      <c r="X44" s="882"/>
      <c r="Y44" s="268"/>
      <c r="Z44" s="1"/>
      <c r="AA44" s="1"/>
      <c r="AB44" s="1"/>
      <c r="AC44" s="1"/>
      <c r="AD44" s="1"/>
    </row>
    <row r="45" spans="1:30" ht="14.1" customHeight="1" x14ac:dyDescent="0.15">
      <c r="A45"/>
      <c r="B45"/>
      <c r="C45"/>
      <c r="D45"/>
      <c r="E45"/>
      <c r="F45"/>
      <c r="G45"/>
      <c r="H45"/>
      <c r="I45"/>
      <c r="J45"/>
      <c r="K45"/>
      <c r="L45"/>
      <c r="M45"/>
      <c r="N45"/>
      <c r="O45" s="269"/>
      <c r="P45" s="886" t="s">
        <v>18</v>
      </c>
      <c r="Q45" s="890" t="s">
        <v>18</v>
      </c>
      <c r="R45" s="890" t="s">
        <v>18</v>
      </c>
      <c r="S45" s="441" t="s">
        <v>18</v>
      </c>
      <c r="T45" s="441" t="s">
        <v>18</v>
      </c>
      <c r="U45" s="441" t="s">
        <v>18</v>
      </c>
      <c r="V45" s="441" t="s">
        <v>18</v>
      </c>
      <c r="W45" s="441" t="s">
        <v>18</v>
      </c>
      <c r="X45" s="442" t="s">
        <v>18</v>
      </c>
      <c r="Y45" s="269"/>
      <c r="Z45" s="1"/>
      <c r="AA45" s="1"/>
      <c r="AB45" s="1"/>
      <c r="AC45" s="1"/>
      <c r="AD45" s="1"/>
    </row>
    <row r="46" spans="1:30" ht="14.1" customHeight="1" x14ac:dyDescent="0.15">
      <c r="A46"/>
      <c r="B46"/>
      <c r="C46"/>
      <c r="D46"/>
      <c r="E46"/>
      <c r="F46"/>
      <c r="G46"/>
      <c r="H46"/>
      <c r="I46"/>
      <c r="J46"/>
      <c r="K46"/>
      <c r="L46"/>
      <c r="M46"/>
      <c r="N46"/>
      <c r="O46" s="268"/>
      <c r="P46" s="886"/>
      <c r="Q46" s="890"/>
      <c r="R46" s="890"/>
      <c r="S46" s="441" t="s">
        <v>18</v>
      </c>
      <c r="T46" s="441" t="s">
        <v>18</v>
      </c>
      <c r="U46" s="441" t="s">
        <v>18</v>
      </c>
      <c r="V46" s="441" t="s">
        <v>18</v>
      </c>
      <c r="W46" s="441" t="s">
        <v>18</v>
      </c>
      <c r="X46" s="442" t="s">
        <v>18</v>
      </c>
      <c r="Y46" s="268"/>
      <c r="Z46" s="1"/>
      <c r="AA46" s="1"/>
      <c r="AB46" s="1"/>
      <c r="AC46" s="1"/>
      <c r="AD46" s="1"/>
    </row>
    <row r="47" spans="1:30" ht="14.1" customHeight="1" x14ac:dyDescent="0.15">
      <c r="A47"/>
      <c r="B47"/>
      <c r="C47"/>
      <c r="D47"/>
      <c r="E47"/>
      <c r="F47"/>
      <c r="G47"/>
      <c r="H47"/>
      <c r="I47"/>
      <c r="J47"/>
      <c r="K47"/>
      <c r="L47"/>
      <c r="M47"/>
      <c r="N47"/>
      <c r="O47" s="269"/>
      <c r="P47" s="868" t="s">
        <v>626</v>
      </c>
      <c r="Q47" s="813"/>
      <c r="R47" s="813"/>
      <c r="S47" s="813"/>
      <c r="T47" s="813"/>
      <c r="U47" s="813"/>
      <c r="V47" s="813"/>
      <c r="W47" s="813"/>
      <c r="X47" s="869"/>
      <c r="Y47" s="269"/>
      <c r="Z47" s="1"/>
      <c r="AA47" s="1"/>
      <c r="AB47" s="1"/>
      <c r="AC47" s="1"/>
      <c r="AD47" s="1"/>
    </row>
    <row r="48" spans="1:30" ht="14.1" customHeight="1" x14ac:dyDescent="0.15">
      <c r="A48"/>
      <c r="B48"/>
      <c r="C48"/>
      <c r="D48"/>
      <c r="E48"/>
      <c r="F48"/>
      <c r="G48"/>
      <c r="H48"/>
      <c r="I48"/>
      <c r="J48"/>
      <c r="K48"/>
      <c r="L48"/>
      <c r="M48"/>
      <c r="N48"/>
      <c r="O48" s="268"/>
      <c r="P48" s="891"/>
      <c r="Q48" s="830"/>
      <c r="R48" s="830"/>
      <c r="S48" s="830"/>
      <c r="T48" s="830"/>
      <c r="U48" s="830"/>
      <c r="V48" s="830"/>
      <c r="W48" s="830"/>
      <c r="X48" s="892"/>
      <c r="Y48" s="268"/>
      <c r="Z48" s="1"/>
      <c r="AA48" s="1"/>
      <c r="AB48" s="1"/>
      <c r="AC48" s="1"/>
      <c r="AD48" s="1"/>
    </row>
    <row r="49" spans="1:30" ht="14.1" customHeight="1" x14ac:dyDescent="0.15">
      <c r="A49"/>
      <c r="B49"/>
      <c r="C49"/>
      <c r="D49"/>
      <c r="E49"/>
      <c r="F49"/>
      <c r="G49"/>
      <c r="H49"/>
      <c r="I49"/>
      <c r="J49"/>
      <c r="K49"/>
      <c r="L49"/>
      <c r="M49"/>
      <c r="N49"/>
      <c r="O49" s="269"/>
      <c r="P49" s="891"/>
      <c r="Q49" s="830"/>
      <c r="R49" s="830"/>
      <c r="S49" s="830"/>
      <c r="T49" s="830"/>
      <c r="U49" s="830"/>
      <c r="V49" s="830"/>
      <c r="W49" s="830"/>
      <c r="X49" s="892"/>
      <c r="Y49" s="269"/>
      <c r="Z49" s="1"/>
      <c r="AA49" s="1"/>
      <c r="AB49" s="1"/>
      <c r="AC49" s="1"/>
      <c r="AD49" s="1"/>
    </row>
    <row r="50" spans="1:30" ht="14.1" customHeight="1" thickBot="1" x14ac:dyDescent="0.2">
      <c r="A50"/>
      <c r="B50"/>
      <c r="C50"/>
      <c r="D50"/>
      <c r="E50"/>
      <c r="F50"/>
      <c r="G50"/>
      <c r="H50"/>
      <c r="I50"/>
      <c r="J50"/>
      <c r="K50"/>
      <c r="L50"/>
      <c r="M50"/>
      <c r="N50"/>
      <c r="O50" s="268"/>
      <c r="P50" s="870" t="s">
        <v>627</v>
      </c>
      <c r="Q50" s="871"/>
      <c r="R50" s="871"/>
      <c r="S50" s="871"/>
      <c r="T50" s="871"/>
      <c r="U50" s="871"/>
      <c r="V50" s="871"/>
      <c r="W50" s="871"/>
      <c r="X50" s="872"/>
      <c r="Y50" s="268"/>
      <c r="Z50" s="1"/>
      <c r="AA50" s="1"/>
      <c r="AB50" s="1"/>
      <c r="AC50" s="1"/>
      <c r="AD50" s="1"/>
    </row>
    <row r="51" spans="1:30" ht="14.1" customHeight="1" thickBot="1" x14ac:dyDescent="0.2">
      <c r="A51"/>
      <c r="B51"/>
      <c r="C51"/>
      <c r="D51"/>
      <c r="E51"/>
      <c r="F51"/>
      <c r="G51"/>
      <c r="H51"/>
      <c r="I51"/>
      <c r="J51"/>
      <c r="K51"/>
      <c r="L51"/>
      <c r="M51"/>
      <c r="N51"/>
      <c r="O51" s="269"/>
      <c r="P51" s="269"/>
      <c r="Q51" s="269"/>
      <c r="R51" s="269"/>
      <c r="S51" s="269"/>
      <c r="T51" s="269"/>
      <c r="U51" s="269"/>
      <c r="V51" s="269"/>
      <c r="W51" s="269"/>
      <c r="X51" s="269"/>
      <c r="Y51" s="268"/>
      <c r="Z51" s="1"/>
      <c r="AA51" s="1"/>
      <c r="AB51" s="1"/>
      <c r="AC51" s="1"/>
      <c r="AD51" s="1"/>
    </row>
    <row r="52" spans="1:30" ht="14.1" customHeight="1" x14ac:dyDescent="0.15">
      <c r="A52"/>
      <c r="B52"/>
      <c r="C52"/>
      <c r="D52"/>
      <c r="E52"/>
      <c r="F52"/>
      <c r="G52"/>
      <c r="H52"/>
      <c r="I52"/>
      <c r="J52"/>
      <c r="K52"/>
      <c r="L52"/>
      <c r="M52"/>
      <c r="N52"/>
      <c r="O52" s="268"/>
      <c r="P52" s="873" t="s">
        <v>450</v>
      </c>
      <c r="Q52" s="874"/>
      <c r="R52" s="874"/>
      <c r="S52" s="874"/>
      <c r="T52" s="874"/>
      <c r="U52" s="490" t="s">
        <v>622</v>
      </c>
      <c r="V52" s="491" t="s">
        <v>270</v>
      </c>
      <c r="W52" s="491" t="s">
        <v>623</v>
      </c>
      <c r="X52" s="492" t="s">
        <v>624</v>
      </c>
      <c r="Y52" s="269"/>
      <c r="Z52" s="1"/>
      <c r="AA52" s="1"/>
    </row>
    <row r="53" spans="1:30" ht="14.1" customHeight="1" x14ac:dyDescent="0.15">
      <c r="A53"/>
      <c r="B53"/>
      <c r="C53"/>
      <c r="D53"/>
      <c r="E53"/>
      <c r="F53"/>
      <c r="G53"/>
      <c r="H53"/>
      <c r="I53"/>
      <c r="J53"/>
      <c r="K53"/>
      <c r="L53"/>
      <c r="M53"/>
      <c r="N53"/>
      <c r="O53" s="269"/>
      <c r="P53" s="876"/>
      <c r="Q53" s="877"/>
      <c r="R53" s="877"/>
      <c r="S53" s="877"/>
      <c r="T53" s="877"/>
      <c r="U53" s="840" t="s">
        <v>18</v>
      </c>
      <c r="V53" s="884" t="s">
        <v>18</v>
      </c>
      <c r="W53" s="885">
        <f>IF(キャラシート!$I$3="蟹",計算用!AH60,計算用!AH54)</f>
        <v>0</v>
      </c>
      <c r="X53" s="895">
        <f>IF(キャラシート!$I$3="蟹",計算用!AI60,計算用!AI54)</f>
        <v>0</v>
      </c>
      <c r="Y53" s="268"/>
      <c r="Z53" s="1"/>
      <c r="AA53" s="1"/>
    </row>
    <row r="54" spans="1:30" ht="14.1" customHeight="1" x14ac:dyDescent="0.15">
      <c r="A54"/>
      <c r="B54"/>
      <c r="C54"/>
      <c r="D54"/>
      <c r="E54"/>
      <c r="F54"/>
      <c r="G54"/>
      <c r="H54"/>
      <c r="I54"/>
      <c r="J54"/>
      <c r="K54"/>
      <c r="L54"/>
      <c r="M54"/>
      <c r="N54"/>
      <c r="O54" s="268"/>
      <c r="P54" s="876"/>
      <c r="Q54" s="877"/>
      <c r="R54" s="877"/>
      <c r="S54" s="877"/>
      <c r="T54" s="877"/>
      <c r="U54" s="840"/>
      <c r="V54" s="884"/>
      <c r="W54" s="885"/>
      <c r="X54" s="895"/>
      <c r="Y54" s="269"/>
      <c r="Z54" s="1"/>
      <c r="AA54" s="1"/>
    </row>
    <row r="55" spans="1:30" ht="14.1" customHeight="1" x14ac:dyDescent="0.15">
      <c r="A55"/>
      <c r="B55"/>
      <c r="C55"/>
      <c r="D55"/>
      <c r="E55"/>
      <c r="F55"/>
      <c r="G55"/>
      <c r="H55"/>
      <c r="I55"/>
      <c r="J55"/>
      <c r="K55"/>
      <c r="L55"/>
      <c r="M55"/>
      <c r="N55"/>
      <c r="O55" s="269"/>
      <c r="P55" s="888" t="s">
        <v>9</v>
      </c>
      <c r="Q55" s="889"/>
      <c r="R55" s="889"/>
      <c r="S55" s="880" t="s">
        <v>10</v>
      </c>
      <c r="T55" s="880"/>
      <c r="U55" s="880"/>
      <c r="V55" s="881" t="s">
        <v>11</v>
      </c>
      <c r="W55" s="881"/>
      <c r="X55" s="882"/>
      <c r="Y55" s="268"/>
      <c r="Z55" s="1"/>
      <c r="AA55" s="1"/>
    </row>
    <row r="56" spans="1:30" ht="14.1" customHeight="1" x14ac:dyDescent="0.15">
      <c r="A56"/>
      <c r="B56"/>
      <c r="C56"/>
      <c r="D56"/>
      <c r="E56"/>
      <c r="F56"/>
      <c r="G56"/>
      <c r="H56"/>
      <c r="I56"/>
      <c r="J56"/>
      <c r="K56"/>
      <c r="L56"/>
      <c r="M56"/>
      <c r="N56"/>
      <c r="O56" s="268"/>
      <c r="P56" s="886" t="s">
        <v>18</v>
      </c>
      <c r="Q56" s="890" t="s">
        <v>18</v>
      </c>
      <c r="R56" s="890" t="s">
        <v>18</v>
      </c>
      <c r="S56" s="441" t="s">
        <v>18</v>
      </c>
      <c r="T56" s="441" t="s">
        <v>18</v>
      </c>
      <c r="U56" s="441" t="s">
        <v>18</v>
      </c>
      <c r="V56" s="441" t="s">
        <v>18</v>
      </c>
      <c r="W56" s="441" t="s">
        <v>18</v>
      </c>
      <c r="X56" s="442" t="s">
        <v>18</v>
      </c>
      <c r="Y56" s="269"/>
      <c r="Z56" s="1"/>
      <c r="AA56" s="1"/>
    </row>
    <row r="57" spans="1:30" ht="14.1" customHeight="1" x14ac:dyDescent="0.15">
      <c r="A57"/>
      <c r="B57"/>
      <c r="C57"/>
      <c r="D57"/>
      <c r="E57"/>
      <c r="F57"/>
      <c r="G57"/>
      <c r="H57"/>
      <c r="I57"/>
      <c r="J57"/>
      <c r="K57"/>
      <c r="L57"/>
      <c r="M57"/>
      <c r="N57"/>
      <c r="O57" s="269"/>
      <c r="P57" s="886"/>
      <c r="Q57" s="890"/>
      <c r="R57" s="890"/>
      <c r="S57" s="441" t="s">
        <v>18</v>
      </c>
      <c r="T57" s="441" t="s">
        <v>18</v>
      </c>
      <c r="U57" s="441" t="s">
        <v>18</v>
      </c>
      <c r="V57" s="441" t="s">
        <v>18</v>
      </c>
      <c r="W57" s="441" t="s">
        <v>18</v>
      </c>
      <c r="X57" s="442" t="s">
        <v>18</v>
      </c>
      <c r="Y57" s="268"/>
      <c r="Z57" s="1"/>
      <c r="AA57" s="1"/>
    </row>
    <row r="58" spans="1:30" ht="14.1" customHeight="1" x14ac:dyDescent="0.15">
      <c r="J58"/>
      <c r="K58"/>
      <c r="L58"/>
      <c r="M58"/>
      <c r="N58"/>
      <c r="O58" s="268"/>
      <c r="P58" s="868" t="s">
        <v>626</v>
      </c>
      <c r="Q58" s="813"/>
      <c r="R58" s="813"/>
      <c r="S58" s="813"/>
      <c r="T58" s="813"/>
      <c r="U58" s="813"/>
      <c r="V58" s="813"/>
      <c r="W58" s="813"/>
      <c r="X58" s="869"/>
      <c r="Y58" s="269"/>
      <c r="Z58" s="1"/>
      <c r="AA58" s="1"/>
    </row>
    <row r="59" spans="1:30" ht="14.1" customHeight="1" x14ac:dyDescent="0.15">
      <c r="J59"/>
      <c r="K59"/>
      <c r="L59"/>
      <c r="M59"/>
      <c r="N59"/>
      <c r="O59" s="269"/>
      <c r="P59" s="891"/>
      <c r="Q59" s="830"/>
      <c r="R59" s="830"/>
      <c r="S59" s="830"/>
      <c r="T59" s="830"/>
      <c r="U59" s="830"/>
      <c r="V59" s="830"/>
      <c r="W59" s="830"/>
      <c r="X59" s="892"/>
      <c r="Y59" s="268"/>
      <c r="Z59" s="1"/>
      <c r="AA59" s="1"/>
    </row>
    <row r="60" spans="1:30" ht="14.1" customHeight="1" x14ac:dyDescent="0.15">
      <c r="J60"/>
      <c r="K60"/>
      <c r="L60"/>
      <c r="M60"/>
      <c r="N60"/>
      <c r="O60" s="268"/>
      <c r="P60" s="891"/>
      <c r="Q60" s="830"/>
      <c r="R60" s="830"/>
      <c r="S60" s="830"/>
      <c r="T60" s="830"/>
      <c r="U60" s="830"/>
      <c r="V60" s="830"/>
      <c r="W60" s="830"/>
      <c r="X60" s="892"/>
      <c r="Y60" s="269"/>
      <c r="Z60" s="1"/>
      <c r="AA60" s="1"/>
    </row>
    <row r="61" spans="1:30" ht="14.1" customHeight="1" thickBot="1" x14ac:dyDescent="0.2">
      <c r="J61"/>
      <c r="K61"/>
      <c r="L61"/>
      <c r="M61"/>
      <c r="N61"/>
      <c r="O61" s="269"/>
      <c r="P61" s="870" t="s">
        <v>627</v>
      </c>
      <c r="Q61" s="871"/>
      <c r="R61" s="871"/>
      <c r="S61" s="871"/>
      <c r="T61" s="871"/>
      <c r="U61" s="871"/>
      <c r="V61" s="871"/>
      <c r="W61" s="871"/>
      <c r="X61" s="872"/>
      <c r="Y61" s="268"/>
      <c r="Z61" s="1"/>
      <c r="AA61" s="1"/>
    </row>
    <row r="62" spans="1:30" ht="14.1" customHeight="1" x14ac:dyDescent="0.15">
      <c r="J62"/>
      <c r="K62"/>
      <c r="L62"/>
      <c r="M62"/>
      <c r="N62"/>
      <c r="O62" s="268"/>
      <c r="P62" s="268"/>
      <c r="Q62" s="268"/>
      <c r="R62" s="268"/>
      <c r="S62" s="268"/>
      <c r="T62" s="268"/>
      <c r="U62" s="268"/>
      <c r="V62" s="268"/>
      <c r="W62" s="268"/>
      <c r="X62" s="268"/>
      <c r="Y62" s="269"/>
      <c r="Z62" s="1"/>
      <c r="AA62" s="1"/>
    </row>
  </sheetData>
  <sheetProtection selectLockedCells="1" selectUnlockedCells="1"/>
  <mergeCells count="105">
    <mergeCell ref="B2:C3"/>
    <mergeCell ref="D2:H3"/>
    <mergeCell ref="I2:J3"/>
    <mergeCell ref="K2:M3"/>
    <mergeCell ref="P2:X3"/>
    <mergeCell ref="P4:Q5"/>
    <mergeCell ref="V4:W5"/>
    <mergeCell ref="S4:T5"/>
    <mergeCell ref="B5:C6"/>
    <mergeCell ref="F5:G6"/>
    <mergeCell ref="X4:X5"/>
    <mergeCell ref="U4:U5"/>
    <mergeCell ref="R4:R5"/>
    <mergeCell ref="D5:D6"/>
    <mergeCell ref="H5:I6"/>
    <mergeCell ref="J5:K6"/>
    <mergeCell ref="L5:M6"/>
    <mergeCell ref="F8:G9"/>
    <mergeCell ref="P22:R22"/>
    <mergeCell ref="B8:D8"/>
    <mergeCell ref="P53:T54"/>
    <mergeCell ref="Q12:Q13"/>
    <mergeCell ref="Q23:Q24"/>
    <mergeCell ref="Q34:Q35"/>
    <mergeCell ref="Q45:Q46"/>
    <mergeCell ref="V33:X33"/>
    <mergeCell ref="V31:V32"/>
    <mergeCell ref="R12:R13"/>
    <mergeCell ref="R23:R24"/>
    <mergeCell ref="R34:R35"/>
    <mergeCell ref="R45:R46"/>
    <mergeCell ref="P12:P13"/>
    <mergeCell ref="X53:X54"/>
    <mergeCell ref="P45:P46"/>
    <mergeCell ref="U53:U54"/>
    <mergeCell ref="P48:X49"/>
    <mergeCell ref="P34:P35"/>
    <mergeCell ref="I8:M8"/>
    <mergeCell ref="P8:T8"/>
    <mergeCell ref="P11:R11"/>
    <mergeCell ref="S11:U11"/>
    <mergeCell ref="P36:X36"/>
    <mergeCell ref="P39:X39"/>
    <mergeCell ref="X9:X10"/>
    <mergeCell ref="X20:X21"/>
    <mergeCell ref="X31:X32"/>
    <mergeCell ref="X42:X43"/>
    <mergeCell ref="V11:X11"/>
    <mergeCell ref="V9:V10"/>
    <mergeCell ref="P15:X16"/>
    <mergeCell ref="P20:T21"/>
    <mergeCell ref="P26:X27"/>
    <mergeCell ref="P31:T32"/>
    <mergeCell ref="U9:U10"/>
    <mergeCell ref="U20:U21"/>
    <mergeCell ref="U31:U32"/>
    <mergeCell ref="U42:U43"/>
    <mergeCell ref="P37:X38"/>
    <mergeCell ref="P42:T43"/>
    <mergeCell ref="W9:W10"/>
    <mergeCell ref="W31:W32"/>
    <mergeCell ref="V55:X55"/>
    <mergeCell ref="P58:X58"/>
    <mergeCell ref="P61:X61"/>
    <mergeCell ref="R56:R57"/>
    <mergeCell ref="V53:V54"/>
    <mergeCell ref="W53:W54"/>
    <mergeCell ref="P59:X60"/>
    <mergeCell ref="P41:T41"/>
    <mergeCell ref="P44:R44"/>
    <mergeCell ref="S44:U44"/>
    <mergeCell ref="V44:X44"/>
    <mergeCell ref="P47:X47"/>
    <mergeCell ref="P50:X50"/>
    <mergeCell ref="V42:V43"/>
    <mergeCell ref="W42:W43"/>
    <mergeCell ref="Q56:Q57"/>
    <mergeCell ref="P56:P57"/>
    <mergeCell ref="P52:T52"/>
    <mergeCell ref="P55:R55"/>
    <mergeCell ref="S55:U55"/>
    <mergeCell ref="B32:M35"/>
    <mergeCell ref="C23:D23"/>
    <mergeCell ref="F23:G23"/>
    <mergeCell ref="B24:G24"/>
    <mergeCell ref="P25:X25"/>
    <mergeCell ref="P28:X28"/>
    <mergeCell ref="P30:T30"/>
    <mergeCell ref="I9:M29"/>
    <mergeCell ref="P9:T10"/>
    <mergeCell ref="C21:G22"/>
    <mergeCell ref="B25:G29"/>
    <mergeCell ref="P14:X14"/>
    <mergeCell ref="P17:X17"/>
    <mergeCell ref="B18:C18"/>
    <mergeCell ref="P19:T19"/>
    <mergeCell ref="S22:U22"/>
    <mergeCell ref="V22:X22"/>
    <mergeCell ref="B21:B22"/>
    <mergeCell ref="V20:V21"/>
    <mergeCell ref="W20:W21"/>
    <mergeCell ref="P23:P24"/>
    <mergeCell ref="B31:M31"/>
    <mergeCell ref="P33:R33"/>
    <mergeCell ref="S33:U33"/>
  </mergeCells>
  <phoneticPr fontId="50"/>
  <dataValidations count="4">
    <dataValidation type="list" operator="equal" allowBlank="1" sqref="L2" xr:uid="{00000000-0002-0000-0500-000000000000}">
      <formula1>$AB$3:$AB$6</formula1>
    </dataValidation>
    <dataValidation type="list" operator="equal" sqref="U9 U20 U31 U42 U53" xr:uid="{00000000-0002-0000-0500-000001000000}">
      <formula1>"－,近,遠,遠近両用"</formula1>
    </dataValidation>
    <dataValidation type="list" operator="equal" allowBlank="1" sqref="M2:M3" xr:uid="{00000000-0002-0000-0500-000002000000}">
      <formula1>$AD$2:$AD$12</formula1>
    </dataValidation>
    <dataValidation type="list" operator="equal" allowBlank="1" showErrorMessage="1" sqref="M5:M6" xr:uid="{00000000-0002-0000-0500-000003000000}">
      <formula1>$A$2:$A$8</formula1>
    </dataValidation>
  </dataValidations>
  <pageMargins left="0.78749999999999998" right="0.78749999999999998" top="1.0527777777777778" bottom="1.0527777777777778" header="0.78749999999999998" footer="0.78749999999999998"/>
  <pageSetup paperSize="9" orientation="portrait" horizontalDpi="300" verticalDpi="300" r:id="rId1"/>
  <headerFooter scaleWithDoc="0" alignWithMargins="0">
    <oddHeader>&amp;C&amp;"Times New Roman,標準"&amp;12&amp;A</oddHeader>
    <oddFooter>&amp;C&amp;"Times New Roman,標準"&amp;12ページ &amp;P</oddFooter>
  </headerFooter>
  <drawing r:id="rId2"/>
  <legacyDrawing r:id="rId3"/>
  <mc:AlternateContent xmlns:mc="http://schemas.openxmlformats.org/markup-compatibility/2006">
    <mc:Choice Requires="x14">
      <controls>
        <mc:AlternateContent xmlns:mc="http://schemas.openxmlformats.org/markup-compatibility/2006">
          <mc:Choice Requires="x14">
            <control shapeId="6145" r:id="rId4" name="察知">
              <controlPr defaultSize="0" autoFill="0" autoLine="0" autoPict="0" altText="察知">
                <anchor moveWithCells="1" sizeWithCells="1">
                  <from>
                    <xdr:col>6</xdr:col>
                    <xdr:colOff>76200</xdr:colOff>
                    <xdr:row>11</xdr:row>
                    <xdr:rowOff>0</xdr:rowOff>
                  </from>
                  <to>
                    <xdr:col>7</xdr:col>
                    <xdr:colOff>57150</xdr:colOff>
                    <xdr:row>11</xdr:row>
                    <xdr:rowOff>161925</xdr:rowOff>
                  </to>
                </anchor>
              </controlPr>
            </control>
          </mc:Choice>
        </mc:AlternateContent>
        <mc:AlternateContent xmlns:mc="http://schemas.openxmlformats.org/markup-compatibility/2006">
          <mc:Choice Requires="x14">
            <control shapeId="6146" r:id="rId5" name="技術">
              <controlPr defaultSize="0" autoFill="0" autoLine="0" autoPict="0" altText="技術">
                <anchor moveWithCells="1" sizeWithCells="1">
                  <from>
                    <xdr:col>6</xdr:col>
                    <xdr:colOff>76200</xdr:colOff>
                    <xdr:row>12</xdr:row>
                    <xdr:rowOff>0</xdr:rowOff>
                  </from>
                  <to>
                    <xdr:col>7</xdr:col>
                    <xdr:colOff>57150</xdr:colOff>
                    <xdr:row>12</xdr:row>
                    <xdr:rowOff>161925</xdr:rowOff>
                  </to>
                </anchor>
              </controlPr>
            </control>
          </mc:Choice>
        </mc:AlternateContent>
        <mc:AlternateContent xmlns:mc="http://schemas.openxmlformats.org/markup-compatibility/2006">
          <mc:Choice Requires="x14">
            <control shapeId="6147" r:id="rId6" name="俊敏">
              <controlPr defaultSize="0" autoFill="0" autoLine="0" autoPict="0" altText="俊敏">
                <anchor moveWithCells="1" sizeWithCells="1">
                  <from>
                    <xdr:col>6</xdr:col>
                    <xdr:colOff>76200</xdr:colOff>
                    <xdr:row>13</xdr:row>
                    <xdr:rowOff>0</xdr:rowOff>
                  </from>
                  <to>
                    <xdr:col>7</xdr:col>
                    <xdr:colOff>57150</xdr:colOff>
                    <xdr:row>13</xdr:row>
                    <xdr:rowOff>161925</xdr:rowOff>
                  </to>
                </anchor>
              </controlPr>
            </control>
          </mc:Choice>
        </mc:AlternateContent>
        <mc:AlternateContent xmlns:mc="http://schemas.openxmlformats.org/markup-compatibility/2006">
          <mc:Choice Requires="x14">
            <control shapeId="6148" r:id="rId7" name="読心">
              <controlPr defaultSize="0" autoFill="0" autoLine="0" autoPict="0" altText="読心">
                <anchor moveWithCells="1" sizeWithCells="1">
                  <from>
                    <xdr:col>6</xdr:col>
                    <xdr:colOff>76200</xdr:colOff>
                    <xdr:row>14</xdr:row>
                    <xdr:rowOff>0</xdr:rowOff>
                  </from>
                  <to>
                    <xdr:col>7</xdr:col>
                    <xdr:colOff>57150</xdr:colOff>
                    <xdr:row>14</xdr:row>
                    <xdr:rowOff>161925</xdr:rowOff>
                  </to>
                </anchor>
              </controlPr>
            </control>
          </mc:Choice>
        </mc:AlternateContent>
        <mc:AlternateContent xmlns:mc="http://schemas.openxmlformats.org/markup-compatibility/2006">
          <mc:Choice Requires="x14">
            <control shapeId="6149" r:id="rId8" name="幸運">
              <controlPr defaultSize="0" autoFill="0" autoLine="0" autoPict="0" altText="幸運">
                <anchor moveWithCells="1" sizeWithCells="1">
                  <from>
                    <xdr:col>6</xdr:col>
                    <xdr:colOff>76200</xdr:colOff>
                    <xdr:row>15</xdr:row>
                    <xdr:rowOff>0</xdr:rowOff>
                  </from>
                  <to>
                    <xdr:col>7</xdr:col>
                    <xdr:colOff>57150</xdr:colOff>
                    <xdr:row>15</xdr:row>
                    <xdr:rowOff>161925</xdr:rowOff>
                  </to>
                </anchor>
              </controlPr>
            </control>
          </mc:Choice>
        </mc:AlternateContent>
        <mc:AlternateContent xmlns:mc="http://schemas.openxmlformats.org/markup-compatibility/2006">
          <mc:Choice Requires="x14">
            <control shapeId="6150" r:id="rId9" name="閃き">
              <controlPr defaultSize="0" autoFill="0" autoLine="0" autoPict="0" altText="閃き">
                <anchor moveWithCells="1" sizeWithCells="1">
                  <from>
                    <xdr:col>5</xdr:col>
                    <xdr:colOff>76200</xdr:colOff>
                    <xdr:row>15</xdr:row>
                    <xdr:rowOff>0</xdr:rowOff>
                  </from>
                  <to>
                    <xdr:col>6</xdr:col>
                    <xdr:colOff>57150</xdr:colOff>
                    <xdr:row>15</xdr:row>
                    <xdr:rowOff>161925</xdr:rowOff>
                  </to>
                </anchor>
              </controlPr>
            </control>
          </mc:Choice>
        </mc:AlternateContent>
        <mc:AlternateContent xmlns:mc="http://schemas.openxmlformats.org/markup-compatibility/2006">
          <mc:Choice Requires="x14">
            <control shapeId="6151" r:id="rId10" name="話術">
              <controlPr defaultSize="0" autoFill="0" autoLine="0" autoPict="0" altText="話術">
                <anchor moveWithCells="1" sizeWithCells="1">
                  <from>
                    <xdr:col>5</xdr:col>
                    <xdr:colOff>76200</xdr:colOff>
                    <xdr:row>14</xdr:row>
                    <xdr:rowOff>0</xdr:rowOff>
                  </from>
                  <to>
                    <xdr:col>6</xdr:col>
                    <xdr:colOff>57150</xdr:colOff>
                    <xdr:row>14</xdr:row>
                    <xdr:rowOff>161925</xdr:rowOff>
                  </to>
                </anchor>
              </controlPr>
            </control>
          </mc:Choice>
        </mc:AlternateContent>
        <mc:AlternateContent xmlns:mc="http://schemas.openxmlformats.org/markup-compatibility/2006">
          <mc:Choice Requires="x14">
            <control shapeId="6152" r:id="rId11" name="隠密">
              <controlPr defaultSize="0" autoFill="0" autoLine="0" autoPict="0" altText="隠密">
                <anchor moveWithCells="1" sizeWithCells="1">
                  <from>
                    <xdr:col>5</xdr:col>
                    <xdr:colOff>76200</xdr:colOff>
                    <xdr:row>13</xdr:row>
                    <xdr:rowOff>0</xdr:rowOff>
                  </from>
                  <to>
                    <xdr:col>6</xdr:col>
                    <xdr:colOff>57150</xdr:colOff>
                    <xdr:row>13</xdr:row>
                    <xdr:rowOff>161925</xdr:rowOff>
                  </to>
                </anchor>
              </controlPr>
            </control>
          </mc:Choice>
        </mc:AlternateContent>
        <mc:AlternateContent xmlns:mc="http://schemas.openxmlformats.org/markup-compatibility/2006">
          <mc:Choice Requires="x14">
            <control shapeId="6153" r:id="rId12" name="知識">
              <controlPr defaultSize="0" autoFill="0" autoLine="0" autoPict="0" altText="知識">
                <anchor moveWithCells="1" sizeWithCells="1">
                  <from>
                    <xdr:col>5</xdr:col>
                    <xdr:colOff>76200</xdr:colOff>
                    <xdr:row>12</xdr:row>
                    <xdr:rowOff>0</xdr:rowOff>
                  </from>
                  <to>
                    <xdr:col>6</xdr:col>
                    <xdr:colOff>57150</xdr:colOff>
                    <xdr:row>12</xdr:row>
                    <xdr:rowOff>161925</xdr:rowOff>
                  </to>
                </anchor>
              </controlPr>
            </control>
          </mc:Choice>
        </mc:AlternateContent>
        <mc:AlternateContent xmlns:mc="http://schemas.openxmlformats.org/markup-compatibility/2006">
          <mc:Choice Requires="x14">
            <control shapeId="6154" r:id="rId13" name="観察眼">
              <controlPr defaultSize="0" autoFill="0" autoLine="0" autoPict="0" altText="観察眼">
                <anchor moveWithCells="1" sizeWithCells="1">
                  <from>
                    <xdr:col>5</xdr:col>
                    <xdr:colOff>76200</xdr:colOff>
                    <xdr:row>11</xdr:row>
                    <xdr:rowOff>0</xdr:rowOff>
                  </from>
                  <to>
                    <xdr:col>6</xdr:col>
                    <xdr:colOff>57150</xdr:colOff>
                    <xdr:row>11</xdr:row>
                    <xdr:rowOff>161925</xdr:rowOff>
                  </to>
                </anchor>
              </controlPr>
            </control>
          </mc:Choice>
        </mc:AlternateContent>
        <mc:AlternateContent xmlns:mc="http://schemas.openxmlformats.org/markup-compatibility/2006">
          <mc:Choice Requires="x14">
            <control shapeId="6155" r:id="rId14" name="力技">
              <controlPr defaultSize="0" autoFill="0" autoLine="0" autoPict="0" altText="力技">
                <anchor moveWithCells="1" sizeWithCells="1">
                  <from>
                    <xdr:col>5</xdr:col>
                    <xdr:colOff>76200</xdr:colOff>
                    <xdr:row>10</xdr:row>
                    <xdr:rowOff>0</xdr:rowOff>
                  </from>
                  <to>
                    <xdr:col>6</xdr:col>
                    <xdr:colOff>57150</xdr:colOff>
                    <xdr:row>10</xdr:row>
                    <xdr:rowOff>161925</xdr:rowOff>
                  </to>
                </anchor>
              </controlPr>
            </control>
          </mc:Choice>
        </mc:AlternateContent>
        <mc:AlternateContent xmlns:mc="http://schemas.openxmlformats.org/markup-compatibility/2006">
          <mc:Choice Requires="x14">
            <control shapeId="6156" r:id="rId15" name="威圧">
              <controlPr defaultSize="0" autoFill="0" autoLine="0" autoPict="0" altText="威圧">
                <anchor moveWithCells="1" sizeWithCells="1">
                  <from>
                    <xdr:col>6</xdr:col>
                    <xdr:colOff>76200</xdr:colOff>
                    <xdr:row>10</xdr:row>
                    <xdr:rowOff>0</xdr:rowOff>
                  </from>
                  <to>
                    <xdr:col>7</xdr:col>
                    <xdr:colOff>57150</xdr:colOff>
                    <xdr:row>10</xdr:row>
                    <xdr:rowOff>161925</xdr:rowOff>
                  </to>
                </anchor>
              </controlPr>
            </control>
          </mc:Choice>
        </mc:AlternateContent>
      </controls>
    </mc:Choice>
  </mc:AlternateContent>
  <extLst>
    <ext xmlns:x14="http://schemas.microsoft.com/office/spreadsheetml/2009/9/main" uri="{CCE6A557-97BC-4b89-ADB6-D9C93CAAB3DF}">
      <x14:dataValidations xmlns:xm="http://schemas.microsoft.com/office/excel/2006/main" count="7">
        <x14:dataValidation type="list" operator="equal" allowBlank="1" showErrorMessage="1" xr:uid="{00000000-0002-0000-0500-000006000000}">
          <x14:formula1>
            <xm:f>リスト!$A$2:$A$8</xm:f>
          </x14:formula1>
          <xm:sqref>L5</xm:sqref>
        </x14:dataValidation>
        <x14:dataValidation type="list" operator="equal" allowBlank="1" xr:uid="{00000000-0002-0000-0500-000004000000}">
          <x14:formula1>
            <xm:f>リスト!$AB$2:$AB$5</xm:f>
          </x14:formula1>
          <xm:sqref>K2</xm:sqref>
        </x14:dataValidation>
        <x14:dataValidation type="list" operator="equal" allowBlank="1" xr:uid="{00000000-0002-0000-0500-000005000000}">
          <x14:formula1>
            <xm:f>リスト!$AD$2:$AD$12</xm:f>
          </x14:formula1>
          <xm:sqref>D5</xm:sqref>
        </x14:dataValidation>
        <x14:dataValidation type="list" operator="equal" allowBlank="1" xr:uid="{00000000-0002-0000-0500-000007000000}">
          <x14:formula1>
            <xm:f>リスト!$T$26:$T$33</xm:f>
          </x14:formula1>
          <xm:sqref>V9 V53 V42 V31 V20</xm:sqref>
        </x14:dataValidation>
        <x14:dataValidation type="list" operator="equal" allowBlank="1" xr:uid="{00000000-0002-0000-0500-000008000000}">
          <x14:formula1>
            <xm:f>リスト!$V$2:$V$8</xm:f>
          </x14:formula1>
          <xm:sqref>P12:R12 F11:F15 P56:R56 P45:R45 P34:R34 P23:R23</xm:sqref>
        </x14:dataValidation>
        <x14:dataValidation type="list" operator="equal" allowBlank="1" xr:uid="{00000000-0002-0000-0500-000009000000}">
          <x14:formula1>
            <xm:f>リスト!$Z$2:$Z$16</xm:f>
          </x14:formula1>
          <xm:sqref>G11:G15 V56:X57 V45:X46 V34:X35 V23:X24 V12:X13</xm:sqref>
        </x14:dataValidation>
        <x14:dataValidation type="list" operator="equal" allowBlank="1" xr:uid="{00000000-0002-0000-0500-00000A000000}">
          <x14:formula1>
            <xm:f>リスト!$X$2:$X$55</xm:f>
          </x14:formula1>
          <xm:sqref>S12:U13 S56:U57 S45:U46 S34:U35 S23:U24</xm:sqref>
        </x14:dataValidation>
      </x14:dataValidations>
    </ext>
  </extLst>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6"/>
  <dimension ref="A1:AD62"/>
  <sheetViews>
    <sheetView workbookViewId="0"/>
  </sheetViews>
  <sheetFormatPr defaultColWidth="10" defaultRowHeight="14.1" customHeight="1" x14ac:dyDescent="0.15"/>
  <cols>
    <col min="1" max="1" width="10" style="48" bestFit="1"/>
    <col min="2" max="16384" width="10" style="48"/>
  </cols>
  <sheetData>
    <row r="1" spans="1:30" ht="14.1" customHeight="1" thickBot="1" x14ac:dyDescent="0.2">
      <c r="A1" s="291"/>
      <c r="B1" s="275"/>
      <c r="C1" s="275"/>
      <c r="D1" s="275"/>
      <c r="E1" s="275"/>
      <c r="F1" s="275"/>
      <c r="G1" s="275"/>
      <c r="H1" s="275"/>
      <c r="I1" s="275"/>
      <c r="J1" s="275"/>
      <c r="K1" s="275"/>
      <c r="L1" s="275"/>
      <c r="M1" s="275"/>
      <c r="N1" s="293"/>
      <c r="O1" s="268"/>
      <c r="P1" s="268"/>
      <c r="Q1" s="268"/>
      <c r="R1" s="268"/>
      <c r="S1" s="268"/>
      <c r="T1" s="268"/>
      <c r="U1" s="268"/>
      <c r="V1" s="268"/>
      <c r="W1" s="268"/>
      <c r="X1" s="268"/>
      <c r="Y1" s="268"/>
      <c r="Z1"/>
      <c r="AA1"/>
      <c r="AB1"/>
      <c r="AC1"/>
      <c r="AD1"/>
    </row>
    <row r="2" spans="1:30" ht="14.1" customHeight="1" thickBot="1" x14ac:dyDescent="0.2">
      <c r="A2" s="275"/>
      <c r="B2" s="899" t="s">
        <v>629</v>
      </c>
      <c r="C2" s="899"/>
      <c r="D2" s="900"/>
      <c r="E2" s="900"/>
      <c r="F2" s="900"/>
      <c r="G2" s="900"/>
      <c r="H2" s="900"/>
      <c r="I2" s="901" t="s">
        <v>451</v>
      </c>
      <c r="J2" s="901"/>
      <c r="K2" s="902" t="s">
        <v>18</v>
      </c>
      <c r="L2" s="902"/>
      <c r="M2" s="902"/>
      <c r="N2" s="293"/>
      <c r="O2" s="268"/>
      <c r="P2" s="903" t="s">
        <v>712</v>
      </c>
      <c r="Q2" s="903"/>
      <c r="R2" s="903"/>
      <c r="S2" s="903"/>
      <c r="T2" s="903"/>
      <c r="U2" s="903"/>
      <c r="V2" s="903"/>
      <c r="W2" s="903"/>
      <c r="X2" s="903"/>
      <c r="Y2" s="268"/>
      <c r="Z2"/>
      <c r="AA2"/>
      <c r="AB2"/>
      <c r="AC2"/>
      <c r="AD2"/>
    </row>
    <row r="3" spans="1:30" ht="14.1" customHeight="1" thickBot="1" x14ac:dyDescent="0.2">
      <c r="A3" s="275"/>
      <c r="B3" s="899"/>
      <c r="C3" s="899"/>
      <c r="D3" s="900"/>
      <c r="E3" s="900"/>
      <c r="F3" s="900"/>
      <c r="G3" s="900"/>
      <c r="H3" s="900"/>
      <c r="I3" s="901"/>
      <c r="J3" s="901"/>
      <c r="K3" s="902"/>
      <c r="L3" s="902"/>
      <c r="M3" s="902"/>
      <c r="N3" s="293"/>
      <c r="O3" s="268"/>
      <c r="P3" s="903"/>
      <c r="Q3" s="903"/>
      <c r="R3" s="903"/>
      <c r="S3" s="903"/>
      <c r="T3" s="903"/>
      <c r="U3" s="903"/>
      <c r="V3" s="903"/>
      <c r="W3" s="903"/>
      <c r="X3" s="903"/>
      <c r="Y3" s="268"/>
      <c r="Z3"/>
      <c r="AA3"/>
      <c r="AB3"/>
      <c r="AC3"/>
      <c r="AD3"/>
    </row>
    <row r="4" spans="1:30" ht="14.1" customHeight="1" thickBot="1" x14ac:dyDescent="0.2">
      <c r="A4" s="275"/>
      <c r="B4" s="275"/>
      <c r="C4" s="275"/>
      <c r="D4" s="275"/>
      <c r="E4" s="275"/>
      <c r="F4" s="275"/>
      <c r="G4" s="275"/>
      <c r="H4" s="275"/>
      <c r="I4" s="275"/>
      <c r="J4" s="275"/>
      <c r="K4" s="275"/>
      <c r="L4" s="275"/>
      <c r="M4" s="275"/>
      <c r="N4" s="293"/>
      <c r="O4" s="268"/>
      <c r="P4" s="904" t="s">
        <v>527</v>
      </c>
      <c r="Q4" s="904"/>
      <c r="R4" s="907">
        <f>F23</f>
        <v>2</v>
      </c>
      <c r="S4" s="905" t="s">
        <v>620</v>
      </c>
      <c r="T4" s="905"/>
      <c r="U4" s="907">
        <f>ROUNDDOWN((C23)/2,0)</f>
        <v>2</v>
      </c>
      <c r="V4" s="905" t="s">
        <v>621</v>
      </c>
      <c r="W4" s="905"/>
      <c r="X4" s="906">
        <f>ROUNDDOWN((C23)/3,0)</f>
        <v>1</v>
      </c>
      <c r="Y4" s="268"/>
      <c r="Z4"/>
      <c r="AA4"/>
      <c r="AB4"/>
      <c r="AC4"/>
      <c r="AD4"/>
    </row>
    <row r="5" spans="1:30" ht="14.1" customHeight="1" thickBot="1" x14ac:dyDescent="0.2">
      <c r="A5" s="275"/>
      <c r="B5" s="899" t="s">
        <v>630</v>
      </c>
      <c r="C5" s="899"/>
      <c r="D5" s="908">
        <v>0</v>
      </c>
      <c r="E5" s="293"/>
      <c r="F5" s="899" t="s">
        <v>631</v>
      </c>
      <c r="G5" s="899"/>
      <c r="H5" s="909">
        <f>C23</f>
        <v>4</v>
      </c>
      <c r="I5" s="909">
        <f>IF(L2="探索型",ROUNDDOWN(D23/3,0)+D23,D23)</f>
        <v>0</v>
      </c>
      <c r="J5" s="901" t="s">
        <v>632</v>
      </c>
      <c r="K5" s="901"/>
      <c r="L5" s="910" t="s">
        <v>18</v>
      </c>
      <c r="M5" s="910"/>
      <c r="N5" s="293"/>
      <c r="O5" s="269"/>
      <c r="P5" s="904"/>
      <c r="Q5" s="904"/>
      <c r="R5" s="907"/>
      <c r="S5" s="905"/>
      <c r="T5" s="905"/>
      <c r="U5" s="907"/>
      <c r="V5" s="905"/>
      <c r="W5" s="905"/>
      <c r="X5" s="906"/>
      <c r="Y5" s="268"/>
      <c r="Z5"/>
      <c r="AA5"/>
      <c r="AB5"/>
      <c r="AC5"/>
      <c r="AD5"/>
    </row>
    <row r="6" spans="1:30" ht="14.1" customHeight="1" thickBot="1" x14ac:dyDescent="0.2">
      <c r="A6" s="275"/>
      <c r="B6" s="899"/>
      <c r="C6" s="899"/>
      <c r="D6" s="908"/>
      <c r="E6" s="293"/>
      <c r="F6" s="899"/>
      <c r="G6" s="899"/>
      <c r="H6" s="909"/>
      <c r="I6" s="909"/>
      <c r="J6" s="901"/>
      <c r="K6" s="901"/>
      <c r="L6" s="910"/>
      <c r="M6" s="910"/>
      <c r="N6" s="293"/>
      <c r="O6" s="269"/>
      <c r="P6" s="269"/>
      <c r="Q6" s="269"/>
      <c r="R6" s="269"/>
      <c r="S6" s="269"/>
      <c r="T6" s="269"/>
      <c r="U6" s="269"/>
      <c r="V6" s="269"/>
      <c r="W6" s="269"/>
      <c r="X6" s="269"/>
      <c r="Y6" s="268"/>
      <c r="Z6"/>
      <c r="AA6"/>
      <c r="AB6"/>
      <c r="AC6"/>
      <c r="AD6"/>
    </row>
    <row r="7" spans="1:30" ht="14.1" customHeight="1" thickBot="1" x14ac:dyDescent="0.2">
      <c r="A7" s="275"/>
      <c r="B7" s="275"/>
      <c r="C7" s="275"/>
      <c r="D7" s="275"/>
      <c r="E7" s="275"/>
      <c r="F7" s="275"/>
      <c r="G7" s="275"/>
      <c r="H7" s="293"/>
      <c r="I7" s="275"/>
      <c r="J7" s="275"/>
      <c r="K7" s="275"/>
      <c r="L7" s="275"/>
      <c r="M7" s="275"/>
      <c r="N7" s="293"/>
      <c r="O7" s="268"/>
      <c r="P7" s="268"/>
      <c r="Q7" s="268"/>
      <c r="R7" s="268"/>
      <c r="S7" s="268"/>
      <c r="T7" s="268"/>
      <c r="U7" s="268"/>
      <c r="V7" s="268"/>
      <c r="W7" s="268"/>
      <c r="X7" s="268"/>
      <c r="Y7" s="268"/>
      <c r="Z7"/>
      <c r="AA7"/>
      <c r="AB7"/>
      <c r="AC7"/>
      <c r="AD7"/>
    </row>
    <row r="8" spans="1:30" ht="14.1" customHeight="1" thickBot="1" x14ac:dyDescent="0.2">
      <c r="A8" s="275"/>
      <c r="B8" s="897" t="s">
        <v>503</v>
      </c>
      <c r="C8" s="897"/>
      <c r="D8" s="897"/>
      <c r="E8" s="275"/>
      <c r="F8" s="896" t="s">
        <v>633</v>
      </c>
      <c r="G8" s="896"/>
      <c r="H8" s="293"/>
      <c r="I8" s="898" t="s">
        <v>634</v>
      </c>
      <c r="J8" s="898"/>
      <c r="K8" s="898"/>
      <c r="L8" s="898"/>
      <c r="M8" s="898"/>
      <c r="N8" s="293"/>
      <c r="O8" s="268"/>
      <c r="P8" s="916" t="s">
        <v>450</v>
      </c>
      <c r="Q8" s="917"/>
      <c r="R8" s="917"/>
      <c r="S8" s="917"/>
      <c r="T8" s="918"/>
      <c r="U8" s="490" t="s">
        <v>622</v>
      </c>
      <c r="V8" s="491" t="s">
        <v>270</v>
      </c>
      <c r="W8" s="491" t="s">
        <v>623</v>
      </c>
      <c r="X8" s="492" t="s">
        <v>624</v>
      </c>
      <c r="Y8" s="269"/>
      <c r="Z8"/>
      <c r="AA8"/>
      <c r="AB8"/>
      <c r="AC8"/>
      <c r="AD8"/>
    </row>
    <row r="9" spans="1:30" ht="14.1" customHeight="1" thickBot="1" x14ac:dyDescent="0.2">
      <c r="A9" s="275"/>
      <c r="B9" s="284"/>
      <c r="C9" s="287"/>
      <c r="D9" s="288" t="s">
        <v>635</v>
      </c>
      <c r="E9" s="275"/>
      <c r="F9" s="896"/>
      <c r="G9" s="896"/>
      <c r="H9" s="293"/>
      <c r="I9" s="875"/>
      <c r="J9" s="875"/>
      <c r="K9" s="875"/>
      <c r="L9" s="875"/>
      <c r="M9" s="875"/>
      <c r="N9" s="293"/>
      <c r="O9" s="268"/>
      <c r="P9" s="919"/>
      <c r="Q9" s="842"/>
      <c r="R9" s="842"/>
      <c r="S9" s="842"/>
      <c r="T9" s="843"/>
      <c r="U9" s="821" t="s">
        <v>18</v>
      </c>
      <c r="V9" s="823" t="s">
        <v>18</v>
      </c>
      <c r="W9" s="838">
        <f>IF(キャラシート!I3="蟹",計算用!AO12,計算用!AO6)</f>
        <v>0</v>
      </c>
      <c r="X9" s="893">
        <f>IF(キャラシート!$I$3="蟹",計算用!AP12,計算用!AP6)</f>
        <v>0</v>
      </c>
      <c r="Y9" s="268"/>
      <c r="Z9"/>
      <c r="AA9"/>
      <c r="AB9"/>
      <c r="AC9"/>
      <c r="AD9"/>
    </row>
    <row r="10" spans="1:30" ht="14.1" customHeight="1" thickBot="1" x14ac:dyDescent="0.2">
      <c r="A10" s="275"/>
      <c r="B10" s="285" t="s">
        <v>438</v>
      </c>
      <c r="C10" s="282">
        <f>D5</f>
        <v>0</v>
      </c>
      <c r="D10" s="49"/>
      <c r="E10" s="275"/>
      <c r="F10" s="285" t="s">
        <v>636</v>
      </c>
      <c r="G10" s="283">
        <f>F23</f>
        <v>2</v>
      </c>
      <c r="H10" s="293"/>
      <c r="I10" s="875"/>
      <c r="J10" s="875"/>
      <c r="K10" s="875"/>
      <c r="L10" s="875"/>
      <c r="M10" s="875"/>
      <c r="N10" s="293"/>
      <c r="O10" s="269"/>
      <c r="P10" s="920"/>
      <c r="Q10" s="845"/>
      <c r="R10" s="845"/>
      <c r="S10" s="845"/>
      <c r="T10" s="846"/>
      <c r="U10" s="822"/>
      <c r="V10" s="824"/>
      <c r="W10" s="839"/>
      <c r="X10" s="894"/>
      <c r="Y10" s="269"/>
      <c r="Z10"/>
      <c r="AA10"/>
      <c r="AB10"/>
      <c r="AC10"/>
      <c r="AD10"/>
    </row>
    <row r="11" spans="1:30" ht="14.1" customHeight="1" thickBot="1" x14ac:dyDescent="0.2">
      <c r="A11" s="275"/>
      <c r="B11" s="285" t="s">
        <v>611</v>
      </c>
      <c r="C11" s="282">
        <f>D5</f>
        <v>0</v>
      </c>
      <c r="D11" s="50"/>
      <c r="E11" s="275"/>
      <c r="F11" s="271"/>
      <c r="G11" s="267"/>
      <c r="H11" s="293"/>
      <c r="I11" s="875"/>
      <c r="J11" s="875"/>
      <c r="K11" s="875"/>
      <c r="L11" s="875"/>
      <c r="M11" s="875"/>
      <c r="N11" s="293"/>
      <c r="O11" s="268"/>
      <c r="P11" s="924" t="s">
        <v>9</v>
      </c>
      <c r="Q11" s="809"/>
      <c r="R11" s="810"/>
      <c r="S11" s="811" t="s">
        <v>10</v>
      </c>
      <c r="T11" s="809"/>
      <c r="U11" s="810"/>
      <c r="V11" s="811" t="s">
        <v>11</v>
      </c>
      <c r="W11" s="809"/>
      <c r="X11" s="921"/>
      <c r="Y11" s="268"/>
      <c r="Z11"/>
      <c r="AA11"/>
      <c r="AB11"/>
      <c r="AC11"/>
      <c r="AD11"/>
    </row>
    <row r="12" spans="1:30" ht="14.1" customHeight="1" thickBot="1" x14ac:dyDescent="0.2">
      <c r="A12" s="275"/>
      <c r="B12" s="285" t="s">
        <v>536</v>
      </c>
      <c r="C12" s="282">
        <f>D5</f>
        <v>0</v>
      </c>
      <c r="D12" s="50"/>
      <c r="E12" s="275"/>
      <c r="F12" s="271"/>
      <c r="G12" s="267"/>
      <c r="H12" s="293"/>
      <c r="I12" s="875"/>
      <c r="J12" s="875"/>
      <c r="K12" s="875"/>
      <c r="L12" s="875"/>
      <c r="M12" s="875"/>
      <c r="N12" s="293"/>
      <c r="O12" s="269"/>
      <c r="P12" s="922" t="s">
        <v>18</v>
      </c>
      <c r="Q12" s="827" t="s">
        <v>18</v>
      </c>
      <c r="R12" s="827" t="s">
        <v>18</v>
      </c>
      <c r="S12" s="441" t="s">
        <v>18</v>
      </c>
      <c r="T12" s="441" t="s">
        <v>18</v>
      </c>
      <c r="U12" s="441" t="s">
        <v>18</v>
      </c>
      <c r="V12" s="441" t="s">
        <v>18</v>
      </c>
      <c r="W12" s="441" t="s">
        <v>18</v>
      </c>
      <c r="X12" s="442" t="s">
        <v>18</v>
      </c>
      <c r="Y12" s="269"/>
      <c r="Z12"/>
      <c r="AA12"/>
      <c r="AB12"/>
      <c r="AC12"/>
      <c r="AD12"/>
    </row>
    <row r="13" spans="1:30" ht="14.1" customHeight="1" thickBot="1" x14ac:dyDescent="0.2">
      <c r="A13" s="275"/>
      <c r="B13" s="285" t="s">
        <v>541</v>
      </c>
      <c r="C13" s="282">
        <f>D5</f>
        <v>0</v>
      </c>
      <c r="D13" s="50"/>
      <c r="E13" s="275"/>
      <c r="F13" s="271"/>
      <c r="G13" s="267"/>
      <c r="H13" s="293"/>
      <c r="I13" s="875"/>
      <c r="J13" s="875"/>
      <c r="K13" s="875"/>
      <c r="L13" s="875"/>
      <c r="M13" s="875"/>
      <c r="N13" s="293"/>
      <c r="O13" s="268"/>
      <c r="P13" s="923"/>
      <c r="Q13" s="828"/>
      <c r="R13" s="828"/>
      <c r="S13" s="441" t="s">
        <v>18</v>
      </c>
      <c r="T13" s="441" t="s">
        <v>18</v>
      </c>
      <c r="U13" s="441" t="s">
        <v>18</v>
      </c>
      <c r="V13" s="441" t="s">
        <v>18</v>
      </c>
      <c r="W13" s="441" t="s">
        <v>18</v>
      </c>
      <c r="X13" s="442" t="s">
        <v>18</v>
      </c>
      <c r="Y13" s="268"/>
      <c r="Z13"/>
      <c r="AA13"/>
      <c r="AB13"/>
      <c r="AC13"/>
      <c r="AD13"/>
    </row>
    <row r="14" spans="1:30" ht="14.1" customHeight="1" thickBot="1" x14ac:dyDescent="0.2">
      <c r="A14" s="275"/>
      <c r="B14" s="285" t="s">
        <v>521</v>
      </c>
      <c r="C14" s="282">
        <f>IF(K2="攻撃型",ROUNDDOWN(C23/3,0),0)</f>
        <v>0</v>
      </c>
      <c r="D14" s="50"/>
      <c r="E14" s="275"/>
      <c r="F14" s="271"/>
      <c r="G14" s="267"/>
      <c r="H14" s="293"/>
      <c r="I14" s="875"/>
      <c r="J14" s="875"/>
      <c r="K14" s="875"/>
      <c r="L14" s="875"/>
      <c r="M14" s="875"/>
      <c r="N14" s="293"/>
      <c r="O14" s="269"/>
      <c r="P14" s="911" t="s">
        <v>626</v>
      </c>
      <c r="Q14" s="815"/>
      <c r="R14" s="815"/>
      <c r="S14" s="815"/>
      <c r="T14" s="815"/>
      <c r="U14" s="815"/>
      <c r="V14" s="815"/>
      <c r="W14" s="815"/>
      <c r="X14" s="912"/>
      <c r="Y14" s="269"/>
      <c r="Z14"/>
      <c r="AA14"/>
      <c r="AB14"/>
      <c r="AC14"/>
      <c r="AD14"/>
    </row>
    <row r="15" spans="1:30" ht="14.1" customHeight="1" thickBot="1" x14ac:dyDescent="0.2">
      <c r="A15" s="275"/>
      <c r="B15" s="285" t="s">
        <v>526</v>
      </c>
      <c r="C15" s="282">
        <f>IF(K2="攻撃型",ROUNDDOWN(C23/3,0),0)</f>
        <v>0</v>
      </c>
      <c r="D15" s="50"/>
      <c r="E15" s="275"/>
      <c r="F15" s="271"/>
      <c r="G15" s="267"/>
      <c r="H15" s="293"/>
      <c r="I15" s="875"/>
      <c r="J15" s="875"/>
      <c r="K15" s="875"/>
      <c r="L15" s="875"/>
      <c r="M15" s="875"/>
      <c r="N15" s="293"/>
      <c r="O15" s="268"/>
      <c r="P15" s="925"/>
      <c r="Q15" s="833"/>
      <c r="R15" s="833"/>
      <c r="S15" s="833"/>
      <c r="T15" s="833"/>
      <c r="U15" s="833"/>
      <c r="V15" s="833"/>
      <c r="W15" s="833"/>
      <c r="X15" s="926"/>
      <c r="Y15" s="268"/>
      <c r="Z15"/>
      <c r="AA15"/>
      <c r="AB15"/>
      <c r="AC15"/>
      <c r="AD15"/>
    </row>
    <row r="16" spans="1:30" ht="14.1" customHeight="1" thickBot="1" x14ac:dyDescent="0.2">
      <c r="A16" s="275"/>
      <c r="B16" s="286" t="s">
        <v>447</v>
      </c>
      <c r="C16" s="280">
        <f>D5</f>
        <v>0</v>
      </c>
      <c r="D16" s="51"/>
      <c r="E16" s="275"/>
      <c r="F16" s="273"/>
      <c r="G16" s="274"/>
      <c r="H16" s="293"/>
      <c r="I16" s="875"/>
      <c r="J16" s="875"/>
      <c r="K16" s="875"/>
      <c r="L16" s="875"/>
      <c r="M16" s="875"/>
      <c r="N16" s="293"/>
      <c r="O16" s="269"/>
      <c r="P16" s="927"/>
      <c r="Q16" s="836"/>
      <c r="R16" s="836"/>
      <c r="S16" s="836"/>
      <c r="T16" s="836"/>
      <c r="U16" s="836"/>
      <c r="V16" s="836"/>
      <c r="W16" s="836"/>
      <c r="X16" s="928"/>
      <c r="Y16" s="269"/>
      <c r="Z16"/>
      <c r="AA16"/>
      <c r="AB16"/>
      <c r="AC16"/>
      <c r="AD16"/>
    </row>
    <row r="17" spans="1:30" ht="14.1" customHeight="1" thickBot="1" x14ac:dyDescent="0.2">
      <c r="A17" s="275"/>
      <c r="B17" s="275"/>
      <c r="C17" s="275"/>
      <c r="D17" s="275"/>
      <c r="E17" s="292"/>
      <c r="F17" s="292"/>
      <c r="G17" s="292"/>
      <c r="H17" s="275"/>
      <c r="I17" s="875"/>
      <c r="J17" s="875"/>
      <c r="K17" s="875"/>
      <c r="L17" s="875"/>
      <c r="M17" s="875"/>
      <c r="N17" s="293"/>
      <c r="O17" s="269"/>
      <c r="P17" s="913" t="s">
        <v>627</v>
      </c>
      <c r="Q17" s="914"/>
      <c r="R17" s="914"/>
      <c r="S17" s="914"/>
      <c r="T17" s="914"/>
      <c r="U17" s="914"/>
      <c r="V17" s="914"/>
      <c r="W17" s="914"/>
      <c r="X17" s="915"/>
      <c r="Y17" s="268"/>
      <c r="Z17"/>
      <c r="AA17"/>
      <c r="AB17"/>
      <c r="AC17"/>
      <c r="AD17"/>
    </row>
    <row r="18" spans="1:30" ht="14.1" customHeight="1" thickBot="1" x14ac:dyDescent="0.2">
      <c r="A18" s="275"/>
      <c r="B18" s="879" t="s">
        <v>437</v>
      </c>
      <c r="C18" s="879"/>
      <c r="D18" s="272" t="s">
        <v>637</v>
      </c>
      <c r="E18" s="275"/>
      <c r="F18" s="488" t="s">
        <v>638</v>
      </c>
      <c r="G18" s="489" t="s">
        <v>854</v>
      </c>
      <c r="H18" s="293"/>
      <c r="I18" s="875"/>
      <c r="J18" s="875"/>
      <c r="K18" s="875"/>
      <c r="L18" s="875"/>
      <c r="M18" s="875"/>
      <c r="N18" s="293"/>
      <c r="O18" s="268"/>
      <c r="P18" s="268"/>
      <c r="Q18" s="268"/>
      <c r="R18" s="268"/>
      <c r="S18" s="268"/>
      <c r="T18" s="268"/>
      <c r="U18" s="268"/>
      <c r="V18" s="268"/>
      <c r="W18" s="268"/>
      <c r="X18" s="268"/>
      <c r="Y18" s="269"/>
      <c r="Z18"/>
      <c r="AA18"/>
      <c r="AB18"/>
      <c r="AC18"/>
      <c r="AD18"/>
    </row>
    <row r="19" spans="1:30" ht="14.1" customHeight="1" thickBot="1" x14ac:dyDescent="0.2">
      <c r="A19" s="275"/>
      <c r="B19" s="281">
        <f>キャラシート!G35</f>
        <v>0</v>
      </c>
      <c r="C19" s="279">
        <f>キャラシート!H35</f>
        <v>0</v>
      </c>
      <c r="D19" s="278">
        <f>IF(K2="攻撃型",ROUNDDOWN(C23/3,0),0)</f>
        <v>0</v>
      </c>
      <c r="E19" s="292"/>
      <c r="F19" s="277" t="str">
        <f>IF(K2="速度型","2D6","1D6")</f>
        <v>1D6</v>
      </c>
      <c r="G19" s="276" t="str">
        <f>IF(K2="探索型","2D6","1D6")</f>
        <v>1D6</v>
      </c>
      <c r="H19" s="293"/>
      <c r="I19" s="875"/>
      <c r="J19" s="875"/>
      <c r="K19" s="875"/>
      <c r="L19" s="875"/>
      <c r="M19" s="875"/>
      <c r="N19" s="293"/>
      <c r="O19" s="269"/>
      <c r="P19" s="916" t="s">
        <v>450</v>
      </c>
      <c r="Q19" s="917"/>
      <c r="R19" s="917"/>
      <c r="S19" s="917"/>
      <c r="T19" s="918"/>
      <c r="U19" s="490" t="s">
        <v>622</v>
      </c>
      <c r="V19" s="491" t="s">
        <v>270</v>
      </c>
      <c r="W19" s="491" t="s">
        <v>623</v>
      </c>
      <c r="X19" s="492" t="s">
        <v>624</v>
      </c>
      <c r="Y19" s="269"/>
      <c r="Z19"/>
      <c r="AA19"/>
      <c r="AB19"/>
      <c r="AC19"/>
      <c r="AD19"/>
    </row>
    <row r="20" spans="1:30" ht="14.1" customHeight="1" thickBot="1" x14ac:dyDescent="0.2">
      <c r="A20" s="292"/>
      <c r="B20" s="292"/>
      <c r="C20" s="292"/>
      <c r="D20" s="292"/>
      <c r="E20" s="292"/>
      <c r="F20" s="292"/>
      <c r="G20" s="275"/>
      <c r="H20" s="293"/>
      <c r="I20" s="875"/>
      <c r="J20" s="875"/>
      <c r="K20" s="875"/>
      <c r="L20" s="875"/>
      <c r="M20" s="875"/>
      <c r="N20" s="293"/>
      <c r="O20" s="268"/>
      <c r="P20" s="919"/>
      <c r="Q20" s="842"/>
      <c r="R20" s="842"/>
      <c r="S20" s="842"/>
      <c r="T20" s="843"/>
      <c r="U20" s="821" t="s">
        <v>18</v>
      </c>
      <c r="V20" s="823" t="s">
        <v>18</v>
      </c>
      <c r="W20" s="838">
        <f>IF(キャラシート!$I$3="蟹",計算用!AO24,計算用!AO18)</f>
        <v>0</v>
      </c>
      <c r="X20" s="893">
        <f>IF(キャラシート!$I$3="蟹",計算用!AP24,計算用!AP18)</f>
        <v>0</v>
      </c>
      <c r="Y20" s="268"/>
      <c r="Z20"/>
      <c r="AA20"/>
      <c r="AB20"/>
      <c r="AC20"/>
      <c r="AD20"/>
    </row>
    <row r="21" spans="1:30" ht="14.1" customHeight="1" thickBot="1" x14ac:dyDescent="0.2">
      <c r="A21" s="292"/>
      <c r="B21" s="883" t="s">
        <v>556</v>
      </c>
      <c r="C21" s="878"/>
      <c r="D21" s="878"/>
      <c r="E21" s="878"/>
      <c r="F21" s="878"/>
      <c r="G21" s="878"/>
      <c r="H21" s="293"/>
      <c r="I21" s="875"/>
      <c r="J21" s="875"/>
      <c r="K21" s="875"/>
      <c r="L21" s="875"/>
      <c r="M21" s="875"/>
      <c r="N21" s="293"/>
      <c r="O21" s="269"/>
      <c r="P21" s="920"/>
      <c r="Q21" s="845"/>
      <c r="R21" s="845"/>
      <c r="S21" s="845"/>
      <c r="T21" s="846"/>
      <c r="U21" s="822"/>
      <c r="V21" s="824"/>
      <c r="W21" s="839"/>
      <c r="X21" s="894"/>
      <c r="Y21" s="269"/>
      <c r="Z21"/>
      <c r="AA21"/>
      <c r="AB21"/>
      <c r="AC21"/>
      <c r="AD21"/>
    </row>
    <row r="22" spans="1:30" ht="14.1" customHeight="1" thickBot="1" x14ac:dyDescent="0.2">
      <c r="A22" s="292"/>
      <c r="B22" s="883"/>
      <c r="C22" s="878"/>
      <c r="D22" s="878"/>
      <c r="E22" s="878"/>
      <c r="F22" s="878"/>
      <c r="G22" s="878"/>
      <c r="H22" s="293"/>
      <c r="I22" s="875"/>
      <c r="J22" s="875"/>
      <c r="K22" s="875"/>
      <c r="L22" s="875"/>
      <c r="M22" s="875"/>
      <c r="N22" s="293"/>
      <c r="O22" s="268"/>
      <c r="P22" s="924" t="s">
        <v>9</v>
      </c>
      <c r="Q22" s="809"/>
      <c r="R22" s="810"/>
      <c r="S22" s="811" t="s">
        <v>10</v>
      </c>
      <c r="T22" s="809"/>
      <c r="U22" s="810"/>
      <c r="V22" s="811" t="s">
        <v>11</v>
      </c>
      <c r="W22" s="809"/>
      <c r="X22" s="921"/>
      <c r="Y22" s="268"/>
      <c r="Z22"/>
      <c r="AA22"/>
      <c r="AB22"/>
      <c r="AC22"/>
      <c r="AD22"/>
    </row>
    <row r="23" spans="1:30" ht="14.1" customHeight="1" thickBot="1" x14ac:dyDescent="0.2">
      <c r="A23" s="292"/>
      <c r="B23" s="289" t="s">
        <v>448</v>
      </c>
      <c r="C23" s="865">
        <f>キャラシート!H25-キャラシート!Y58</f>
        <v>4</v>
      </c>
      <c r="D23" s="865"/>
      <c r="E23" s="290" t="s">
        <v>527</v>
      </c>
      <c r="F23" s="866">
        <f>キャラシート!H27</f>
        <v>2</v>
      </c>
      <c r="G23" s="866"/>
      <c r="H23" s="293"/>
      <c r="I23" s="875"/>
      <c r="J23" s="875"/>
      <c r="K23" s="875"/>
      <c r="L23" s="875"/>
      <c r="M23" s="875"/>
      <c r="N23" s="293"/>
      <c r="O23" s="269"/>
      <c r="P23" s="922" t="s">
        <v>18</v>
      </c>
      <c r="Q23" s="827" t="s">
        <v>18</v>
      </c>
      <c r="R23" s="827" t="s">
        <v>18</v>
      </c>
      <c r="S23" s="441" t="s">
        <v>18</v>
      </c>
      <c r="T23" s="441" t="s">
        <v>18</v>
      </c>
      <c r="U23" s="441" t="s">
        <v>18</v>
      </c>
      <c r="V23" s="441" t="s">
        <v>18</v>
      </c>
      <c r="W23" s="441" t="s">
        <v>18</v>
      </c>
      <c r="X23" s="442" t="s">
        <v>18</v>
      </c>
      <c r="Y23" s="269"/>
      <c r="Z23"/>
      <c r="AA23"/>
      <c r="AB23"/>
      <c r="AC23"/>
      <c r="AD23"/>
    </row>
    <row r="24" spans="1:30" ht="14.1" customHeight="1" thickBot="1" x14ac:dyDescent="0.2">
      <c r="A24" s="292"/>
      <c r="B24" s="867" t="s">
        <v>567</v>
      </c>
      <c r="C24" s="867"/>
      <c r="D24" s="867"/>
      <c r="E24" s="867"/>
      <c r="F24" s="867"/>
      <c r="G24" s="867"/>
      <c r="H24" s="293"/>
      <c r="I24" s="875"/>
      <c r="J24" s="875"/>
      <c r="K24" s="875"/>
      <c r="L24" s="875"/>
      <c r="M24" s="875"/>
      <c r="N24" s="293"/>
      <c r="O24" s="268"/>
      <c r="P24" s="923"/>
      <c r="Q24" s="828"/>
      <c r="R24" s="828"/>
      <c r="S24" s="441" t="s">
        <v>18</v>
      </c>
      <c r="T24" s="441" t="s">
        <v>18</v>
      </c>
      <c r="U24" s="441" t="s">
        <v>18</v>
      </c>
      <c r="V24" s="441" t="s">
        <v>18</v>
      </c>
      <c r="W24" s="441" t="s">
        <v>18</v>
      </c>
      <c r="X24" s="442" t="s">
        <v>18</v>
      </c>
      <c r="Y24" s="268"/>
      <c r="Z24"/>
      <c r="AA24"/>
      <c r="AB24"/>
      <c r="AC24"/>
      <c r="AD24"/>
    </row>
    <row r="25" spans="1:30" ht="14.1" customHeight="1" thickBot="1" x14ac:dyDescent="0.2">
      <c r="A25" s="292"/>
      <c r="B25" s="864"/>
      <c r="C25" s="864"/>
      <c r="D25" s="864"/>
      <c r="E25" s="864"/>
      <c r="F25" s="864"/>
      <c r="G25" s="864"/>
      <c r="H25" s="293"/>
      <c r="I25" s="875"/>
      <c r="J25" s="875"/>
      <c r="K25" s="875"/>
      <c r="L25" s="875"/>
      <c r="M25" s="875"/>
      <c r="N25" s="293"/>
      <c r="O25" s="269"/>
      <c r="P25" s="911" t="s">
        <v>626</v>
      </c>
      <c r="Q25" s="815"/>
      <c r="R25" s="815"/>
      <c r="S25" s="815"/>
      <c r="T25" s="815"/>
      <c r="U25" s="815"/>
      <c r="V25" s="815"/>
      <c r="W25" s="815"/>
      <c r="X25" s="912"/>
      <c r="Y25" s="269"/>
      <c r="Z25"/>
      <c r="AA25"/>
      <c r="AB25"/>
      <c r="AC25"/>
      <c r="AD25"/>
    </row>
    <row r="26" spans="1:30" ht="14.1" customHeight="1" thickBot="1" x14ac:dyDescent="0.2">
      <c r="A26" s="292"/>
      <c r="B26" s="864"/>
      <c r="C26" s="864"/>
      <c r="D26" s="864"/>
      <c r="E26" s="864"/>
      <c r="F26" s="864"/>
      <c r="G26" s="864"/>
      <c r="H26" s="293"/>
      <c r="I26" s="875"/>
      <c r="J26" s="875"/>
      <c r="K26" s="875"/>
      <c r="L26" s="875"/>
      <c r="M26" s="875"/>
      <c r="N26" s="293"/>
      <c r="O26" s="268"/>
      <c r="P26" s="925"/>
      <c r="Q26" s="833"/>
      <c r="R26" s="833"/>
      <c r="S26" s="833"/>
      <c r="T26" s="833"/>
      <c r="U26" s="833"/>
      <c r="V26" s="833"/>
      <c r="W26" s="833"/>
      <c r="X26" s="926"/>
      <c r="Y26" s="268"/>
      <c r="Z26"/>
      <c r="AA26"/>
      <c r="AB26"/>
      <c r="AC26"/>
      <c r="AD26"/>
    </row>
    <row r="27" spans="1:30" ht="14.1" customHeight="1" thickBot="1" x14ac:dyDescent="0.2">
      <c r="A27" s="292"/>
      <c r="B27" s="864"/>
      <c r="C27" s="864"/>
      <c r="D27" s="864"/>
      <c r="E27" s="864"/>
      <c r="F27" s="864"/>
      <c r="G27" s="864"/>
      <c r="H27" s="293"/>
      <c r="I27" s="875"/>
      <c r="J27" s="875"/>
      <c r="K27" s="875"/>
      <c r="L27" s="875"/>
      <c r="M27" s="875"/>
      <c r="N27" s="293"/>
      <c r="O27" s="269"/>
      <c r="P27" s="927"/>
      <c r="Q27" s="836"/>
      <c r="R27" s="836"/>
      <c r="S27" s="836"/>
      <c r="T27" s="836"/>
      <c r="U27" s="836"/>
      <c r="V27" s="836"/>
      <c r="W27" s="836"/>
      <c r="X27" s="928"/>
      <c r="Y27" s="269"/>
      <c r="Z27"/>
      <c r="AA27"/>
      <c r="AB27"/>
      <c r="AC27"/>
      <c r="AD27"/>
    </row>
    <row r="28" spans="1:30" ht="14.1" customHeight="1" thickBot="1" x14ac:dyDescent="0.2">
      <c r="A28" s="292"/>
      <c r="B28" s="864"/>
      <c r="C28" s="864"/>
      <c r="D28" s="864"/>
      <c r="E28" s="864"/>
      <c r="F28" s="864"/>
      <c r="G28" s="864"/>
      <c r="H28" s="293"/>
      <c r="I28" s="875"/>
      <c r="J28" s="875"/>
      <c r="K28" s="875"/>
      <c r="L28" s="875"/>
      <c r="M28" s="875"/>
      <c r="N28" s="293"/>
      <c r="O28" s="268"/>
      <c r="P28" s="913" t="s">
        <v>627</v>
      </c>
      <c r="Q28" s="914"/>
      <c r="R28" s="914"/>
      <c r="S28" s="914"/>
      <c r="T28" s="914"/>
      <c r="U28" s="914"/>
      <c r="V28" s="914"/>
      <c r="W28" s="914"/>
      <c r="X28" s="915"/>
      <c r="Y28" s="268"/>
      <c r="Z28"/>
      <c r="AA28"/>
      <c r="AB28"/>
      <c r="AC28"/>
      <c r="AD28"/>
    </row>
    <row r="29" spans="1:30" ht="14.1" customHeight="1" thickBot="1" x14ac:dyDescent="0.2">
      <c r="A29" s="292"/>
      <c r="B29" s="864"/>
      <c r="C29" s="864"/>
      <c r="D29" s="864"/>
      <c r="E29" s="864"/>
      <c r="F29" s="864"/>
      <c r="G29" s="864"/>
      <c r="H29" s="293"/>
      <c r="I29" s="875"/>
      <c r="J29" s="875"/>
      <c r="K29" s="875"/>
      <c r="L29" s="875"/>
      <c r="M29" s="875"/>
      <c r="N29" s="293"/>
      <c r="O29" s="269"/>
      <c r="P29" s="269"/>
      <c r="Q29" s="269"/>
      <c r="R29" s="269"/>
      <c r="S29" s="269"/>
      <c r="T29" s="269"/>
      <c r="U29" s="269"/>
      <c r="V29" s="269"/>
      <c r="W29" s="269"/>
      <c r="X29" s="269"/>
      <c r="Y29" s="268"/>
      <c r="Z29"/>
      <c r="AA29"/>
      <c r="AB29"/>
      <c r="AC29"/>
      <c r="AD29"/>
    </row>
    <row r="30" spans="1:30" ht="14.1" customHeight="1" thickBot="1" x14ac:dyDescent="0.2">
      <c r="A30" s="292"/>
      <c r="B30" s="292"/>
      <c r="C30" s="292"/>
      <c r="D30" s="292"/>
      <c r="E30" s="292"/>
      <c r="F30" s="292"/>
      <c r="G30" s="292"/>
      <c r="H30" s="292"/>
      <c r="I30" s="292"/>
      <c r="J30" s="275"/>
      <c r="K30" s="292"/>
      <c r="L30" s="292"/>
      <c r="M30" s="275"/>
      <c r="N30" s="292"/>
      <c r="O30" s="268"/>
      <c r="P30" s="916" t="s">
        <v>450</v>
      </c>
      <c r="Q30" s="917"/>
      <c r="R30" s="917"/>
      <c r="S30" s="917"/>
      <c r="T30" s="918"/>
      <c r="U30" s="490" t="s">
        <v>622</v>
      </c>
      <c r="V30" s="491" t="s">
        <v>270</v>
      </c>
      <c r="W30" s="491" t="s">
        <v>623</v>
      </c>
      <c r="X30" s="492" t="s">
        <v>624</v>
      </c>
      <c r="Y30" s="269"/>
      <c r="Z30"/>
      <c r="AA30"/>
      <c r="AB30"/>
      <c r="AC30"/>
      <c r="AD30"/>
    </row>
    <row r="31" spans="1:30" ht="14.1" customHeight="1" x14ac:dyDescent="0.15">
      <c r="A31" s="292"/>
      <c r="B31" s="887" t="s">
        <v>639</v>
      </c>
      <c r="C31" s="887"/>
      <c r="D31" s="887"/>
      <c r="E31" s="887"/>
      <c r="F31" s="887"/>
      <c r="G31" s="887"/>
      <c r="H31" s="887"/>
      <c r="I31" s="887"/>
      <c r="J31" s="887"/>
      <c r="K31" s="887"/>
      <c r="L31" s="887"/>
      <c r="M31" s="887"/>
      <c r="N31" s="293"/>
      <c r="O31" s="269"/>
      <c r="P31" s="919"/>
      <c r="Q31" s="842"/>
      <c r="R31" s="842"/>
      <c r="S31" s="842"/>
      <c r="T31" s="843"/>
      <c r="U31" s="821" t="s">
        <v>18</v>
      </c>
      <c r="V31" s="823" t="s">
        <v>18</v>
      </c>
      <c r="W31" s="838">
        <f>IF(キャラシート!$I$3="蟹",計算用!AO36,計算用!AO30)</f>
        <v>0</v>
      </c>
      <c r="X31" s="893">
        <f>IF(キャラシート!$I$3="蟹",計算用!AP36,計算用!AP30)</f>
        <v>0</v>
      </c>
      <c r="Y31" s="268"/>
      <c r="Z31"/>
      <c r="AA31"/>
      <c r="AB31"/>
      <c r="AC31"/>
      <c r="AD31"/>
    </row>
    <row r="32" spans="1:30" ht="14.1" customHeight="1" thickBot="1" x14ac:dyDescent="0.2">
      <c r="A32" s="292"/>
      <c r="B32" s="864"/>
      <c r="C32" s="864"/>
      <c r="D32" s="864"/>
      <c r="E32" s="864"/>
      <c r="F32" s="864"/>
      <c r="G32" s="864"/>
      <c r="H32" s="864"/>
      <c r="I32" s="864"/>
      <c r="J32" s="864"/>
      <c r="K32" s="864"/>
      <c r="L32" s="864"/>
      <c r="M32" s="864"/>
      <c r="N32" s="293"/>
      <c r="O32" s="268"/>
      <c r="P32" s="920"/>
      <c r="Q32" s="845"/>
      <c r="R32" s="845"/>
      <c r="S32" s="845"/>
      <c r="T32" s="846"/>
      <c r="U32" s="822"/>
      <c r="V32" s="824"/>
      <c r="W32" s="839"/>
      <c r="X32" s="894"/>
      <c r="Y32" s="269"/>
      <c r="Z32"/>
      <c r="AA32"/>
      <c r="AB32"/>
      <c r="AC32"/>
      <c r="AD32"/>
    </row>
    <row r="33" spans="1:30" ht="14.1" customHeight="1" thickBot="1" x14ac:dyDescent="0.2">
      <c r="A33" s="292"/>
      <c r="B33" s="864"/>
      <c r="C33" s="864"/>
      <c r="D33" s="864"/>
      <c r="E33" s="864"/>
      <c r="F33" s="864"/>
      <c r="G33" s="864"/>
      <c r="H33" s="864"/>
      <c r="I33" s="864"/>
      <c r="J33" s="864"/>
      <c r="K33" s="864"/>
      <c r="L33" s="864"/>
      <c r="M33" s="864"/>
      <c r="N33" s="293"/>
      <c r="O33" s="269"/>
      <c r="P33" s="924" t="s">
        <v>9</v>
      </c>
      <c r="Q33" s="809"/>
      <c r="R33" s="810"/>
      <c r="S33" s="811" t="s">
        <v>10</v>
      </c>
      <c r="T33" s="809"/>
      <c r="U33" s="810"/>
      <c r="V33" s="811" t="s">
        <v>11</v>
      </c>
      <c r="W33" s="809"/>
      <c r="X33" s="921"/>
      <c r="Y33" s="268"/>
      <c r="Z33"/>
      <c r="AA33"/>
      <c r="AB33"/>
      <c r="AC33"/>
      <c r="AD33"/>
    </row>
    <row r="34" spans="1:30" ht="14.1" customHeight="1" thickBot="1" x14ac:dyDescent="0.2">
      <c r="A34" s="292"/>
      <c r="B34" s="864"/>
      <c r="C34" s="864"/>
      <c r="D34" s="864"/>
      <c r="E34" s="864"/>
      <c r="F34" s="864"/>
      <c r="G34" s="864"/>
      <c r="H34" s="864"/>
      <c r="I34" s="864"/>
      <c r="J34" s="864"/>
      <c r="K34" s="864"/>
      <c r="L34" s="864"/>
      <c r="M34" s="864"/>
      <c r="N34" s="293"/>
      <c r="O34" s="268"/>
      <c r="P34" s="922" t="s">
        <v>18</v>
      </c>
      <c r="Q34" s="827" t="s">
        <v>18</v>
      </c>
      <c r="R34" s="827" t="s">
        <v>18</v>
      </c>
      <c r="S34" s="441" t="s">
        <v>18</v>
      </c>
      <c r="T34" s="441" t="s">
        <v>18</v>
      </c>
      <c r="U34" s="441" t="s">
        <v>18</v>
      </c>
      <c r="V34" s="441" t="s">
        <v>18</v>
      </c>
      <c r="W34" s="441" t="s">
        <v>18</v>
      </c>
      <c r="X34" s="442" t="s">
        <v>18</v>
      </c>
      <c r="Y34" s="269"/>
      <c r="Z34"/>
      <c r="AA34"/>
      <c r="AB34"/>
      <c r="AC34"/>
      <c r="AD34"/>
    </row>
    <row r="35" spans="1:30" ht="14.1" customHeight="1" thickBot="1" x14ac:dyDescent="0.2">
      <c r="A35" s="292"/>
      <c r="B35" s="864"/>
      <c r="C35" s="864"/>
      <c r="D35" s="864"/>
      <c r="E35" s="864"/>
      <c r="F35" s="864"/>
      <c r="G35" s="864"/>
      <c r="H35" s="864"/>
      <c r="I35" s="864"/>
      <c r="J35" s="864"/>
      <c r="K35" s="864"/>
      <c r="L35" s="864"/>
      <c r="M35" s="864"/>
      <c r="N35" s="292"/>
      <c r="O35" s="269"/>
      <c r="P35" s="923"/>
      <c r="Q35" s="828"/>
      <c r="R35" s="828"/>
      <c r="S35" s="441" t="s">
        <v>18</v>
      </c>
      <c r="T35" s="441" t="s">
        <v>18</v>
      </c>
      <c r="U35" s="441" t="s">
        <v>18</v>
      </c>
      <c r="V35" s="441" t="s">
        <v>18</v>
      </c>
      <c r="W35" s="441" t="s">
        <v>18</v>
      </c>
      <c r="X35" s="442" t="s">
        <v>18</v>
      </c>
      <c r="Y35" s="268"/>
      <c r="Z35" s="1"/>
      <c r="AA35" s="1"/>
      <c r="AB35" s="1"/>
      <c r="AC35" s="1"/>
      <c r="AD35" s="1"/>
    </row>
    <row r="36" spans="1:30" ht="14.1" customHeight="1" x14ac:dyDescent="0.15">
      <c r="A36" s="292"/>
      <c r="B36" s="292"/>
      <c r="C36" s="292"/>
      <c r="D36" s="292"/>
      <c r="E36" s="292"/>
      <c r="F36" s="292"/>
      <c r="G36" s="292"/>
      <c r="H36" s="292"/>
      <c r="I36" s="292"/>
      <c r="J36" s="275"/>
      <c r="K36" s="292"/>
      <c r="L36" s="292"/>
      <c r="M36" s="275"/>
      <c r="N36" s="292"/>
      <c r="O36" s="268"/>
      <c r="P36" s="911" t="s">
        <v>626</v>
      </c>
      <c r="Q36" s="815"/>
      <c r="R36" s="815"/>
      <c r="S36" s="815"/>
      <c r="T36" s="815"/>
      <c r="U36" s="815"/>
      <c r="V36" s="815"/>
      <c r="W36" s="815"/>
      <c r="X36" s="912"/>
      <c r="Y36" s="269"/>
      <c r="Z36" s="1"/>
      <c r="AA36" s="1"/>
      <c r="AB36" s="1"/>
      <c r="AC36" s="1"/>
      <c r="AD36" s="1"/>
    </row>
    <row r="37" spans="1:30" ht="14.1" customHeight="1" x14ac:dyDescent="0.15">
      <c r="A37"/>
      <c r="B37"/>
      <c r="C37"/>
      <c r="D37"/>
      <c r="E37"/>
      <c r="F37"/>
      <c r="G37"/>
      <c r="H37"/>
      <c r="I37"/>
      <c r="J37"/>
      <c r="K37"/>
      <c r="L37"/>
      <c r="M37"/>
      <c r="N37"/>
      <c r="O37" s="269"/>
      <c r="P37" s="925"/>
      <c r="Q37" s="833"/>
      <c r="R37" s="833"/>
      <c r="S37" s="833"/>
      <c r="T37" s="833"/>
      <c r="U37" s="833"/>
      <c r="V37" s="833"/>
      <c r="W37" s="833"/>
      <c r="X37" s="926"/>
      <c r="Y37" s="268"/>
      <c r="Z37" s="1"/>
      <c r="AA37" s="1"/>
      <c r="AB37" s="1"/>
      <c r="AC37" s="1"/>
      <c r="AD37" s="1"/>
    </row>
    <row r="38" spans="1:30" ht="14.1" customHeight="1" x14ac:dyDescent="0.15">
      <c r="A38"/>
      <c r="B38" s="294"/>
      <c r="C38" s="52"/>
      <c r="D38" s="294"/>
      <c r="E38" s="294"/>
      <c r="F38" s="294"/>
      <c r="G38" s="52"/>
      <c r="H38" s="52"/>
      <c r="I38"/>
      <c r="J38"/>
      <c r="K38"/>
      <c r="L38"/>
      <c r="M38"/>
      <c r="N38"/>
      <c r="O38" s="268"/>
      <c r="P38" s="927"/>
      <c r="Q38" s="836"/>
      <c r="R38" s="836"/>
      <c r="S38" s="836"/>
      <c r="T38" s="836"/>
      <c r="U38" s="836"/>
      <c r="V38" s="836"/>
      <c r="W38" s="836"/>
      <c r="X38" s="928"/>
      <c r="Y38" s="269"/>
      <c r="Z38" s="1"/>
      <c r="AA38" s="1"/>
      <c r="AB38" s="1"/>
      <c r="AC38" s="1"/>
      <c r="AD38" s="1"/>
    </row>
    <row r="39" spans="1:30" ht="14.1" customHeight="1" thickBot="1" x14ac:dyDescent="0.2">
      <c r="A39"/>
      <c r="B39" s="295"/>
      <c r="C39" s="295"/>
      <c r="D39" s="296"/>
      <c r="E39" s="296"/>
      <c r="F39" s="297"/>
      <c r="G39" s="298"/>
      <c r="H39" s="299"/>
      <c r="I39"/>
      <c r="J39"/>
      <c r="K39"/>
      <c r="L39"/>
      <c r="M39"/>
      <c r="N39"/>
      <c r="O39" s="269"/>
      <c r="P39" s="913" t="s">
        <v>627</v>
      </c>
      <c r="Q39" s="914"/>
      <c r="R39" s="914"/>
      <c r="S39" s="914"/>
      <c r="T39" s="914"/>
      <c r="U39" s="914"/>
      <c r="V39" s="914"/>
      <c r="W39" s="914"/>
      <c r="X39" s="915"/>
      <c r="Y39" s="268"/>
      <c r="Z39" s="1"/>
      <c r="AA39" s="1"/>
      <c r="AB39" s="1"/>
      <c r="AC39" s="1"/>
      <c r="AD39" s="1"/>
    </row>
    <row r="40" spans="1:30" ht="14.1" customHeight="1" thickBot="1" x14ac:dyDescent="0.2">
      <c r="A40"/>
      <c r="B40"/>
      <c r="C40"/>
      <c r="D40"/>
      <c r="E40"/>
      <c r="F40"/>
      <c r="G40"/>
      <c r="H40"/>
      <c r="I40"/>
      <c r="J40"/>
      <c r="K40"/>
      <c r="L40"/>
      <c r="M40"/>
      <c r="N40"/>
      <c r="O40" s="268"/>
      <c r="P40" s="268"/>
      <c r="Q40" s="268"/>
      <c r="R40" s="268"/>
      <c r="S40" s="268"/>
      <c r="T40" s="268"/>
      <c r="U40" s="268"/>
      <c r="V40" s="268"/>
      <c r="W40" s="268"/>
      <c r="X40" s="268"/>
      <c r="Y40" s="269"/>
      <c r="Z40" s="1"/>
      <c r="AA40" s="1"/>
      <c r="AB40" s="1"/>
      <c r="AC40" s="1"/>
      <c r="AD40" s="1"/>
    </row>
    <row r="41" spans="1:30" ht="14.1" customHeight="1" x14ac:dyDescent="0.15">
      <c r="A41"/>
      <c r="B41"/>
      <c r="C41"/>
      <c r="D41"/>
      <c r="E41"/>
      <c r="F41"/>
      <c r="G41"/>
      <c r="H41"/>
      <c r="I41"/>
      <c r="J41"/>
      <c r="K41"/>
      <c r="L41"/>
      <c r="M41"/>
      <c r="N41"/>
      <c r="O41" s="269"/>
      <c r="P41" s="916" t="s">
        <v>450</v>
      </c>
      <c r="Q41" s="917"/>
      <c r="R41" s="917"/>
      <c r="S41" s="917"/>
      <c r="T41" s="918"/>
      <c r="U41" s="490" t="s">
        <v>622</v>
      </c>
      <c r="V41" s="491" t="s">
        <v>270</v>
      </c>
      <c r="W41" s="491" t="s">
        <v>623</v>
      </c>
      <c r="X41" s="492" t="s">
        <v>624</v>
      </c>
      <c r="Y41" s="269"/>
      <c r="Z41" s="1"/>
      <c r="AA41" s="1"/>
      <c r="AB41" s="1"/>
      <c r="AC41" s="1"/>
      <c r="AD41" s="1"/>
    </row>
    <row r="42" spans="1:30" ht="14.1" customHeight="1" x14ac:dyDescent="0.15">
      <c r="A42"/>
      <c r="B42"/>
      <c r="C42"/>
      <c r="D42"/>
      <c r="E42"/>
      <c r="F42"/>
      <c r="G42"/>
      <c r="H42"/>
      <c r="I42"/>
      <c r="J42"/>
      <c r="K42"/>
      <c r="L42"/>
      <c r="M42"/>
      <c r="N42"/>
      <c r="O42" s="268"/>
      <c r="P42" s="919"/>
      <c r="Q42" s="842"/>
      <c r="R42" s="842"/>
      <c r="S42" s="842"/>
      <c r="T42" s="843"/>
      <c r="U42" s="821" t="s">
        <v>18</v>
      </c>
      <c r="V42" s="823" t="s">
        <v>18</v>
      </c>
      <c r="W42" s="838">
        <f>IF(キャラシート!$I$3="蟹",計算用!AO48,計算用!AO42)</f>
        <v>0</v>
      </c>
      <c r="X42" s="893">
        <f>IF(キャラシート!$I$3="蟹",計算用!AP48,計算用!AP42)</f>
        <v>0</v>
      </c>
      <c r="Y42" s="268"/>
      <c r="Z42" s="1"/>
      <c r="AA42" s="1"/>
      <c r="AB42" s="1"/>
      <c r="AC42" s="1"/>
      <c r="AD42" s="1"/>
    </row>
    <row r="43" spans="1:30" ht="14.1" customHeight="1" x14ac:dyDescent="0.15">
      <c r="A43"/>
      <c r="B43"/>
      <c r="C43"/>
      <c r="D43"/>
      <c r="E43"/>
      <c r="F43"/>
      <c r="G43"/>
      <c r="H43"/>
      <c r="I43"/>
      <c r="J43"/>
      <c r="K43"/>
      <c r="L43"/>
      <c r="M43"/>
      <c r="N43"/>
      <c r="O43" s="269"/>
      <c r="P43" s="920"/>
      <c r="Q43" s="845"/>
      <c r="R43" s="845"/>
      <c r="S43" s="845"/>
      <c r="T43" s="846"/>
      <c r="U43" s="822"/>
      <c r="V43" s="824"/>
      <c r="W43" s="839"/>
      <c r="X43" s="894"/>
      <c r="Y43" s="269"/>
      <c r="Z43" s="1"/>
      <c r="AA43" s="1"/>
      <c r="AB43" s="1"/>
      <c r="AC43" s="1"/>
      <c r="AD43" s="1"/>
    </row>
    <row r="44" spans="1:30" ht="14.1" customHeight="1" x14ac:dyDescent="0.15">
      <c r="A44"/>
      <c r="B44"/>
      <c r="C44"/>
      <c r="D44"/>
      <c r="E44"/>
      <c r="F44"/>
      <c r="G44"/>
      <c r="H44"/>
      <c r="I44"/>
      <c r="J44"/>
      <c r="K44"/>
      <c r="L44"/>
      <c r="M44"/>
      <c r="N44"/>
      <c r="O44" s="268"/>
      <c r="P44" s="924" t="s">
        <v>9</v>
      </c>
      <c r="Q44" s="809"/>
      <c r="R44" s="810"/>
      <c r="S44" s="811" t="s">
        <v>10</v>
      </c>
      <c r="T44" s="809"/>
      <c r="U44" s="810"/>
      <c r="V44" s="811" t="s">
        <v>11</v>
      </c>
      <c r="W44" s="809"/>
      <c r="X44" s="921"/>
      <c r="Y44" s="268"/>
      <c r="Z44" s="1"/>
      <c r="AA44" s="1"/>
      <c r="AB44" s="1"/>
      <c r="AC44" s="1"/>
      <c r="AD44" s="1"/>
    </row>
    <row r="45" spans="1:30" ht="14.1" customHeight="1" x14ac:dyDescent="0.15">
      <c r="A45"/>
      <c r="B45"/>
      <c r="C45"/>
      <c r="D45"/>
      <c r="E45"/>
      <c r="F45"/>
      <c r="G45"/>
      <c r="H45"/>
      <c r="I45"/>
      <c r="J45"/>
      <c r="K45"/>
      <c r="L45"/>
      <c r="M45"/>
      <c r="N45"/>
      <c r="O45" s="269"/>
      <c r="P45" s="922" t="s">
        <v>18</v>
      </c>
      <c r="Q45" s="827" t="s">
        <v>18</v>
      </c>
      <c r="R45" s="827" t="s">
        <v>18</v>
      </c>
      <c r="S45" s="441" t="s">
        <v>18</v>
      </c>
      <c r="T45" s="441" t="s">
        <v>18</v>
      </c>
      <c r="U45" s="441" t="s">
        <v>18</v>
      </c>
      <c r="V45" s="441" t="s">
        <v>18</v>
      </c>
      <c r="W45" s="441" t="s">
        <v>18</v>
      </c>
      <c r="X45" s="442" t="s">
        <v>18</v>
      </c>
      <c r="Y45" s="269"/>
      <c r="Z45" s="1"/>
      <c r="AA45" s="1"/>
      <c r="AB45" s="1"/>
      <c r="AC45" s="1"/>
      <c r="AD45" s="1"/>
    </row>
    <row r="46" spans="1:30" ht="14.1" customHeight="1" x14ac:dyDescent="0.15">
      <c r="A46"/>
      <c r="B46"/>
      <c r="C46"/>
      <c r="D46"/>
      <c r="E46"/>
      <c r="F46"/>
      <c r="G46"/>
      <c r="H46"/>
      <c r="I46"/>
      <c r="J46"/>
      <c r="K46"/>
      <c r="L46"/>
      <c r="M46"/>
      <c r="N46"/>
      <c r="O46" s="268"/>
      <c r="P46" s="923"/>
      <c r="Q46" s="828"/>
      <c r="R46" s="828"/>
      <c r="S46" s="441" t="s">
        <v>18</v>
      </c>
      <c r="T46" s="441" t="s">
        <v>18</v>
      </c>
      <c r="U46" s="441" t="s">
        <v>18</v>
      </c>
      <c r="V46" s="441" t="s">
        <v>18</v>
      </c>
      <c r="W46" s="441" t="s">
        <v>18</v>
      </c>
      <c r="X46" s="442" t="s">
        <v>18</v>
      </c>
      <c r="Y46" s="268"/>
      <c r="Z46" s="1"/>
      <c r="AA46" s="1"/>
      <c r="AB46" s="1"/>
      <c r="AC46" s="1"/>
      <c r="AD46" s="1"/>
    </row>
    <row r="47" spans="1:30" ht="14.1" customHeight="1" x14ac:dyDescent="0.15">
      <c r="A47"/>
      <c r="B47"/>
      <c r="C47"/>
      <c r="D47"/>
      <c r="E47"/>
      <c r="F47"/>
      <c r="G47"/>
      <c r="H47"/>
      <c r="I47"/>
      <c r="J47"/>
      <c r="K47"/>
      <c r="L47"/>
      <c r="M47"/>
      <c r="N47"/>
      <c r="O47" s="269"/>
      <c r="P47" s="911" t="s">
        <v>626</v>
      </c>
      <c r="Q47" s="815"/>
      <c r="R47" s="815"/>
      <c r="S47" s="815"/>
      <c r="T47" s="815"/>
      <c r="U47" s="815"/>
      <c r="V47" s="815"/>
      <c r="W47" s="815"/>
      <c r="X47" s="912"/>
      <c r="Y47" s="269"/>
      <c r="Z47" s="1"/>
      <c r="AA47" s="1"/>
      <c r="AB47" s="1"/>
      <c r="AC47" s="1"/>
      <c r="AD47" s="1"/>
    </row>
    <row r="48" spans="1:30" ht="14.1" customHeight="1" x14ac:dyDescent="0.15">
      <c r="A48"/>
      <c r="B48"/>
      <c r="C48"/>
      <c r="D48"/>
      <c r="E48"/>
      <c r="F48"/>
      <c r="G48"/>
      <c r="H48"/>
      <c r="I48"/>
      <c r="J48"/>
      <c r="K48"/>
      <c r="L48"/>
      <c r="M48"/>
      <c r="N48"/>
      <c r="O48" s="268"/>
      <c r="P48" s="925"/>
      <c r="Q48" s="833"/>
      <c r="R48" s="833"/>
      <c r="S48" s="833"/>
      <c r="T48" s="833"/>
      <c r="U48" s="833"/>
      <c r="V48" s="833"/>
      <c r="W48" s="833"/>
      <c r="X48" s="926"/>
      <c r="Y48" s="268"/>
      <c r="Z48" s="1"/>
      <c r="AA48" s="1"/>
      <c r="AB48" s="1"/>
      <c r="AC48" s="1"/>
      <c r="AD48" s="1"/>
    </row>
    <row r="49" spans="1:30" ht="14.1" customHeight="1" x14ac:dyDescent="0.15">
      <c r="A49"/>
      <c r="B49"/>
      <c r="C49"/>
      <c r="D49"/>
      <c r="E49"/>
      <c r="F49"/>
      <c r="G49"/>
      <c r="H49"/>
      <c r="I49"/>
      <c r="J49"/>
      <c r="K49"/>
      <c r="L49"/>
      <c r="M49"/>
      <c r="N49"/>
      <c r="O49" s="269"/>
      <c r="P49" s="927"/>
      <c r="Q49" s="836"/>
      <c r="R49" s="836"/>
      <c r="S49" s="836"/>
      <c r="T49" s="836"/>
      <c r="U49" s="836"/>
      <c r="V49" s="836"/>
      <c r="W49" s="836"/>
      <c r="X49" s="928"/>
      <c r="Y49" s="269"/>
      <c r="Z49" s="1"/>
      <c r="AA49" s="1"/>
      <c r="AB49" s="1"/>
      <c r="AC49" s="1"/>
      <c r="AD49" s="1"/>
    </row>
    <row r="50" spans="1:30" ht="14.1" customHeight="1" thickBot="1" x14ac:dyDescent="0.2">
      <c r="A50"/>
      <c r="B50"/>
      <c r="C50"/>
      <c r="D50"/>
      <c r="E50"/>
      <c r="F50"/>
      <c r="G50"/>
      <c r="H50"/>
      <c r="I50"/>
      <c r="J50"/>
      <c r="K50"/>
      <c r="L50"/>
      <c r="M50"/>
      <c r="N50"/>
      <c r="O50" s="268"/>
      <c r="P50" s="913" t="s">
        <v>627</v>
      </c>
      <c r="Q50" s="914"/>
      <c r="R50" s="914"/>
      <c r="S50" s="914"/>
      <c r="T50" s="914"/>
      <c r="U50" s="914"/>
      <c r="V50" s="914"/>
      <c r="W50" s="914"/>
      <c r="X50" s="915"/>
      <c r="Y50" s="268"/>
      <c r="Z50" s="1"/>
      <c r="AA50" s="1"/>
      <c r="AB50" s="1"/>
      <c r="AC50" s="1"/>
      <c r="AD50" s="1"/>
    </row>
    <row r="51" spans="1:30" ht="14.1" customHeight="1" thickBot="1" x14ac:dyDescent="0.2">
      <c r="A51"/>
      <c r="B51"/>
      <c r="C51"/>
      <c r="D51"/>
      <c r="E51"/>
      <c r="F51"/>
      <c r="G51"/>
      <c r="H51"/>
      <c r="I51"/>
      <c r="J51"/>
      <c r="K51"/>
      <c r="L51"/>
      <c r="M51"/>
      <c r="N51"/>
      <c r="O51" s="269"/>
      <c r="P51" s="269"/>
      <c r="Q51" s="269"/>
      <c r="R51" s="269"/>
      <c r="S51" s="269"/>
      <c r="T51" s="269"/>
      <c r="U51" s="269"/>
      <c r="V51" s="269"/>
      <c r="W51" s="269"/>
      <c r="X51" s="269"/>
      <c r="Y51" s="268"/>
      <c r="Z51" s="1"/>
      <c r="AA51" s="1"/>
      <c r="AB51" s="1"/>
      <c r="AC51" s="1"/>
      <c r="AD51" s="1"/>
    </row>
    <row r="52" spans="1:30" ht="14.1" customHeight="1" x14ac:dyDescent="0.15">
      <c r="A52"/>
      <c r="B52"/>
      <c r="C52"/>
      <c r="D52"/>
      <c r="E52"/>
      <c r="F52"/>
      <c r="G52"/>
      <c r="H52"/>
      <c r="I52"/>
      <c r="J52"/>
      <c r="K52"/>
      <c r="L52"/>
      <c r="M52"/>
      <c r="N52"/>
      <c r="O52" s="268"/>
      <c r="P52" s="916" t="s">
        <v>450</v>
      </c>
      <c r="Q52" s="917"/>
      <c r="R52" s="917"/>
      <c r="S52" s="917"/>
      <c r="T52" s="918"/>
      <c r="U52" s="490" t="s">
        <v>622</v>
      </c>
      <c r="V52" s="491" t="s">
        <v>270</v>
      </c>
      <c r="W52" s="491" t="s">
        <v>623</v>
      </c>
      <c r="X52" s="492" t="s">
        <v>624</v>
      </c>
      <c r="Y52" s="269"/>
      <c r="Z52" s="1"/>
      <c r="AA52" s="1"/>
    </row>
    <row r="53" spans="1:30" ht="14.1" customHeight="1" x14ac:dyDescent="0.15">
      <c r="A53"/>
      <c r="B53"/>
      <c r="C53"/>
      <c r="D53"/>
      <c r="E53"/>
      <c r="F53"/>
      <c r="G53"/>
      <c r="H53"/>
      <c r="I53"/>
      <c r="J53"/>
      <c r="K53"/>
      <c r="L53"/>
      <c r="M53"/>
      <c r="N53"/>
      <c r="O53" s="269"/>
      <c r="P53" s="919"/>
      <c r="Q53" s="842"/>
      <c r="R53" s="842"/>
      <c r="S53" s="842"/>
      <c r="T53" s="843"/>
      <c r="U53" s="821" t="s">
        <v>18</v>
      </c>
      <c r="V53" s="823" t="s">
        <v>18</v>
      </c>
      <c r="W53" s="838">
        <f>IF(キャラシート!$I$3="蟹",計算用!AO60,計算用!AO54)</f>
        <v>0</v>
      </c>
      <c r="X53" s="893">
        <f>IF(キャラシート!$I$3="蟹",計算用!AP60,計算用!AP54)</f>
        <v>0</v>
      </c>
      <c r="Y53" s="268"/>
      <c r="Z53" s="1"/>
      <c r="AA53" s="1"/>
    </row>
    <row r="54" spans="1:30" ht="14.1" customHeight="1" x14ac:dyDescent="0.15">
      <c r="A54"/>
      <c r="B54"/>
      <c r="C54"/>
      <c r="D54"/>
      <c r="E54"/>
      <c r="F54"/>
      <c r="G54"/>
      <c r="H54"/>
      <c r="I54"/>
      <c r="J54"/>
      <c r="K54"/>
      <c r="L54"/>
      <c r="M54"/>
      <c r="N54"/>
      <c r="O54" s="268"/>
      <c r="P54" s="920"/>
      <c r="Q54" s="845"/>
      <c r="R54" s="845"/>
      <c r="S54" s="845"/>
      <c r="T54" s="846"/>
      <c r="U54" s="822"/>
      <c r="V54" s="824"/>
      <c r="W54" s="839"/>
      <c r="X54" s="894"/>
      <c r="Y54" s="269"/>
      <c r="Z54" s="1"/>
      <c r="AA54" s="1"/>
    </row>
    <row r="55" spans="1:30" ht="14.1" customHeight="1" x14ac:dyDescent="0.15">
      <c r="A55"/>
      <c r="B55"/>
      <c r="C55"/>
      <c r="D55"/>
      <c r="E55"/>
      <c r="F55"/>
      <c r="G55"/>
      <c r="H55"/>
      <c r="I55"/>
      <c r="J55"/>
      <c r="K55"/>
      <c r="L55"/>
      <c r="M55"/>
      <c r="N55"/>
      <c r="O55" s="269"/>
      <c r="P55" s="924" t="s">
        <v>9</v>
      </c>
      <c r="Q55" s="809"/>
      <c r="R55" s="810"/>
      <c r="S55" s="811" t="s">
        <v>10</v>
      </c>
      <c r="T55" s="809"/>
      <c r="U55" s="810"/>
      <c r="V55" s="811" t="s">
        <v>11</v>
      </c>
      <c r="W55" s="809"/>
      <c r="X55" s="921"/>
      <c r="Y55" s="268"/>
      <c r="Z55" s="1"/>
      <c r="AA55" s="1"/>
    </row>
    <row r="56" spans="1:30" ht="14.1" customHeight="1" x14ac:dyDescent="0.15">
      <c r="A56"/>
      <c r="B56"/>
      <c r="C56"/>
      <c r="D56"/>
      <c r="E56"/>
      <c r="F56"/>
      <c r="G56"/>
      <c r="H56"/>
      <c r="I56"/>
      <c r="J56"/>
      <c r="K56"/>
      <c r="L56"/>
      <c r="M56"/>
      <c r="N56"/>
      <c r="O56" s="268"/>
      <c r="P56" s="922" t="s">
        <v>18</v>
      </c>
      <c r="Q56" s="827" t="s">
        <v>18</v>
      </c>
      <c r="R56" s="827" t="s">
        <v>18</v>
      </c>
      <c r="S56" s="441" t="s">
        <v>18</v>
      </c>
      <c r="T56" s="441" t="s">
        <v>18</v>
      </c>
      <c r="U56" s="441" t="s">
        <v>18</v>
      </c>
      <c r="V56" s="441" t="s">
        <v>18</v>
      </c>
      <c r="W56" s="441" t="s">
        <v>18</v>
      </c>
      <c r="X56" s="442" t="s">
        <v>18</v>
      </c>
      <c r="Y56" s="269"/>
      <c r="Z56" s="1"/>
      <c r="AA56" s="1"/>
    </row>
    <row r="57" spans="1:30" ht="14.1" customHeight="1" x14ac:dyDescent="0.15">
      <c r="A57"/>
      <c r="B57"/>
      <c r="C57"/>
      <c r="D57"/>
      <c r="E57"/>
      <c r="F57"/>
      <c r="G57"/>
      <c r="H57"/>
      <c r="I57"/>
      <c r="J57"/>
      <c r="K57"/>
      <c r="L57"/>
      <c r="M57"/>
      <c r="N57"/>
      <c r="O57" s="269"/>
      <c r="P57" s="923"/>
      <c r="Q57" s="828"/>
      <c r="R57" s="828"/>
      <c r="S57" s="441" t="s">
        <v>18</v>
      </c>
      <c r="T57" s="441" t="s">
        <v>18</v>
      </c>
      <c r="U57" s="441" t="s">
        <v>18</v>
      </c>
      <c r="V57" s="441" t="s">
        <v>18</v>
      </c>
      <c r="W57" s="441" t="s">
        <v>18</v>
      </c>
      <c r="X57" s="442" t="s">
        <v>18</v>
      </c>
      <c r="Y57" s="268"/>
      <c r="Z57" s="1"/>
      <c r="AA57" s="1"/>
    </row>
    <row r="58" spans="1:30" ht="14.1" customHeight="1" x14ac:dyDescent="0.15">
      <c r="A58"/>
      <c r="B58"/>
      <c r="C58"/>
      <c r="D58"/>
      <c r="E58"/>
      <c r="F58"/>
      <c r="G58"/>
      <c r="H58"/>
      <c r="I58"/>
      <c r="J58"/>
      <c r="K58"/>
      <c r="L58"/>
      <c r="M58"/>
      <c r="N58"/>
      <c r="O58" s="268"/>
      <c r="P58" s="911" t="s">
        <v>626</v>
      </c>
      <c r="Q58" s="815"/>
      <c r="R58" s="815"/>
      <c r="S58" s="815"/>
      <c r="T58" s="815"/>
      <c r="U58" s="815"/>
      <c r="V58" s="815"/>
      <c r="W58" s="815"/>
      <c r="X58" s="912"/>
      <c r="Y58" s="269"/>
      <c r="Z58" s="1"/>
      <c r="AA58" s="1"/>
    </row>
    <row r="59" spans="1:30" ht="14.1" customHeight="1" x14ac:dyDescent="0.15">
      <c r="A59"/>
      <c r="B59"/>
      <c r="C59"/>
      <c r="D59"/>
      <c r="E59"/>
      <c r="F59"/>
      <c r="G59"/>
      <c r="H59"/>
      <c r="I59"/>
      <c r="J59"/>
      <c r="K59"/>
      <c r="L59"/>
      <c r="M59"/>
      <c r="N59"/>
      <c r="O59" s="269"/>
      <c r="P59" s="925"/>
      <c r="Q59" s="833"/>
      <c r="R59" s="833"/>
      <c r="S59" s="833"/>
      <c r="T59" s="833"/>
      <c r="U59" s="833"/>
      <c r="V59" s="833"/>
      <c r="W59" s="833"/>
      <c r="X59" s="926"/>
      <c r="Y59" s="268"/>
      <c r="Z59" s="1"/>
      <c r="AA59" s="1"/>
    </row>
    <row r="60" spans="1:30" ht="14.1" customHeight="1" x14ac:dyDescent="0.15">
      <c r="A60"/>
      <c r="B60"/>
      <c r="C60"/>
      <c r="D60"/>
      <c r="E60"/>
      <c r="F60"/>
      <c r="G60"/>
      <c r="H60"/>
      <c r="I60"/>
      <c r="J60"/>
      <c r="K60"/>
      <c r="L60"/>
      <c r="M60"/>
      <c r="N60"/>
      <c r="O60" s="268"/>
      <c r="P60" s="927"/>
      <c r="Q60" s="836"/>
      <c r="R60" s="836"/>
      <c r="S60" s="836"/>
      <c r="T60" s="836"/>
      <c r="U60" s="836"/>
      <c r="V60" s="836"/>
      <c r="W60" s="836"/>
      <c r="X60" s="928"/>
      <c r="Y60" s="269"/>
      <c r="Z60" s="1"/>
      <c r="AA60" s="1"/>
    </row>
    <row r="61" spans="1:30" ht="14.1" customHeight="1" thickBot="1" x14ac:dyDescent="0.2">
      <c r="A61"/>
      <c r="B61"/>
      <c r="C61"/>
      <c r="D61"/>
      <c r="E61"/>
      <c r="F61"/>
      <c r="G61"/>
      <c r="H61"/>
      <c r="I61"/>
      <c r="J61"/>
      <c r="K61"/>
      <c r="L61"/>
      <c r="M61"/>
      <c r="N61"/>
      <c r="O61" s="269"/>
      <c r="P61" s="913" t="s">
        <v>627</v>
      </c>
      <c r="Q61" s="914"/>
      <c r="R61" s="914"/>
      <c r="S61" s="914"/>
      <c r="T61" s="914"/>
      <c r="U61" s="914"/>
      <c r="V61" s="914"/>
      <c r="W61" s="914"/>
      <c r="X61" s="915"/>
      <c r="Y61" s="268"/>
      <c r="Z61" s="1"/>
      <c r="AA61" s="1"/>
    </row>
    <row r="62" spans="1:30" ht="14.1" customHeight="1" x14ac:dyDescent="0.15">
      <c r="A62"/>
      <c r="B62"/>
      <c r="C62"/>
      <c r="D62"/>
      <c r="E62"/>
      <c r="F62"/>
      <c r="G62"/>
      <c r="H62"/>
      <c r="I62"/>
      <c r="J62"/>
      <c r="K62"/>
      <c r="L62"/>
      <c r="M62"/>
      <c r="N62"/>
      <c r="O62" s="268"/>
      <c r="P62" s="268"/>
      <c r="Q62" s="268"/>
      <c r="R62" s="268"/>
      <c r="S62" s="268"/>
      <c r="T62" s="268"/>
      <c r="U62" s="268"/>
      <c r="V62" s="268"/>
      <c r="W62" s="268"/>
      <c r="X62" s="268"/>
      <c r="Y62" s="269"/>
      <c r="Z62" s="1"/>
      <c r="AA62" s="1"/>
    </row>
  </sheetData>
  <sheetProtection selectLockedCells="1" selectUnlockedCells="1"/>
  <mergeCells count="105">
    <mergeCell ref="B2:C3"/>
    <mergeCell ref="D2:H3"/>
    <mergeCell ref="I2:J3"/>
    <mergeCell ref="K2:M3"/>
    <mergeCell ref="P2:X3"/>
    <mergeCell ref="P4:Q5"/>
    <mergeCell ref="V4:W5"/>
    <mergeCell ref="S4:T5"/>
    <mergeCell ref="B5:C6"/>
    <mergeCell ref="F5:G6"/>
    <mergeCell ref="X4:X5"/>
    <mergeCell ref="U4:U5"/>
    <mergeCell ref="R4:R5"/>
    <mergeCell ref="D5:D6"/>
    <mergeCell ref="H5:I6"/>
    <mergeCell ref="J5:K6"/>
    <mergeCell ref="L5:M6"/>
    <mergeCell ref="P53:T54"/>
    <mergeCell ref="Q12:Q13"/>
    <mergeCell ref="Q23:Q24"/>
    <mergeCell ref="Q34:Q35"/>
    <mergeCell ref="Q45:Q46"/>
    <mergeCell ref="V33:X33"/>
    <mergeCell ref="V31:V32"/>
    <mergeCell ref="R12:R13"/>
    <mergeCell ref="R23:R24"/>
    <mergeCell ref="R34:R35"/>
    <mergeCell ref="R45:R46"/>
    <mergeCell ref="P12:P13"/>
    <mergeCell ref="X53:X54"/>
    <mergeCell ref="P45:P46"/>
    <mergeCell ref="U53:U54"/>
    <mergeCell ref="P48:X49"/>
    <mergeCell ref="B31:M31"/>
    <mergeCell ref="P33:R33"/>
    <mergeCell ref="S33:U33"/>
    <mergeCell ref="P36:X36"/>
    <mergeCell ref="P39:X39"/>
    <mergeCell ref="X9:X10"/>
    <mergeCell ref="X20:X21"/>
    <mergeCell ref="X31:X32"/>
    <mergeCell ref="X42:X43"/>
    <mergeCell ref="V11:X11"/>
    <mergeCell ref="V9:V10"/>
    <mergeCell ref="P15:X16"/>
    <mergeCell ref="P20:T21"/>
    <mergeCell ref="P26:X27"/>
    <mergeCell ref="P31:T32"/>
    <mergeCell ref="U9:U10"/>
    <mergeCell ref="U20:U21"/>
    <mergeCell ref="U31:U32"/>
    <mergeCell ref="U42:U43"/>
    <mergeCell ref="P37:X38"/>
    <mergeCell ref="P42:T43"/>
    <mergeCell ref="F8:G9"/>
    <mergeCell ref="P22:R22"/>
    <mergeCell ref="B8:D8"/>
    <mergeCell ref="I8:M8"/>
    <mergeCell ref="P8:T8"/>
    <mergeCell ref="P11:R11"/>
    <mergeCell ref="S11:U11"/>
    <mergeCell ref="V55:X55"/>
    <mergeCell ref="P58:X58"/>
    <mergeCell ref="P61:X61"/>
    <mergeCell ref="R56:R57"/>
    <mergeCell ref="V53:V54"/>
    <mergeCell ref="W53:W54"/>
    <mergeCell ref="P59:X60"/>
    <mergeCell ref="P41:T41"/>
    <mergeCell ref="P44:R44"/>
    <mergeCell ref="S44:U44"/>
    <mergeCell ref="V44:X44"/>
    <mergeCell ref="P47:X47"/>
    <mergeCell ref="P50:X50"/>
    <mergeCell ref="V42:V43"/>
    <mergeCell ref="W42:W43"/>
    <mergeCell ref="Q56:Q57"/>
    <mergeCell ref="P56:P57"/>
    <mergeCell ref="P52:T52"/>
    <mergeCell ref="P55:R55"/>
    <mergeCell ref="S55:U55"/>
    <mergeCell ref="W9:W10"/>
    <mergeCell ref="W31:W32"/>
    <mergeCell ref="B32:M35"/>
    <mergeCell ref="C23:D23"/>
    <mergeCell ref="F23:G23"/>
    <mergeCell ref="B24:G24"/>
    <mergeCell ref="P25:X25"/>
    <mergeCell ref="P28:X28"/>
    <mergeCell ref="P30:T30"/>
    <mergeCell ref="I9:M29"/>
    <mergeCell ref="P9:T10"/>
    <mergeCell ref="C21:G22"/>
    <mergeCell ref="B25:G29"/>
    <mergeCell ref="P14:X14"/>
    <mergeCell ref="P17:X17"/>
    <mergeCell ref="B18:C18"/>
    <mergeCell ref="P19:T19"/>
    <mergeCell ref="S22:U22"/>
    <mergeCell ref="V22:X22"/>
    <mergeCell ref="B21:B22"/>
    <mergeCell ref="V20:V21"/>
    <mergeCell ref="W20:W21"/>
    <mergeCell ref="P23:P24"/>
    <mergeCell ref="P34:P35"/>
  </mergeCells>
  <phoneticPr fontId="50"/>
  <dataValidations count="1">
    <dataValidation type="list" operator="equal" sqref="U9 U20 U31 U42 U53" xr:uid="{2AFB26B3-8451-42D5-AA6C-B1F5BC120E12}">
      <formula1>"－,近,遠,遠近両用,精神"</formula1>
    </dataValidation>
  </dataValidations>
  <pageMargins left="0.78749999999999998" right="0.78749999999999998" top="1.0527777777777778" bottom="1.0527777777777778" header="0.78749999999999998" footer="0.78749999999999998"/>
  <pageSetup paperSize="9" orientation="portrait" horizontalDpi="300" verticalDpi="300"/>
  <headerFooter scaleWithDoc="0" alignWithMargins="0">
    <oddHeader>&amp;C&amp;"Times New Roman,標準"&amp;12&amp;A</oddHeader>
    <oddFooter>&amp;C&amp;"Times New Roman,標準"&amp;12ページ &amp;P</oddFooter>
  </headerFooter>
  <drawing r:id="rId1"/>
  <legacyDrawing r:id="rId2"/>
  <mc:AlternateContent xmlns:mc="http://schemas.openxmlformats.org/markup-compatibility/2006">
    <mc:Choice Requires="x14">
      <controls>
        <mc:AlternateContent xmlns:mc="http://schemas.openxmlformats.org/markup-compatibility/2006">
          <mc:Choice Requires="x14">
            <control shapeId="8193" r:id="rId3" name="察知">
              <controlPr defaultSize="0" autoFill="0" autoLine="0" autoPict="0" altText="察知">
                <anchor moveWithCells="1" sizeWithCells="1">
                  <from>
                    <xdr:col>6</xdr:col>
                    <xdr:colOff>76200</xdr:colOff>
                    <xdr:row>11</xdr:row>
                    <xdr:rowOff>0</xdr:rowOff>
                  </from>
                  <to>
                    <xdr:col>7</xdr:col>
                    <xdr:colOff>57150</xdr:colOff>
                    <xdr:row>11</xdr:row>
                    <xdr:rowOff>161925</xdr:rowOff>
                  </to>
                </anchor>
              </controlPr>
            </control>
          </mc:Choice>
        </mc:AlternateContent>
        <mc:AlternateContent xmlns:mc="http://schemas.openxmlformats.org/markup-compatibility/2006">
          <mc:Choice Requires="x14">
            <control shapeId="8194" r:id="rId4" name="技術">
              <controlPr defaultSize="0" autoFill="0" autoLine="0" autoPict="0" altText="技術">
                <anchor moveWithCells="1" sizeWithCells="1">
                  <from>
                    <xdr:col>6</xdr:col>
                    <xdr:colOff>76200</xdr:colOff>
                    <xdr:row>12</xdr:row>
                    <xdr:rowOff>0</xdr:rowOff>
                  </from>
                  <to>
                    <xdr:col>7</xdr:col>
                    <xdr:colOff>57150</xdr:colOff>
                    <xdr:row>12</xdr:row>
                    <xdr:rowOff>161925</xdr:rowOff>
                  </to>
                </anchor>
              </controlPr>
            </control>
          </mc:Choice>
        </mc:AlternateContent>
        <mc:AlternateContent xmlns:mc="http://schemas.openxmlformats.org/markup-compatibility/2006">
          <mc:Choice Requires="x14">
            <control shapeId="8195" r:id="rId5" name="俊敏">
              <controlPr defaultSize="0" autoFill="0" autoLine="0" autoPict="0" altText="俊敏">
                <anchor moveWithCells="1" sizeWithCells="1">
                  <from>
                    <xdr:col>6</xdr:col>
                    <xdr:colOff>76200</xdr:colOff>
                    <xdr:row>13</xdr:row>
                    <xdr:rowOff>0</xdr:rowOff>
                  </from>
                  <to>
                    <xdr:col>7</xdr:col>
                    <xdr:colOff>57150</xdr:colOff>
                    <xdr:row>13</xdr:row>
                    <xdr:rowOff>161925</xdr:rowOff>
                  </to>
                </anchor>
              </controlPr>
            </control>
          </mc:Choice>
        </mc:AlternateContent>
        <mc:AlternateContent xmlns:mc="http://schemas.openxmlformats.org/markup-compatibility/2006">
          <mc:Choice Requires="x14">
            <control shapeId="8196" r:id="rId6" name="読心">
              <controlPr defaultSize="0" autoFill="0" autoLine="0" autoPict="0" altText="読心">
                <anchor moveWithCells="1" sizeWithCells="1">
                  <from>
                    <xdr:col>6</xdr:col>
                    <xdr:colOff>76200</xdr:colOff>
                    <xdr:row>14</xdr:row>
                    <xdr:rowOff>0</xdr:rowOff>
                  </from>
                  <to>
                    <xdr:col>7</xdr:col>
                    <xdr:colOff>57150</xdr:colOff>
                    <xdr:row>14</xdr:row>
                    <xdr:rowOff>161925</xdr:rowOff>
                  </to>
                </anchor>
              </controlPr>
            </control>
          </mc:Choice>
        </mc:AlternateContent>
        <mc:AlternateContent xmlns:mc="http://schemas.openxmlformats.org/markup-compatibility/2006">
          <mc:Choice Requires="x14">
            <control shapeId="8197" r:id="rId7" name="幸運">
              <controlPr defaultSize="0" autoFill="0" autoLine="0" autoPict="0" altText="幸運">
                <anchor moveWithCells="1" sizeWithCells="1">
                  <from>
                    <xdr:col>6</xdr:col>
                    <xdr:colOff>76200</xdr:colOff>
                    <xdr:row>15</xdr:row>
                    <xdr:rowOff>0</xdr:rowOff>
                  </from>
                  <to>
                    <xdr:col>7</xdr:col>
                    <xdr:colOff>57150</xdr:colOff>
                    <xdr:row>15</xdr:row>
                    <xdr:rowOff>161925</xdr:rowOff>
                  </to>
                </anchor>
              </controlPr>
            </control>
          </mc:Choice>
        </mc:AlternateContent>
        <mc:AlternateContent xmlns:mc="http://schemas.openxmlformats.org/markup-compatibility/2006">
          <mc:Choice Requires="x14">
            <control shapeId="8198" r:id="rId8" name="閃き">
              <controlPr defaultSize="0" autoFill="0" autoLine="0" autoPict="0" altText="閃き">
                <anchor moveWithCells="1" sizeWithCells="1">
                  <from>
                    <xdr:col>5</xdr:col>
                    <xdr:colOff>76200</xdr:colOff>
                    <xdr:row>15</xdr:row>
                    <xdr:rowOff>0</xdr:rowOff>
                  </from>
                  <to>
                    <xdr:col>6</xdr:col>
                    <xdr:colOff>57150</xdr:colOff>
                    <xdr:row>15</xdr:row>
                    <xdr:rowOff>161925</xdr:rowOff>
                  </to>
                </anchor>
              </controlPr>
            </control>
          </mc:Choice>
        </mc:AlternateContent>
        <mc:AlternateContent xmlns:mc="http://schemas.openxmlformats.org/markup-compatibility/2006">
          <mc:Choice Requires="x14">
            <control shapeId="8199" r:id="rId9" name="話術">
              <controlPr defaultSize="0" autoFill="0" autoLine="0" autoPict="0" altText="話術">
                <anchor moveWithCells="1" sizeWithCells="1">
                  <from>
                    <xdr:col>5</xdr:col>
                    <xdr:colOff>76200</xdr:colOff>
                    <xdr:row>14</xdr:row>
                    <xdr:rowOff>0</xdr:rowOff>
                  </from>
                  <to>
                    <xdr:col>6</xdr:col>
                    <xdr:colOff>57150</xdr:colOff>
                    <xdr:row>14</xdr:row>
                    <xdr:rowOff>161925</xdr:rowOff>
                  </to>
                </anchor>
              </controlPr>
            </control>
          </mc:Choice>
        </mc:AlternateContent>
        <mc:AlternateContent xmlns:mc="http://schemas.openxmlformats.org/markup-compatibility/2006">
          <mc:Choice Requires="x14">
            <control shapeId="8200" r:id="rId10" name="隠密">
              <controlPr defaultSize="0" autoFill="0" autoLine="0" autoPict="0" altText="隠密">
                <anchor moveWithCells="1" sizeWithCells="1">
                  <from>
                    <xdr:col>5</xdr:col>
                    <xdr:colOff>76200</xdr:colOff>
                    <xdr:row>13</xdr:row>
                    <xdr:rowOff>0</xdr:rowOff>
                  </from>
                  <to>
                    <xdr:col>6</xdr:col>
                    <xdr:colOff>57150</xdr:colOff>
                    <xdr:row>13</xdr:row>
                    <xdr:rowOff>161925</xdr:rowOff>
                  </to>
                </anchor>
              </controlPr>
            </control>
          </mc:Choice>
        </mc:AlternateContent>
        <mc:AlternateContent xmlns:mc="http://schemas.openxmlformats.org/markup-compatibility/2006">
          <mc:Choice Requires="x14">
            <control shapeId="8201" r:id="rId11" name="知識">
              <controlPr defaultSize="0" autoFill="0" autoLine="0" autoPict="0" altText="知識">
                <anchor moveWithCells="1" sizeWithCells="1">
                  <from>
                    <xdr:col>5</xdr:col>
                    <xdr:colOff>76200</xdr:colOff>
                    <xdr:row>12</xdr:row>
                    <xdr:rowOff>0</xdr:rowOff>
                  </from>
                  <to>
                    <xdr:col>6</xdr:col>
                    <xdr:colOff>57150</xdr:colOff>
                    <xdr:row>12</xdr:row>
                    <xdr:rowOff>161925</xdr:rowOff>
                  </to>
                </anchor>
              </controlPr>
            </control>
          </mc:Choice>
        </mc:AlternateContent>
        <mc:AlternateContent xmlns:mc="http://schemas.openxmlformats.org/markup-compatibility/2006">
          <mc:Choice Requires="x14">
            <control shapeId="8202" r:id="rId12" name="観察眼">
              <controlPr defaultSize="0" autoFill="0" autoLine="0" autoPict="0" altText="観察眼">
                <anchor moveWithCells="1" sizeWithCells="1">
                  <from>
                    <xdr:col>5</xdr:col>
                    <xdr:colOff>76200</xdr:colOff>
                    <xdr:row>11</xdr:row>
                    <xdr:rowOff>0</xdr:rowOff>
                  </from>
                  <to>
                    <xdr:col>6</xdr:col>
                    <xdr:colOff>57150</xdr:colOff>
                    <xdr:row>11</xdr:row>
                    <xdr:rowOff>161925</xdr:rowOff>
                  </to>
                </anchor>
              </controlPr>
            </control>
          </mc:Choice>
        </mc:AlternateContent>
        <mc:AlternateContent xmlns:mc="http://schemas.openxmlformats.org/markup-compatibility/2006">
          <mc:Choice Requires="x14">
            <control shapeId="8203" r:id="rId13" name="力技">
              <controlPr defaultSize="0" autoFill="0" autoLine="0" autoPict="0" altText="力技">
                <anchor moveWithCells="1" sizeWithCells="1">
                  <from>
                    <xdr:col>5</xdr:col>
                    <xdr:colOff>76200</xdr:colOff>
                    <xdr:row>10</xdr:row>
                    <xdr:rowOff>0</xdr:rowOff>
                  </from>
                  <to>
                    <xdr:col>6</xdr:col>
                    <xdr:colOff>57150</xdr:colOff>
                    <xdr:row>10</xdr:row>
                    <xdr:rowOff>161925</xdr:rowOff>
                  </to>
                </anchor>
              </controlPr>
            </control>
          </mc:Choice>
        </mc:AlternateContent>
        <mc:AlternateContent xmlns:mc="http://schemas.openxmlformats.org/markup-compatibility/2006">
          <mc:Choice Requires="x14">
            <control shapeId="8204" r:id="rId14" name="威圧">
              <controlPr defaultSize="0" autoFill="0" autoLine="0" autoPict="0" altText="威圧">
                <anchor moveWithCells="1" sizeWithCells="1">
                  <from>
                    <xdr:col>6</xdr:col>
                    <xdr:colOff>76200</xdr:colOff>
                    <xdr:row>10</xdr:row>
                    <xdr:rowOff>0</xdr:rowOff>
                  </from>
                  <to>
                    <xdr:col>7</xdr:col>
                    <xdr:colOff>57150</xdr:colOff>
                    <xdr:row>10</xdr:row>
                    <xdr:rowOff>161925</xdr:rowOff>
                  </to>
                </anchor>
              </controlPr>
            </control>
          </mc:Choice>
        </mc:AlternateContent>
      </controls>
    </mc:Choice>
  </mc:AlternateContent>
  <extLst>
    <ext xmlns:x14="http://schemas.microsoft.com/office/spreadsheetml/2009/9/main" uri="{CCE6A557-97BC-4b89-ADB6-D9C93CAAB3DF}">
      <x14:dataValidations xmlns:xm="http://schemas.microsoft.com/office/excel/2006/main" count="10">
        <x14:dataValidation type="list" operator="equal" allowBlank="1" xr:uid="{00000000-0002-0000-0600-000002000000}">
          <x14:formula1>
            <xm:f>クリーチャー!$AB$3:$AB$6</xm:f>
          </x14:formula1>
          <xm:sqref>L2</xm:sqref>
        </x14:dataValidation>
        <x14:dataValidation type="list" operator="equal" allowBlank="1" showErrorMessage="1" xr:uid="{00000000-0002-0000-0600-000004000000}">
          <x14:formula1>
            <xm:f>リスト!$A$2:$A$8</xm:f>
          </x14:formula1>
          <xm:sqref>L5</xm:sqref>
        </x14:dataValidation>
        <x14:dataValidation type="list" operator="equal" allowBlank="1" xr:uid="{00000000-0002-0000-0600-000008000000}">
          <x14:formula1>
            <xm:f>クリーチャー!$AD$2:$AD$12</xm:f>
          </x14:formula1>
          <xm:sqref>M2:M3</xm:sqref>
        </x14:dataValidation>
        <x14:dataValidation type="list" operator="equal" allowBlank="1" showErrorMessage="1" xr:uid="{00000000-0002-0000-0600-000009000000}">
          <x14:formula1>
            <xm:f>クリーチャー!$A$2:$A$8</xm:f>
          </x14:formula1>
          <xm:sqref>M5:M6</xm:sqref>
        </x14:dataValidation>
        <x14:dataValidation type="list" operator="equal" allowBlank="1" xr:uid="{00000000-0002-0000-0600-000001000000}">
          <x14:formula1>
            <xm:f>リスト!$AB$2:$AB$5</xm:f>
          </x14:formula1>
          <xm:sqref>K2</xm:sqref>
        </x14:dataValidation>
        <x14:dataValidation type="list" operator="equal" allowBlank="1" xr:uid="{00000000-0002-0000-0600-000003000000}">
          <x14:formula1>
            <xm:f>リスト!$AD$2:$AD$12</xm:f>
          </x14:formula1>
          <xm:sqref>D5</xm:sqref>
        </x14:dataValidation>
        <x14:dataValidation type="list" operator="equal" allowBlank="1" xr:uid="{05DCCAF6-C582-47AD-AD81-DEF9EF7CA107}">
          <x14:formula1>
            <xm:f>リスト!$T$26:$T$33</xm:f>
          </x14:formula1>
          <xm:sqref>V9 V53 V42 V31 V20</xm:sqref>
        </x14:dataValidation>
        <x14:dataValidation type="list" operator="equal" allowBlank="1" xr:uid="{00000000-0002-0000-0600-000006000000}">
          <x14:formula1>
            <xm:f>リスト!$V$2:$V$8</xm:f>
          </x14:formula1>
          <xm:sqref>F11:F15 P12:R12 P56:R56 P45:R45 P34:R34 P23:R23</xm:sqref>
        </x14:dataValidation>
        <x14:dataValidation type="list" operator="equal" allowBlank="1" xr:uid="{00000000-0002-0000-0600-000007000000}">
          <x14:formula1>
            <xm:f>リスト!$Z$2:$Z$16</xm:f>
          </x14:formula1>
          <xm:sqref>G11:G15 V56:X57 V45:X46 V34:X35 V23:X24 W12:X13 V13 V12</xm:sqref>
        </x14:dataValidation>
        <x14:dataValidation type="list" operator="equal" allowBlank="1" xr:uid="{FA38C1E0-6553-48BF-B8DD-381571323506}">
          <x14:formula1>
            <xm:f>リスト!$X$2:$X$55</xm:f>
          </x14:formula1>
          <xm:sqref>S23:U24 S56:U57 S45:U46 S34:U35 S12:U13</xm:sqref>
        </x14:dataValidation>
      </x14:dataValidations>
    </ext>
  </extLst>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7"/>
  <dimension ref="A1:AD62"/>
  <sheetViews>
    <sheetView workbookViewId="0"/>
  </sheetViews>
  <sheetFormatPr defaultColWidth="10" defaultRowHeight="14.1" customHeight="1" x14ac:dyDescent="0.15"/>
  <cols>
    <col min="1" max="1" width="10" style="48" bestFit="1"/>
    <col min="2" max="16384" width="10" style="48"/>
  </cols>
  <sheetData>
    <row r="1" spans="1:30" ht="14.1" customHeight="1" thickBot="1" x14ac:dyDescent="0.2">
      <c r="A1" s="291"/>
      <c r="B1" s="275"/>
      <c r="C1" s="275"/>
      <c r="D1" s="275"/>
      <c r="E1" s="275"/>
      <c r="F1" s="275"/>
      <c r="G1" s="275"/>
      <c r="H1" s="275"/>
      <c r="I1" s="275"/>
      <c r="J1" s="275"/>
      <c r="K1" s="275"/>
      <c r="L1" s="275"/>
      <c r="M1" s="275"/>
      <c r="N1" s="293"/>
      <c r="O1" s="268"/>
      <c r="P1" s="268"/>
      <c r="Q1" s="268"/>
      <c r="R1" s="268"/>
      <c r="S1" s="268"/>
      <c r="T1" s="268"/>
      <c r="U1" s="268"/>
      <c r="V1" s="268"/>
      <c r="W1" s="268"/>
      <c r="X1" s="268"/>
      <c r="Y1" s="268"/>
      <c r="Z1"/>
      <c r="AA1"/>
      <c r="AB1"/>
      <c r="AC1"/>
      <c r="AD1"/>
    </row>
    <row r="2" spans="1:30" ht="14.1" customHeight="1" thickBot="1" x14ac:dyDescent="0.2">
      <c r="A2" s="275"/>
      <c r="B2" s="899" t="s">
        <v>629</v>
      </c>
      <c r="C2" s="899"/>
      <c r="D2" s="900"/>
      <c r="E2" s="900"/>
      <c r="F2" s="900"/>
      <c r="G2" s="900"/>
      <c r="H2" s="900"/>
      <c r="I2" s="901" t="s">
        <v>451</v>
      </c>
      <c r="J2" s="901"/>
      <c r="K2" s="902" t="s">
        <v>18</v>
      </c>
      <c r="L2" s="902"/>
      <c r="M2" s="902"/>
      <c r="N2" s="293"/>
      <c r="O2" s="268"/>
      <c r="P2" s="903" t="s">
        <v>712</v>
      </c>
      <c r="Q2" s="903"/>
      <c r="R2" s="903"/>
      <c r="S2" s="903"/>
      <c r="T2" s="903"/>
      <c r="U2" s="903"/>
      <c r="V2" s="903"/>
      <c r="W2" s="903"/>
      <c r="X2" s="903"/>
      <c r="Y2" s="268"/>
      <c r="Z2"/>
      <c r="AA2"/>
      <c r="AB2"/>
      <c r="AC2"/>
      <c r="AD2"/>
    </row>
    <row r="3" spans="1:30" ht="14.1" customHeight="1" thickBot="1" x14ac:dyDescent="0.2">
      <c r="A3" s="275"/>
      <c r="B3" s="899"/>
      <c r="C3" s="899"/>
      <c r="D3" s="900"/>
      <c r="E3" s="900"/>
      <c r="F3" s="900"/>
      <c r="G3" s="900"/>
      <c r="H3" s="900"/>
      <c r="I3" s="901"/>
      <c r="J3" s="901"/>
      <c r="K3" s="902"/>
      <c r="L3" s="902"/>
      <c r="M3" s="902"/>
      <c r="N3" s="293"/>
      <c r="O3" s="268"/>
      <c r="P3" s="903"/>
      <c r="Q3" s="903"/>
      <c r="R3" s="903"/>
      <c r="S3" s="903"/>
      <c r="T3" s="903"/>
      <c r="U3" s="903"/>
      <c r="V3" s="903"/>
      <c r="W3" s="903"/>
      <c r="X3" s="903"/>
      <c r="Y3" s="268"/>
      <c r="Z3"/>
      <c r="AA3"/>
      <c r="AB3"/>
      <c r="AC3"/>
      <c r="AD3"/>
    </row>
    <row r="4" spans="1:30" ht="14.1" customHeight="1" thickBot="1" x14ac:dyDescent="0.2">
      <c r="A4" s="275"/>
      <c r="B4" s="275"/>
      <c r="C4" s="275"/>
      <c r="D4" s="275"/>
      <c r="E4" s="275"/>
      <c r="F4" s="275"/>
      <c r="G4" s="275"/>
      <c r="H4" s="275"/>
      <c r="I4" s="275"/>
      <c r="J4" s="275"/>
      <c r="K4" s="275"/>
      <c r="L4" s="275"/>
      <c r="M4" s="275"/>
      <c r="N4" s="293"/>
      <c r="O4" s="268"/>
      <c r="P4" s="904" t="s">
        <v>527</v>
      </c>
      <c r="Q4" s="904"/>
      <c r="R4" s="907">
        <f>F23</f>
        <v>2</v>
      </c>
      <c r="S4" s="905" t="s">
        <v>620</v>
      </c>
      <c r="T4" s="905"/>
      <c r="U4" s="907">
        <f>ROUNDDOWN((C23)/2,0)</f>
        <v>2</v>
      </c>
      <c r="V4" s="905" t="s">
        <v>621</v>
      </c>
      <c r="W4" s="905"/>
      <c r="X4" s="906">
        <f>ROUNDDOWN((C23)/3,0)</f>
        <v>1</v>
      </c>
      <c r="Y4" s="268"/>
      <c r="Z4"/>
      <c r="AA4"/>
      <c r="AB4"/>
      <c r="AC4"/>
      <c r="AD4"/>
    </row>
    <row r="5" spans="1:30" ht="14.1" customHeight="1" thickBot="1" x14ac:dyDescent="0.2">
      <c r="A5" s="275"/>
      <c r="B5" s="899" t="s">
        <v>630</v>
      </c>
      <c r="C5" s="899"/>
      <c r="D5" s="908">
        <v>0</v>
      </c>
      <c r="E5" s="293"/>
      <c r="F5" s="899" t="s">
        <v>631</v>
      </c>
      <c r="G5" s="899"/>
      <c r="H5" s="909">
        <f>C23</f>
        <v>4</v>
      </c>
      <c r="I5" s="909">
        <f>IF(L2="探索型",ROUNDDOWN(D23/3,0)+D23,D23)</f>
        <v>0</v>
      </c>
      <c r="J5" s="901" t="s">
        <v>632</v>
      </c>
      <c r="K5" s="901"/>
      <c r="L5" s="910" t="s">
        <v>18</v>
      </c>
      <c r="M5" s="910"/>
      <c r="N5" s="293"/>
      <c r="O5" s="269"/>
      <c r="P5" s="904"/>
      <c r="Q5" s="904"/>
      <c r="R5" s="907"/>
      <c r="S5" s="905"/>
      <c r="T5" s="905"/>
      <c r="U5" s="907"/>
      <c r="V5" s="905"/>
      <c r="W5" s="905"/>
      <c r="X5" s="906"/>
      <c r="Y5" s="268"/>
      <c r="Z5"/>
      <c r="AA5"/>
      <c r="AB5"/>
      <c r="AC5"/>
      <c r="AD5"/>
    </row>
    <row r="6" spans="1:30" ht="14.1" customHeight="1" thickBot="1" x14ac:dyDescent="0.2">
      <c r="A6" s="275"/>
      <c r="B6" s="899"/>
      <c r="C6" s="899"/>
      <c r="D6" s="908"/>
      <c r="E6" s="293"/>
      <c r="F6" s="899"/>
      <c r="G6" s="899"/>
      <c r="H6" s="909"/>
      <c r="I6" s="909"/>
      <c r="J6" s="901"/>
      <c r="K6" s="901"/>
      <c r="L6" s="910"/>
      <c r="M6" s="910"/>
      <c r="N6" s="293"/>
      <c r="O6" s="269"/>
      <c r="P6" s="269"/>
      <c r="Q6" s="269"/>
      <c r="R6" s="269"/>
      <c r="S6" s="269"/>
      <c r="T6" s="269"/>
      <c r="U6" s="269"/>
      <c r="V6" s="269"/>
      <c r="W6" s="269"/>
      <c r="X6" s="269"/>
      <c r="Y6" s="268"/>
      <c r="Z6"/>
      <c r="AA6"/>
      <c r="AB6"/>
      <c r="AC6"/>
      <c r="AD6"/>
    </row>
    <row r="7" spans="1:30" ht="14.1" customHeight="1" thickBot="1" x14ac:dyDescent="0.2">
      <c r="A7" s="275"/>
      <c r="B7" s="275"/>
      <c r="C7" s="275"/>
      <c r="D7" s="275"/>
      <c r="E7" s="275"/>
      <c r="F7" s="275"/>
      <c r="G7" s="275"/>
      <c r="H7" s="293"/>
      <c r="I7" s="275"/>
      <c r="J7" s="275"/>
      <c r="K7" s="275"/>
      <c r="L7" s="275"/>
      <c r="M7" s="275"/>
      <c r="N7" s="293"/>
      <c r="O7" s="268"/>
      <c r="P7" s="268"/>
      <c r="Q7" s="268"/>
      <c r="R7" s="268"/>
      <c r="S7" s="268"/>
      <c r="T7" s="268"/>
      <c r="U7" s="268"/>
      <c r="V7" s="268"/>
      <c r="W7" s="268"/>
      <c r="X7" s="268"/>
      <c r="Y7" s="268"/>
      <c r="Z7"/>
      <c r="AA7"/>
      <c r="AB7"/>
      <c r="AC7"/>
      <c r="AD7"/>
    </row>
    <row r="8" spans="1:30" ht="14.1" customHeight="1" thickBot="1" x14ac:dyDescent="0.2">
      <c r="A8" s="275"/>
      <c r="B8" s="897" t="s">
        <v>503</v>
      </c>
      <c r="C8" s="897"/>
      <c r="D8" s="897"/>
      <c r="E8" s="275"/>
      <c r="F8" s="896" t="s">
        <v>633</v>
      </c>
      <c r="G8" s="896"/>
      <c r="H8" s="293"/>
      <c r="I8" s="898" t="s">
        <v>634</v>
      </c>
      <c r="J8" s="898"/>
      <c r="K8" s="898"/>
      <c r="L8" s="898"/>
      <c r="M8" s="898"/>
      <c r="N8" s="293"/>
      <c r="O8" s="268"/>
      <c r="P8" s="916" t="s">
        <v>450</v>
      </c>
      <c r="Q8" s="917"/>
      <c r="R8" s="917"/>
      <c r="S8" s="917"/>
      <c r="T8" s="918"/>
      <c r="U8" s="490" t="s">
        <v>622</v>
      </c>
      <c r="V8" s="491" t="s">
        <v>270</v>
      </c>
      <c r="W8" s="491" t="s">
        <v>623</v>
      </c>
      <c r="X8" s="492" t="s">
        <v>624</v>
      </c>
      <c r="Y8" s="269"/>
      <c r="Z8"/>
      <c r="AA8"/>
      <c r="AB8"/>
      <c r="AC8"/>
      <c r="AD8"/>
    </row>
    <row r="9" spans="1:30" ht="14.1" customHeight="1" thickBot="1" x14ac:dyDescent="0.2">
      <c r="A9" s="275"/>
      <c r="B9" s="284"/>
      <c r="C9" s="287"/>
      <c r="D9" s="288" t="s">
        <v>635</v>
      </c>
      <c r="E9" s="275"/>
      <c r="F9" s="896"/>
      <c r="G9" s="896"/>
      <c r="H9" s="293"/>
      <c r="I9" s="875"/>
      <c r="J9" s="875"/>
      <c r="K9" s="875"/>
      <c r="L9" s="875"/>
      <c r="M9" s="875"/>
      <c r="N9" s="293"/>
      <c r="O9" s="268"/>
      <c r="P9" s="919"/>
      <c r="Q9" s="842"/>
      <c r="R9" s="842"/>
      <c r="S9" s="842"/>
      <c r="T9" s="843"/>
      <c r="U9" s="821" t="s">
        <v>18</v>
      </c>
      <c r="V9" s="823" t="s">
        <v>18</v>
      </c>
      <c r="W9" s="838">
        <f>IF(キャラシート!$I$3="蟹",計算用!AV12,計算用!AV6)</f>
        <v>0</v>
      </c>
      <c r="X9" s="893">
        <f>IF(キャラシート!$I$3="蟹",計算用!AW12,計算用!AW6)</f>
        <v>0</v>
      </c>
      <c r="Y9" s="268"/>
      <c r="Z9"/>
      <c r="AA9"/>
      <c r="AB9"/>
      <c r="AC9"/>
      <c r="AD9"/>
    </row>
    <row r="10" spans="1:30" ht="14.1" customHeight="1" thickBot="1" x14ac:dyDescent="0.2">
      <c r="A10" s="275"/>
      <c r="B10" s="285" t="s">
        <v>438</v>
      </c>
      <c r="C10" s="282">
        <f>D5</f>
        <v>0</v>
      </c>
      <c r="D10" s="49"/>
      <c r="E10" s="275"/>
      <c r="F10" s="285" t="s">
        <v>636</v>
      </c>
      <c r="G10" s="283">
        <f>F23</f>
        <v>2</v>
      </c>
      <c r="H10" s="293"/>
      <c r="I10" s="875"/>
      <c r="J10" s="875"/>
      <c r="K10" s="875"/>
      <c r="L10" s="875"/>
      <c r="M10" s="875"/>
      <c r="N10" s="293"/>
      <c r="O10" s="269"/>
      <c r="P10" s="920"/>
      <c r="Q10" s="845"/>
      <c r="R10" s="845"/>
      <c r="S10" s="845"/>
      <c r="T10" s="846"/>
      <c r="U10" s="822"/>
      <c r="V10" s="824"/>
      <c r="W10" s="839"/>
      <c r="X10" s="894"/>
      <c r="Y10" s="269"/>
      <c r="Z10"/>
      <c r="AA10"/>
      <c r="AB10"/>
      <c r="AC10"/>
      <c r="AD10"/>
    </row>
    <row r="11" spans="1:30" ht="14.1" customHeight="1" thickBot="1" x14ac:dyDescent="0.2">
      <c r="A11" s="275"/>
      <c r="B11" s="285" t="s">
        <v>611</v>
      </c>
      <c r="C11" s="282">
        <f>D5</f>
        <v>0</v>
      </c>
      <c r="D11" s="50"/>
      <c r="E11" s="275"/>
      <c r="F11" s="271"/>
      <c r="G11" s="267"/>
      <c r="H11" s="293"/>
      <c r="I11" s="875"/>
      <c r="J11" s="875"/>
      <c r="K11" s="875"/>
      <c r="L11" s="875"/>
      <c r="M11" s="875"/>
      <c r="N11" s="293"/>
      <c r="O11" s="268"/>
      <c r="P11" s="924" t="s">
        <v>9</v>
      </c>
      <c r="Q11" s="809"/>
      <c r="R11" s="810"/>
      <c r="S11" s="811" t="s">
        <v>10</v>
      </c>
      <c r="T11" s="809"/>
      <c r="U11" s="810"/>
      <c r="V11" s="811" t="s">
        <v>11</v>
      </c>
      <c r="W11" s="809"/>
      <c r="X11" s="921"/>
      <c r="Y11" s="268"/>
      <c r="Z11"/>
      <c r="AA11"/>
      <c r="AB11"/>
      <c r="AC11"/>
      <c r="AD11"/>
    </row>
    <row r="12" spans="1:30" ht="14.1" customHeight="1" thickBot="1" x14ac:dyDescent="0.2">
      <c r="A12" s="275"/>
      <c r="B12" s="285" t="s">
        <v>536</v>
      </c>
      <c r="C12" s="282">
        <f>D5</f>
        <v>0</v>
      </c>
      <c r="D12" s="50"/>
      <c r="E12" s="275"/>
      <c r="F12" s="271"/>
      <c r="G12" s="267"/>
      <c r="H12" s="293"/>
      <c r="I12" s="875"/>
      <c r="J12" s="875"/>
      <c r="K12" s="875"/>
      <c r="L12" s="875"/>
      <c r="M12" s="875"/>
      <c r="N12" s="293"/>
      <c r="O12" s="269"/>
      <c r="P12" s="922" t="s">
        <v>18</v>
      </c>
      <c r="Q12" s="827" t="s">
        <v>18</v>
      </c>
      <c r="R12" s="827" t="s">
        <v>18</v>
      </c>
      <c r="S12" s="441" t="s">
        <v>18</v>
      </c>
      <c r="T12" s="441" t="s">
        <v>18</v>
      </c>
      <c r="U12" s="441" t="s">
        <v>18</v>
      </c>
      <c r="V12" s="441" t="s">
        <v>18</v>
      </c>
      <c r="W12" s="441" t="s">
        <v>18</v>
      </c>
      <c r="X12" s="442" t="s">
        <v>18</v>
      </c>
      <c r="Y12" s="269"/>
      <c r="Z12"/>
      <c r="AA12"/>
      <c r="AB12"/>
      <c r="AC12"/>
      <c r="AD12"/>
    </row>
    <row r="13" spans="1:30" ht="14.1" customHeight="1" thickBot="1" x14ac:dyDescent="0.2">
      <c r="A13" s="275"/>
      <c r="B13" s="285" t="s">
        <v>541</v>
      </c>
      <c r="C13" s="282">
        <f>D5</f>
        <v>0</v>
      </c>
      <c r="D13" s="50"/>
      <c r="E13" s="275"/>
      <c r="F13" s="271"/>
      <c r="G13" s="267"/>
      <c r="H13" s="293"/>
      <c r="I13" s="875"/>
      <c r="J13" s="875"/>
      <c r="K13" s="875"/>
      <c r="L13" s="875"/>
      <c r="M13" s="875"/>
      <c r="N13" s="293"/>
      <c r="O13" s="268"/>
      <c r="P13" s="923"/>
      <c r="Q13" s="828"/>
      <c r="R13" s="828"/>
      <c r="S13" s="441" t="s">
        <v>18</v>
      </c>
      <c r="T13" s="441" t="s">
        <v>18</v>
      </c>
      <c r="U13" s="441" t="s">
        <v>18</v>
      </c>
      <c r="V13" s="441" t="s">
        <v>18</v>
      </c>
      <c r="W13" s="441" t="s">
        <v>18</v>
      </c>
      <c r="X13" s="442" t="s">
        <v>18</v>
      </c>
      <c r="Y13" s="268"/>
      <c r="Z13"/>
      <c r="AA13"/>
      <c r="AB13"/>
      <c r="AC13"/>
      <c r="AD13"/>
    </row>
    <row r="14" spans="1:30" ht="14.1" customHeight="1" thickBot="1" x14ac:dyDescent="0.2">
      <c r="A14" s="275"/>
      <c r="B14" s="285" t="s">
        <v>521</v>
      </c>
      <c r="C14" s="282">
        <f>IF(K2="攻撃型",ROUNDDOWN(C23/3,0),0)</f>
        <v>0</v>
      </c>
      <c r="D14" s="50"/>
      <c r="E14" s="275"/>
      <c r="F14" s="271"/>
      <c r="G14" s="267"/>
      <c r="H14" s="293"/>
      <c r="I14" s="875"/>
      <c r="J14" s="875"/>
      <c r="K14" s="875"/>
      <c r="L14" s="875"/>
      <c r="M14" s="875"/>
      <c r="N14" s="293"/>
      <c r="O14" s="269"/>
      <c r="P14" s="911" t="s">
        <v>626</v>
      </c>
      <c r="Q14" s="815"/>
      <c r="R14" s="815"/>
      <c r="S14" s="815"/>
      <c r="T14" s="815"/>
      <c r="U14" s="815"/>
      <c r="V14" s="815"/>
      <c r="W14" s="815"/>
      <c r="X14" s="912"/>
      <c r="Y14" s="269"/>
      <c r="Z14"/>
      <c r="AA14"/>
      <c r="AB14"/>
      <c r="AC14"/>
      <c r="AD14"/>
    </row>
    <row r="15" spans="1:30" ht="14.1" customHeight="1" thickBot="1" x14ac:dyDescent="0.2">
      <c r="A15" s="275"/>
      <c r="B15" s="285" t="s">
        <v>526</v>
      </c>
      <c r="C15" s="282">
        <f>IF(K2="攻撃型",ROUNDDOWN(C23/3,0),0)</f>
        <v>0</v>
      </c>
      <c r="D15" s="50"/>
      <c r="E15" s="275"/>
      <c r="F15" s="271"/>
      <c r="G15" s="267"/>
      <c r="H15" s="293"/>
      <c r="I15" s="875"/>
      <c r="J15" s="875"/>
      <c r="K15" s="875"/>
      <c r="L15" s="875"/>
      <c r="M15" s="875"/>
      <c r="N15" s="293"/>
      <c r="O15" s="268"/>
      <c r="P15" s="925"/>
      <c r="Q15" s="833"/>
      <c r="R15" s="833"/>
      <c r="S15" s="833"/>
      <c r="T15" s="833"/>
      <c r="U15" s="833"/>
      <c r="V15" s="833"/>
      <c r="W15" s="833"/>
      <c r="X15" s="926"/>
      <c r="Y15" s="268"/>
      <c r="Z15"/>
      <c r="AA15"/>
      <c r="AB15"/>
      <c r="AC15"/>
      <c r="AD15"/>
    </row>
    <row r="16" spans="1:30" ht="14.1" customHeight="1" thickBot="1" x14ac:dyDescent="0.2">
      <c r="A16" s="275"/>
      <c r="B16" s="286" t="s">
        <v>447</v>
      </c>
      <c r="C16" s="280">
        <f>D5</f>
        <v>0</v>
      </c>
      <c r="D16" s="51"/>
      <c r="E16" s="275"/>
      <c r="F16" s="273"/>
      <c r="G16" s="274"/>
      <c r="H16" s="293"/>
      <c r="I16" s="875"/>
      <c r="J16" s="875"/>
      <c r="K16" s="875"/>
      <c r="L16" s="875"/>
      <c r="M16" s="875"/>
      <c r="N16" s="293"/>
      <c r="O16" s="269"/>
      <c r="P16" s="927"/>
      <c r="Q16" s="836"/>
      <c r="R16" s="836"/>
      <c r="S16" s="836"/>
      <c r="T16" s="836"/>
      <c r="U16" s="836"/>
      <c r="V16" s="836"/>
      <c r="W16" s="836"/>
      <c r="X16" s="928"/>
      <c r="Y16" s="269"/>
      <c r="Z16"/>
      <c r="AA16"/>
      <c r="AB16"/>
      <c r="AC16"/>
      <c r="AD16"/>
    </row>
    <row r="17" spans="1:30" ht="14.1" customHeight="1" thickBot="1" x14ac:dyDescent="0.2">
      <c r="A17" s="275"/>
      <c r="B17" s="275"/>
      <c r="C17" s="275"/>
      <c r="D17" s="275"/>
      <c r="E17" s="292"/>
      <c r="F17" s="292"/>
      <c r="G17" s="292"/>
      <c r="H17" s="275"/>
      <c r="I17" s="875"/>
      <c r="J17" s="875"/>
      <c r="K17" s="875"/>
      <c r="L17" s="875"/>
      <c r="M17" s="875"/>
      <c r="N17" s="293"/>
      <c r="O17" s="269"/>
      <c r="P17" s="913" t="s">
        <v>627</v>
      </c>
      <c r="Q17" s="914"/>
      <c r="R17" s="914"/>
      <c r="S17" s="914"/>
      <c r="T17" s="914"/>
      <c r="U17" s="914"/>
      <c r="V17" s="914"/>
      <c r="W17" s="914"/>
      <c r="X17" s="915"/>
      <c r="Y17" s="268"/>
      <c r="Z17"/>
      <c r="AA17"/>
      <c r="AB17"/>
      <c r="AC17"/>
      <c r="AD17"/>
    </row>
    <row r="18" spans="1:30" ht="14.1" customHeight="1" thickBot="1" x14ac:dyDescent="0.2">
      <c r="A18" s="275"/>
      <c r="B18" s="879" t="s">
        <v>437</v>
      </c>
      <c r="C18" s="879"/>
      <c r="D18" s="272" t="s">
        <v>637</v>
      </c>
      <c r="E18" s="275"/>
      <c r="F18" s="488" t="s">
        <v>638</v>
      </c>
      <c r="G18" s="489" t="s">
        <v>854</v>
      </c>
      <c r="H18" s="293"/>
      <c r="I18" s="875"/>
      <c r="J18" s="875"/>
      <c r="K18" s="875"/>
      <c r="L18" s="875"/>
      <c r="M18" s="875"/>
      <c r="N18" s="293"/>
      <c r="O18" s="268"/>
      <c r="P18" s="268"/>
      <c r="Q18" s="268"/>
      <c r="R18" s="268"/>
      <c r="S18" s="268"/>
      <c r="T18" s="268"/>
      <c r="U18" s="268"/>
      <c r="V18" s="268"/>
      <c r="W18" s="268"/>
      <c r="X18" s="268"/>
      <c r="Y18" s="269"/>
      <c r="Z18"/>
      <c r="AA18"/>
      <c r="AB18"/>
      <c r="AC18"/>
      <c r="AD18"/>
    </row>
    <row r="19" spans="1:30" ht="14.1" customHeight="1" thickBot="1" x14ac:dyDescent="0.2">
      <c r="A19" s="275"/>
      <c r="B19" s="281">
        <f>キャラシート!G35</f>
        <v>0</v>
      </c>
      <c r="C19" s="279">
        <f>キャラシート!H35</f>
        <v>0</v>
      </c>
      <c r="D19" s="278">
        <f>IF(K2="攻撃型",ROUNDDOWN(C23/3,0),0)</f>
        <v>0</v>
      </c>
      <c r="E19" s="292"/>
      <c r="F19" s="277" t="str">
        <f>IF(K2="速度型","2D6","1D6")</f>
        <v>1D6</v>
      </c>
      <c r="G19" s="276" t="str">
        <f>IF(K2="探索型","2D6","1D6")</f>
        <v>1D6</v>
      </c>
      <c r="H19" s="293"/>
      <c r="I19" s="875"/>
      <c r="J19" s="875"/>
      <c r="K19" s="875"/>
      <c r="L19" s="875"/>
      <c r="M19" s="875"/>
      <c r="N19" s="293"/>
      <c r="O19" s="269"/>
      <c r="P19" s="916" t="s">
        <v>450</v>
      </c>
      <c r="Q19" s="917"/>
      <c r="R19" s="917"/>
      <c r="S19" s="917"/>
      <c r="T19" s="918"/>
      <c r="U19" s="490" t="s">
        <v>622</v>
      </c>
      <c r="V19" s="491" t="s">
        <v>270</v>
      </c>
      <c r="W19" s="491" t="s">
        <v>623</v>
      </c>
      <c r="X19" s="492" t="s">
        <v>624</v>
      </c>
      <c r="Y19" s="269"/>
      <c r="Z19"/>
      <c r="AA19"/>
      <c r="AB19"/>
      <c r="AC19"/>
      <c r="AD19"/>
    </row>
    <row r="20" spans="1:30" ht="14.1" customHeight="1" thickBot="1" x14ac:dyDescent="0.2">
      <c r="A20" s="292"/>
      <c r="B20" s="292"/>
      <c r="C20" s="292"/>
      <c r="D20" s="292"/>
      <c r="E20" s="292"/>
      <c r="F20" s="292"/>
      <c r="G20" s="275"/>
      <c r="H20" s="293"/>
      <c r="I20" s="875"/>
      <c r="J20" s="875"/>
      <c r="K20" s="875"/>
      <c r="L20" s="875"/>
      <c r="M20" s="875"/>
      <c r="N20" s="293"/>
      <c r="O20" s="268"/>
      <c r="P20" s="919"/>
      <c r="Q20" s="842"/>
      <c r="R20" s="842"/>
      <c r="S20" s="842"/>
      <c r="T20" s="843"/>
      <c r="U20" s="821" t="s">
        <v>18</v>
      </c>
      <c r="V20" s="823" t="s">
        <v>18</v>
      </c>
      <c r="W20" s="838">
        <f>IF(キャラシート!$I$3="蟹",計算用!AV24,計算用!AV18)</f>
        <v>0</v>
      </c>
      <c r="X20" s="893">
        <f>IF(キャラシート!$I$3="蟹",計算用!AW24,計算用!AW18)</f>
        <v>0</v>
      </c>
      <c r="Y20" s="268"/>
      <c r="Z20"/>
      <c r="AA20"/>
      <c r="AB20"/>
      <c r="AC20"/>
      <c r="AD20"/>
    </row>
    <row r="21" spans="1:30" ht="14.1" customHeight="1" thickBot="1" x14ac:dyDescent="0.2">
      <c r="A21" s="292"/>
      <c r="B21" s="883" t="s">
        <v>556</v>
      </c>
      <c r="C21" s="878"/>
      <c r="D21" s="878"/>
      <c r="E21" s="878"/>
      <c r="F21" s="878"/>
      <c r="G21" s="878"/>
      <c r="H21" s="293"/>
      <c r="I21" s="875"/>
      <c r="J21" s="875"/>
      <c r="K21" s="875"/>
      <c r="L21" s="875"/>
      <c r="M21" s="875"/>
      <c r="N21" s="293"/>
      <c r="O21" s="269"/>
      <c r="P21" s="920"/>
      <c r="Q21" s="845"/>
      <c r="R21" s="845"/>
      <c r="S21" s="845"/>
      <c r="T21" s="846"/>
      <c r="U21" s="822"/>
      <c r="V21" s="824"/>
      <c r="W21" s="839"/>
      <c r="X21" s="894"/>
      <c r="Y21" s="269"/>
      <c r="Z21"/>
      <c r="AA21"/>
      <c r="AB21"/>
      <c r="AC21"/>
      <c r="AD21"/>
    </row>
    <row r="22" spans="1:30" ht="14.1" customHeight="1" thickBot="1" x14ac:dyDescent="0.2">
      <c r="A22" s="292"/>
      <c r="B22" s="883"/>
      <c r="C22" s="878"/>
      <c r="D22" s="878"/>
      <c r="E22" s="878"/>
      <c r="F22" s="878"/>
      <c r="G22" s="878"/>
      <c r="H22" s="293"/>
      <c r="I22" s="875"/>
      <c r="J22" s="875"/>
      <c r="K22" s="875"/>
      <c r="L22" s="875"/>
      <c r="M22" s="875"/>
      <c r="N22" s="293"/>
      <c r="O22" s="268"/>
      <c r="P22" s="924" t="s">
        <v>9</v>
      </c>
      <c r="Q22" s="809"/>
      <c r="R22" s="810"/>
      <c r="S22" s="811" t="s">
        <v>10</v>
      </c>
      <c r="T22" s="809"/>
      <c r="U22" s="810"/>
      <c r="V22" s="811" t="s">
        <v>11</v>
      </c>
      <c r="W22" s="809"/>
      <c r="X22" s="921"/>
      <c r="Y22" s="268"/>
      <c r="Z22"/>
      <c r="AA22"/>
      <c r="AB22"/>
      <c r="AC22"/>
      <c r="AD22"/>
    </row>
    <row r="23" spans="1:30" ht="14.1" customHeight="1" thickBot="1" x14ac:dyDescent="0.2">
      <c r="A23" s="292"/>
      <c r="B23" s="289" t="s">
        <v>448</v>
      </c>
      <c r="C23" s="865">
        <f>キャラシート!H25-キャラシート!Y58</f>
        <v>4</v>
      </c>
      <c r="D23" s="865"/>
      <c r="E23" s="290" t="s">
        <v>527</v>
      </c>
      <c r="F23" s="866">
        <f>キャラシート!H27</f>
        <v>2</v>
      </c>
      <c r="G23" s="866"/>
      <c r="H23" s="293"/>
      <c r="I23" s="875"/>
      <c r="J23" s="875"/>
      <c r="K23" s="875"/>
      <c r="L23" s="875"/>
      <c r="M23" s="875"/>
      <c r="N23" s="293"/>
      <c r="O23" s="269"/>
      <c r="P23" s="922" t="s">
        <v>18</v>
      </c>
      <c r="Q23" s="827" t="s">
        <v>18</v>
      </c>
      <c r="R23" s="827" t="s">
        <v>18</v>
      </c>
      <c r="S23" s="441" t="s">
        <v>18</v>
      </c>
      <c r="T23" s="441" t="s">
        <v>18</v>
      </c>
      <c r="U23" s="441" t="s">
        <v>18</v>
      </c>
      <c r="V23" s="441" t="s">
        <v>18</v>
      </c>
      <c r="W23" s="441" t="s">
        <v>18</v>
      </c>
      <c r="X23" s="442" t="s">
        <v>18</v>
      </c>
      <c r="Y23" s="269"/>
      <c r="Z23"/>
      <c r="AA23"/>
      <c r="AB23"/>
      <c r="AC23"/>
      <c r="AD23"/>
    </row>
    <row r="24" spans="1:30" ht="14.1" customHeight="1" thickBot="1" x14ac:dyDescent="0.2">
      <c r="A24" s="292"/>
      <c r="B24" s="867" t="s">
        <v>567</v>
      </c>
      <c r="C24" s="867"/>
      <c r="D24" s="867"/>
      <c r="E24" s="867"/>
      <c r="F24" s="867"/>
      <c r="G24" s="867"/>
      <c r="H24" s="293"/>
      <c r="I24" s="875"/>
      <c r="J24" s="875"/>
      <c r="K24" s="875"/>
      <c r="L24" s="875"/>
      <c r="M24" s="875"/>
      <c r="N24" s="293"/>
      <c r="O24" s="268"/>
      <c r="P24" s="923"/>
      <c r="Q24" s="828"/>
      <c r="R24" s="828"/>
      <c r="S24" s="441" t="s">
        <v>18</v>
      </c>
      <c r="T24" s="441" t="s">
        <v>18</v>
      </c>
      <c r="U24" s="441" t="s">
        <v>18</v>
      </c>
      <c r="V24" s="441" t="s">
        <v>18</v>
      </c>
      <c r="W24" s="441" t="s">
        <v>18</v>
      </c>
      <c r="X24" s="442" t="s">
        <v>18</v>
      </c>
      <c r="Y24" s="268"/>
      <c r="Z24"/>
      <c r="AA24"/>
      <c r="AB24"/>
      <c r="AC24"/>
      <c r="AD24"/>
    </row>
    <row r="25" spans="1:30" ht="14.1" customHeight="1" thickBot="1" x14ac:dyDescent="0.2">
      <c r="A25" s="292"/>
      <c r="B25" s="864"/>
      <c r="C25" s="864"/>
      <c r="D25" s="864"/>
      <c r="E25" s="864"/>
      <c r="F25" s="864"/>
      <c r="G25" s="864"/>
      <c r="H25" s="293"/>
      <c r="I25" s="875"/>
      <c r="J25" s="875"/>
      <c r="K25" s="875"/>
      <c r="L25" s="875"/>
      <c r="M25" s="875"/>
      <c r="N25" s="293"/>
      <c r="O25" s="269"/>
      <c r="P25" s="911" t="s">
        <v>626</v>
      </c>
      <c r="Q25" s="815"/>
      <c r="R25" s="815"/>
      <c r="S25" s="815"/>
      <c r="T25" s="815"/>
      <c r="U25" s="815"/>
      <c r="V25" s="815"/>
      <c r="W25" s="815"/>
      <c r="X25" s="912"/>
      <c r="Y25" s="269"/>
      <c r="Z25"/>
      <c r="AA25"/>
      <c r="AB25"/>
      <c r="AC25"/>
      <c r="AD25"/>
    </row>
    <row r="26" spans="1:30" ht="14.1" customHeight="1" thickBot="1" x14ac:dyDescent="0.2">
      <c r="A26" s="292"/>
      <c r="B26" s="864"/>
      <c r="C26" s="864"/>
      <c r="D26" s="864"/>
      <c r="E26" s="864"/>
      <c r="F26" s="864"/>
      <c r="G26" s="864"/>
      <c r="H26" s="293"/>
      <c r="I26" s="875"/>
      <c r="J26" s="875"/>
      <c r="K26" s="875"/>
      <c r="L26" s="875"/>
      <c r="M26" s="875"/>
      <c r="N26" s="293"/>
      <c r="O26" s="268"/>
      <c r="P26" s="925"/>
      <c r="Q26" s="833"/>
      <c r="R26" s="833"/>
      <c r="S26" s="833"/>
      <c r="T26" s="833"/>
      <c r="U26" s="833"/>
      <c r="V26" s="833"/>
      <c r="W26" s="833"/>
      <c r="X26" s="926"/>
      <c r="Y26" s="268"/>
      <c r="Z26"/>
      <c r="AA26"/>
      <c r="AB26"/>
      <c r="AC26"/>
      <c r="AD26"/>
    </row>
    <row r="27" spans="1:30" ht="14.1" customHeight="1" thickBot="1" x14ac:dyDescent="0.2">
      <c r="A27" s="292"/>
      <c r="B27" s="864"/>
      <c r="C27" s="864"/>
      <c r="D27" s="864"/>
      <c r="E27" s="864"/>
      <c r="F27" s="864"/>
      <c r="G27" s="864"/>
      <c r="H27" s="293"/>
      <c r="I27" s="875"/>
      <c r="J27" s="875"/>
      <c r="K27" s="875"/>
      <c r="L27" s="875"/>
      <c r="M27" s="875"/>
      <c r="N27" s="293"/>
      <c r="O27" s="269"/>
      <c r="P27" s="927"/>
      <c r="Q27" s="836"/>
      <c r="R27" s="836"/>
      <c r="S27" s="836"/>
      <c r="T27" s="836"/>
      <c r="U27" s="836"/>
      <c r="V27" s="836"/>
      <c r="W27" s="836"/>
      <c r="X27" s="928"/>
      <c r="Y27" s="269"/>
      <c r="Z27"/>
      <c r="AA27"/>
      <c r="AB27"/>
      <c r="AC27"/>
      <c r="AD27"/>
    </row>
    <row r="28" spans="1:30" ht="14.1" customHeight="1" thickBot="1" x14ac:dyDescent="0.2">
      <c r="A28" s="292"/>
      <c r="B28" s="864"/>
      <c r="C28" s="864"/>
      <c r="D28" s="864"/>
      <c r="E28" s="864"/>
      <c r="F28" s="864"/>
      <c r="G28" s="864"/>
      <c r="H28" s="293"/>
      <c r="I28" s="875"/>
      <c r="J28" s="875"/>
      <c r="K28" s="875"/>
      <c r="L28" s="875"/>
      <c r="M28" s="875"/>
      <c r="N28" s="293"/>
      <c r="O28" s="268"/>
      <c r="P28" s="913" t="s">
        <v>627</v>
      </c>
      <c r="Q28" s="914"/>
      <c r="R28" s="914"/>
      <c r="S28" s="914"/>
      <c r="T28" s="914"/>
      <c r="U28" s="914"/>
      <c r="V28" s="914"/>
      <c r="W28" s="914"/>
      <c r="X28" s="915"/>
      <c r="Y28" s="268"/>
      <c r="Z28"/>
      <c r="AA28"/>
      <c r="AB28"/>
      <c r="AC28"/>
      <c r="AD28"/>
    </row>
    <row r="29" spans="1:30" ht="14.1" customHeight="1" thickBot="1" x14ac:dyDescent="0.2">
      <c r="A29" s="292"/>
      <c r="B29" s="864"/>
      <c r="C29" s="864"/>
      <c r="D29" s="864"/>
      <c r="E29" s="864"/>
      <c r="F29" s="864"/>
      <c r="G29" s="864"/>
      <c r="H29" s="293"/>
      <c r="I29" s="875"/>
      <c r="J29" s="875"/>
      <c r="K29" s="875"/>
      <c r="L29" s="875"/>
      <c r="M29" s="875"/>
      <c r="N29" s="293"/>
      <c r="O29" s="269"/>
      <c r="P29" s="269"/>
      <c r="Q29" s="269"/>
      <c r="R29" s="269"/>
      <c r="S29" s="269"/>
      <c r="T29" s="269"/>
      <c r="U29" s="269"/>
      <c r="V29" s="269"/>
      <c r="W29" s="269"/>
      <c r="X29" s="269"/>
      <c r="Y29" s="268"/>
      <c r="Z29"/>
      <c r="AA29"/>
      <c r="AB29"/>
      <c r="AC29"/>
      <c r="AD29"/>
    </row>
    <row r="30" spans="1:30" ht="14.1" customHeight="1" thickBot="1" x14ac:dyDescent="0.2">
      <c r="A30" s="292"/>
      <c r="B30" s="292"/>
      <c r="C30" s="292"/>
      <c r="D30" s="292"/>
      <c r="E30" s="292"/>
      <c r="F30" s="292"/>
      <c r="G30" s="292"/>
      <c r="H30" s="292"/>
      <c r="I30" s="292"/>
      <c r="J30" s="275"/>
      <c r="K30" s="292"/>
      <c r="L30" s="292"/>
      <c r="M30" s="275"/>
      <c r="N30" s="292"/>
      <c r="O30" s="268"/>
      <c r="P30" s="916" t="s">
        <v>450</v>
      </c>
      <c r="Q30" s="917"/>
      <c r="R30" s="917"/>
      <c r="S30" s="917"/>
      <c r="T30" s="918"/>
      <c r="U30" s="490" t="s">
        <v>622</v>
      </c>
      <c r="V30" s="491" t="s">
        <v>270</v>
      </c>
      <c r="W30" s="491" t="s">
        <v>623</v>
      </c>
      <c r="X30" s="492" t="s">
        <v>624</v>
      </c>
      <c r="Y30" s="269"/>
      <c r="Z30"/>
      <c r="AA30"/>
      <c r="AB30"/>
      <c r="AC30"/>
      <c r="AD30"/>
    </row>
    <row r="31" spans="1:30" ht="14.1" customHeight="1" x14ac:dyDescent="0.15">
      <c r="A31" s="292"/>
      <c r="B31" s="887" t="s">
        <v>639</v>
      </c>
      <c r="C31" s="887"/>
      <c r="D31" s="887"/>
      <c r="E31" s="887"/>
      <c r="F31" s="887"/>
      <c r="G31" s="887"/>
      <c r="H31" s="887"/>
      <c r="I31" s="887"/>
      <c r="J31" s="887"/>
      <c r="K31" s="887"/>
      <c r="L31" s="887"/>
      <c r="M31" s="887"/>
      <c r="N31" s="293"/>
      <c r="O31" s="269"/>
      <c r="P31" s="919"/>
      <c r="Q31" s="842"/>
      <c r="R31" s="842"/>
      <c r="S31" s="842"/>
      <c r="T31" s="843"/>
      <c r="U31" s="821" t="s">
        <v>18</v>
      </c>
      <c r="V31" s="823" t="s">
        <v>18</v>
      </c>
      <c r="W31" s="838">
        <f>IF(キャラシート!$I$3="蟹",計算用!AV36,計算用!AV30)</f>
        <v>0</v>
      </c>
      <c r="X31" s="893">
        <f>IF(キャラシート!$I$3="蟹",計算用!AW36,計算用!AW30)</f>
        <v>0</v>
      </c>
      <c r="Y31" s="268"/>
      <c r="Z31"/>
      <c r="AA31"/>
      <c r="AB31"/>
      <c r="AC31"/>
      <c r="AD31"/>
    </row>
    <row r="32" spans="1:30" ht="14.1" customHeight="1" thickBot="1" x14ac:dyDescent="0.2">
      <c r="A32" s="292"/>
      <c r="B32" s="864"/>
      <c r="C32" s="864"/>
      <c r="D32" s="864"/>
      <c r="E32" s="864"/>
      <c r="F32" s="864"/>
      <c r="G32" s="864"/>
      <c r="H32" s="864"/>
      <c r="I32" s="864"/>
      <c r="J32" s="864"/>
      <c r="K32" s="864"/>
      <c r="L32" s="864"/>
      <c r="M32" s="864"/>
      <c r="N32" s="293"/>
      <c r="O32" s="268"/>
      <c r="P32" s="920"/>
      <c r="Q32" s="845"/>
      <c r="R32" s="845"/>
      <c r="S32" s="845"/>
      <c r="T32" s="846"/>
      <c r="U32" s="822"/>
      <c r="V32" s="824"/>
      <c r="W32" s="839"/>
      <c r="X32" s="894"/>
      <c r="Y32" s="269"/>
      <c r="Z32"/>
      <c r="AA32"/>
      <c r="AB32"/>
      <c r="AC32"/>
      <c r="AD32"/>
    </row>
    <row r="33" spans="1:30" ht="14.1" customHeight="1" thickBot="1" x14ac:dyDescent="0.2">
      <c r="A33" s="292"/>
      <c r="B33" s="864"/>
      <c r="C33" s="864"/>
      <c r="D33" s="864"/>
      <c r="E33" s="864"/>
      <c r="F33" s="864"/>
      <c r="G33" s="864"/>
      <c r="H33" s="864"/>
      <c r="I33" s="864"/>
      <c r="J33" s="864"/>
      <c r="K33" s="864"/>
      <c r="L33" s="864"/>
      <c r="M33" s="864"/>
      <c r="N33" s="293"/>
      <c r="O33" s="269"/>
      <c r="P33" s="924" t="s">
        <v>9</v>
      </c>
      <c r="Q33" s="809"/>
      <c r="R33" s="810"/>
      <c r="S33" s="811" t="s">
        <v>10</v>
      </c>
      <c r="T33" s="809"/>
      <c r="U33" s="810"/>
      <c r="V33" s="811" t="s">
        <v>11</v>
      </c>
      <c r="W33" s="809"/>
      <c r="X33" s="921"/>
      <c r="Y33" s="268"/>
      <c r="Z33"/>
      <c r="AA33"/>
      <c r="AB33"/>
      <c r="AC33"/>
      <c r="AD33"/>
    </row>
    <row r="34" spans="1:30" ht="14.1" customHeight="1" thickBot="1" x14ac:dyDescent="0.2">
      <c r="A34" s="292"/>
      <c r="B34" s="864"/>
      <c r="C34" s="864"/>
      <c r="D34" s="864"/>
      <c r="E34" s="864"/>
      <c r="F34" s="864"/>
      <c r="G34" s="864"/>
      <c r="H34" s="864"/>
      <c r="I34" s="864"/>
      <c r="J34" s="864"/>
      <c r="K34" s="864"/>
      <c r="L34" s="864"/>
      <c r="M34" s="864"/>
      <c r="N34" s="293"/>
      <c r="O34" s="268"/>
      <c r="P34" s="922" t="s">
        <v>18</v>
      </c>
      <c r="Q34" s="827" t="s">
        <v>18</v>
      </c>
      <c r="R34" s="827" t="s">
        <v>18</v>
      </c>
      <c r="S34" s="441" t="s">
        <v>18</v>
      </c>
      <c r="T34" s="441" t="s">
        <v>18</v>
      </c>
      <c r="U34" s="441" t="s">
        <v>18</v>
      </c>
      <c r="V34" s="441" t="s">
        <v>18</v>
      </c>
      <c r="W34" s="441" t="s">
        <v>18</v>
      </c>
      <c r="X34" s="442" t="s">
        <v>18</v>
      </c>
      <c r="Y34" s="269"/>
      <c r="Z34"/>
      <c r="AA34"/>
      <c r="AB34"/>
      <c r="AC34"/>
      <c r="AD34"/>
    </row>
    <row r="35" spans="1:30" ht="14.1" customHeight="1" thickBot="1" x14ac:dyDescent="0.2">
      <c r="A35" s="292"/>
      <c r="B35" s="864"/>
      <c r="C35" s="864"/>
      <c r="D35" s="864"/>
      <c r="E35" s="864"/>
      <c r="F35" s="864"/>
      <c r="G35" s="864"/>
      <c r="H35" s="864"/>
      <c r="I35" s="864"/>
      <c r="J35" s="864"/>
      <c r="K35" s="864"/>
      <c r="L35" s="864"/>
      <c r="M35" s="864"/>
      <c r="N35" s="292"/>
      <c r="O35" s="269"/>
      <c r="P35" s="923"/>
      <c r="Q35" s="828"/>
      <c r="R35" s="828"/>
      <c r="S35" s="441" t="s">
        <v>18</v>
      </c>
      <c r="T35" s="441" t="s">
        <v>18</v>
      </c>
      <c r="U35" s="441" t="s">
        <v>18</v>
      </c>
      <c r="V35" s="441" t="s">
        <v>18</v>
      </c>
      <c r="W35" s="441" t="s">
        <v>18</v>
      </c>
      <c r="X35" s="442" t="s">
        <v>18</v>
      </c>
      <c r="Y35" s="268"/>
      <c r="Z35" s="1"/>
      <c r="AA35" s="1"/>
      <c r="AB35" s="1"/>
      <c r="AC35" s="1"/>
      <c r="AD35" s="1"/>
    </row>
    <row r="36" spans="1:30" ht="14.1" customHeight="1" x14ac:dyDescent="0.15">
      <c r="A36" s="292"/>
      <c r="B36" s="292"/>
      <c r="C36" s="292"/>
      <c r="D36" s="292"/>
      <c r="E36" s="292"/>
      <c r="F36" s="292"/>
      <c r="G36" s="292"/>
      <c r="H36" s="292"/>
      <c r="I36" s="292"/>
      <c r="J36" s="275"/>
      <c r="K36" s="292"/>
      <c r="L36" s="292"/>
      <c r="M36" s="275"/>
      <c r="N36" s="292"/>
      <c r="O36" s="268"/>
      <c r="P36" s="911" t="s">
        <v>626</v>
      </c>
      <c r="Q36" s="815"/>
      <c r="R36" s="815"/>
      <c r="S36" s="815"/>
      <c r="T36" s="815"/>
      <c r="U36" s="815"/>
      <c r="V36" s="815"/>
      <c r="W36" s="815"/>
      <c r="X36" s="912"/>
      <c r="Y36" s="269"/>
      <c r="Z36" s="1"/>
      <c r="AA36" s="1"/>
      <c r="AB36" s="1"/>
      <c r="AC36" s="1"/>
      <c r="AD36" s="1"/>
    </row>
    <row r="37" spans="1:30" ht="14.1" customHeight="1" x14ac:dyDescent="0.15">
      <c r="A37"/>
      <c r="B37"/>
      <c r="C37"/>
      <c r="D37"/>
      <c r="E37"/>
      <c r="F37"/>
      <c r="G37"/>
      <c r="H37"/>
      <c r="I37"/>
      <c r="J37"/>
      <c r="K37"/>
      <c r="L37"/>
      <c r="M37"/>
      <c r="N37"/>
      <c r="O37" s="269"/>
      <c r="P37" s="925"/>
      <c r="Q37" s="833"/>
      <c r="R37" s="833"/>
      <c r="S37" s="833"/>
      <c r="T37" s="833"/>
      <c r="U37" s="833"/>
      <c r="V37" s="833"/>
      <c r="W37" s="833"/>
      <c r="X37" s="926"/>
      <c r="Y37" s="268"/>
      <c r="Z37" s="1"/>
      <c r="AA37" s="1"/>
      <c r="AB37" s="1"/>
      <c r="AC37" s="1"/>
      <c r="AD37" s="1"/>
    </row>
    <row r="38" spans="1:30" ht="14.1" customHeight="1" x14ac:dyDescent="0.15">
      <c r="A38"/>
      <c r="B38" s="294"/>
      <c r="C38" s="52"/>
      <c r="D38" s="294"/>
      <c r="E38" s="294"/>
      <c r="F38" s="294"/>
      <c r="G38" s="52"/>
      <c r="H38" s="52"/>
      <c r="I38"/>
      <c r="J38"/>
      <c r="K38"/>
      <c r="L38"/>
      <c r="M38"/>
      <c r="N38"/>
      <c r="O38" s="268"/>
      <c r="P38" s="927"/>
      <c r="Q38" s="836"/>
      <c r="R38" s="836"/>
      <c r="S38" s="836"/>
      <c r="T38" s="836"/>
      <c r="U38" s="836"/>
      <c r="V38" s="836"/>
      <c r="W38" s="836"/>
      <c r="X38" s="928"/>
      <c r="Y38" s="269"/>
      <c r="Z38" s="1"/>
      <c r="AA38" s="1"/>
      <c r="AB38" s="1"/>
      <c r="AC38" s="1"/>
      <c r="AD38" s="1"/>
    </row>
    <row r="39" spans="1:30" ht="14.1" customHeight="1" thickBot="1" x14ac:dyDescent="0.2">
      <c r="A39"/>
      <c r="B39" s="295"/>
      <c r="C39" s="295"/>
      <c r="D39" s="296"/>
      <c r="E39" s="296"/>
      <c r="F39" s="297"/>
      <c r="G39" s="298"/>
      <c r="H39" s="299"/>
      <c r="I39"/>
      <c r="J39"/>
      <c r="K39"/>
      <c r="L39"/>
      <c r="M39"/>
      <c r="N39"/>
      <c r="O39" s="269"/>
      <c r="P39" s="913" t="s">
        <v>627</v>
      </c>
      <c r="Q39" s="914"/>
      <c r="R39" s="914"/>
      <c r="S39" s="914"/>
      <c r="T39" s="914"/>
      <c r="U39" s="914"/>
      <c r="V39" s="914"/>
      <c r="W39" s="914"/>
      <c r="X39" s="915"/>
      <c r="Y39" s="268"/>
      <c r="Z39" s="1"/>
      <c r="AA39" s="1"/>
      <c r="AB39" s="1"/>
      <c r="AC39" s="1"/>
      <c r="AD39" s="1"/>
    </row>
    <row r="40" spans="1:30" ht="14.1" customHeight="1" thickBot="1" x14ac:dyDescent="0.2">
      <c r="A40"/>
      <c r="B40"/>
      <c r="C40"/>
      <c r="D40"/>
      <c r="E40"/>
      <c r="F40"/>
      <c r="G40"/>
      <c r="H40"/>
      <c r="I40"/>
      <c r="J40"/>
      <c r="K40"/>
      <c r="L40"/>
      <c r="M40"/>
      <c r="N40"/>
      <c r="O40" s="268"/>
      <c r="P40" s="268"/>
      <c r="Q40" s="268"/>
      <c r="R40" s="268"/>
      <c r="S40" s="268"/>
      <c r="T40" s="268"/>
      <c r="U40" s="268"/>
      <c r="V40" s="268"/>
      <c r="W40" s="268"/>
      <c r="X40" s="268"/>
      <c r="Y40" s="269"/>
      <c r="Z40" s="1"/>
      <c r="AA40" s="1"/>
      <c r="AB40" s="1"/>
      <c r="AC40" s="1"/>
      <c r="AD40" s="1"/>
    </row>
    <row r="41" spans="1:30" ht="14.1" customHeight="1" x14ac:dyDescent="0.15">
      <c r="A41"/>
      <c r="B41"/>
      <c r="C41"/>
      <c r="D41"/>
      <c r="E41"/>
      <c r="F41"/>
      <c r="G41"/>
      <c r="H41"/>
      <c r="I41"/>
      <c r="J41"/>
      <c r="K41"/>
      <c r="L41"/>
      <c r="M41"/>
      <c r="N41"/>
      <c r="O41" s="269"/>
      <c r="P41" s="916" t="s">
        <v>450</v>
      </c>
      <c r="Q41" s="917"/>
      <c r="R41" s="917"/>
      <c r="S41" s="917"/>
      <c r="T41" s="918"/>
      <c r="U41" s="490" t="s">
        <v>622</v>
      </c>
      <c r="V41" s="491" t="s">
        <v>270</v>
      </c>
      <c r="W41" s="491" t="s">
        <v>623</v>
      </c>
      <c r="X41" s="492" t="s">
        <v>624</v>
      </c>
      <c r="Y41" s="269"/>
      <c r="Z41" s="1"/>
      <c r="AA41" s="1"/>
      <c r="AB41" s="1"/>
      <c r="AC41" s="1"/>
      <c r="AD41" s="1"/>
    </row>
    <row r="42" spans="1:30" ht="14.1" customHeight="1" x14ac:dyDescent="0.15">
      <c r="A42"/>
      <c r="B42"/>
      <c r="C42"/>
      <c r="D42"/>
      <c r="E42"/>
      <c r="F42"/>
      <c r="G42"/>
      <c r="H42"/>
      <c r="I42"/>
      <c r="J42"/>
      <c r="K42"/>
      <c r="L42"/>
      <c r="M42"/>
      <c r="N42"/>
      <c r="O42" s="268"/>
      <c r="P42" s="919"/>
      <c r="Q42" s="842"/>
      <c r="R42" s="842"/>
      <c r="S42" s="842"/>
      <c r="T42" s="843"/>
      <c r="U42" s="821" t="s">
        <v>18</v>
      </c>
      <c r="V42" s="823" t="s">
        <v>18</v>
      </c>
      <c r="W42" s="838">
        <f>IF(キャラシート!$I$3="蟹",計算用!AV48,計算用!AV42)</f>
        <v>0</v>
      </c>
      <c r="X42" s="893">
        <f>IF(キャラシート!$I$3="蟹",計算用!AW48,計算用!AW42)</f>
        <v>0</v>
      </c>
      <c r="Y42" s="268"/>
      <c r="Z42" s="1"/>
      <c r="AA42" s="1"/>
      <c r="AB42" s="1"/>
      <c r="AC42" s="1"/>
      <c r="AD42" s="1"/>
    </row>
    <row r="43" spans="1:30" ht="14.1" customHeight="1" x14ac:dyDescent="0.15">
      <c r="A43"/>
      <c r="B43"/>
      <c r="C43"/>
      <c r="D43"/>
      <c r="E43"/>
      <c r="F43"/>
      <c r="G43"/>
      <c r="H43"/>
      <c r="I43"/>
      <c r="J43"/>
      <c r="K43"/>
      <c r="L43"/>
      <c r="M43"/>
      <c r="N43"/>
      <c r="O43" s="269"/>
      <c r="P43" s="920"/>
      <c r="Q43" s="845"/>
      <c r="R43" s="845"/>
      <c r="S43" s="845"/>
      <c r="T43" s="846"/>
      <c r="U43" s="822"/>
      <c r="V43" s="824"/>
      <c r="W43" s="839"/>
      <c r="X43" s="894"/>
      <c r="Y43" s="269"/>
      <c r="Z43" s="1"/>
      <c r="AA43" s="1"/>
      <c r="AB43" s="1"/>
      <c r="AC43" s="1"/>
      <c r="AD43" s="1"/>
    </row>
    <row r="44" spans="1:30" ht="14.1" customHeight="1" x14ac:dyDescent="0.15">
      <c r="A44"/>
      <c r="B44"/>
      <c r="C44"/>
      <c r="D44"/>
      <c r="E44"/>
      <c r="F44"/>
      <c r="G44"/>
      <c r="H44"/>
      <c r="I44"/>
      <c r="J44"/>
      <c r="K44"/>
      <c r="L44"/>
      <c r="M44"/>
      <c r="N44"/>
      <c r="O44" s="268"/>
      <c r="P44" s="924" t="s">
        <v>9</v>
      </c>
      <c r="Q44" s="809"/>
      <c r="R44" s="810"/>
      <c r="S44" s="811" t="s">
        <v>10</v>
      </c>
      <c r="T44" s="809"/>
      <c r="U44" s="810"/>
      <c r="V44" s="811" t="s">
        <v>11</v>
      </c>
      <c r="W44" s="809"/>
      <c r="X44" s="921"/>
      <c r="Y44" s="268"/>
      <c r="Z44" s="1"/>
      <c r="AA44" s="1"/>
      <c r="AB44" s="1"/>
      <c r="AC44" s="1"/>
      <c r="AD44" s="1"/>
    </row>
    <row r="45" spans="1:30" ht="14.1" customHeight="1" x14ac:dyDescent="0.15">
      <c r="A45"/>
      <c r="B45"/>
      <c r="C45"/>
      <c r="D45"/>
      <c r="E45"/>
      <c r="F45"/>
      <c r="G45"/>
      <c r="H45"/>
      <c r="I45"/>
      <c r="J45"/>
      <c r="K45"/>
      <c r="L45"/>
      <c r="M45"/>
      <c r="N45"/>
      <c r="O45" s="269"/>
      <c r="P45" s="922" t="s">
        <v>18</v>
      </c>
      <c r="Q45" s="827" t="s">
        <v>18</v>
      </c>
      <c r="R45" s="827" t="s">
        <v>18</v>
      </c>
      <c r="S45" s="441" t="s">
        <v>18</v>
      </c>
      <c r="T45" s="441" t="s">
        <v>18</v>
      </c>
      <c r="U45" s="441" t="s">
        <v>18</v>
      </c>
      <c r="V45" s="441" t="s">
        <v>18</v>
      </c>
      <c r="W45" s="441" t="s">
        <v>18</v>
      </c>
      <c r="X45" s="442" t="s">
        <v>18</v>
      </c>
      <c r="Y45" s="269"/>
      <c r="Z45" s="1"/>
      <c r="AA45" s="1"/>
      <c r="AB45" s="1"/>
      <c r="AC45" s="1"/>
      <c r="AD45" s="1"/>
    </row>
    <row r="46" spans="1:30" ht="14.1" customHeight="1" x14ac:dyDescent="0.15">
      <c r="A46"/>
      <c r="B46"/>
      <c r="C46"/>
      <c r="D46"/>
      <c r="E46"/>
      <c r="F46"/>
      <c r="G46"/>
      <c r="H46"/>
      <c r="I46"/>
      <c r="J46"/>
      <c r="K46"/>
      <c r="L46"/>
      <c r="M46"/>
      <c r="N46"/>
      <c r="O46" s="268"/>
      <c r="P46" s="923"/>
      <c r="Q46" s="828"/>
      <c r="R46" s="828"/>
      <c r="S46" s="441" t="s">
        <v>18</v>
      </c>
      <c r="T46" s="441" t="s">
        <v>18</v>
      </c>
      <c r="U46" s="441" t="s">
        <v>18</v>
      </c>
      <c r="V46" s="441" t="s">
        <v>18</v>
      </c>
      <c r="W46" s="441" t="s">
        <v>18</v>
      </c>
      <c r="X46" s="442" t="s">
        <v>18</v>
      </c>
      <c r="Y46" s="268"/>
      <c r="Z46" s="1"/>
      <c r="AA46" s="1"/>
      <c r="AB46" s="1"/>
      <c r="AC46" s="1"/>
      <c r="AD46" s="1"/>
    </row>
    <row r="47" spans="1:30" ht="14.1" customHeight="1" x14ac:dyDescent="0.15">
      <c r="A47"/>
      <c r="B47"/>
      <c r="C47"/>
      <c r="D47"/>
      <c r="E47"/>
      <c r="F47"/>
      <c r="G47"/>
      <c r="H47"/>
      <c r="I47"/>
      <c r="J47"/>
      <c r="K47"/>
      <c r="L47"/>
      <c r="M47"/>
      <c r="N47"/>
      <c r="O47" s="269"/>
      <c r="P47" s="911" t="s">
        <v>626</v>
      </c>
      <c r="Q47" s="815"/>
      <c r="R47" s="815"/>
      <c r="S47" s="815"/>
      <c r="T47" s="815"/>
      <c r="U47" s="815"/>
      <c r="V47" s="815"/>
      <c r="W47" s="815"/>
      <c r="X47" s="912"/>
      <c r="Y47" s="269"/>
      <c r="Z47" s="1"/>
      <c r="AA47" s="1"/>
      <c r="AB47" s="1"/>
      <c r="AC47" s="1"/>
      <c r="AD47" s="1"/>
    </row>
    <row r="48" spans="1:30" ht="14.1" customHeight="1" x14ac:dyDescent="0.15">
      <c r="A48"/>
      <c r="B48"/>
      <c r="C48"/>
      <c r="D48"/>
      <c r="E48"/>
      <c r="F48"/>
      <c r="G48"/>
      <c r="H48"/>
      <c r="I48"/>
      <c r="J48"/>
      <c r="K48"/>
      <c r="L48"/>
      <c r="M48"/>
      <c r="N48"/>
      <c r="O48" s="268"/>
      <c r="P48" s="925"/>
      <c r="Q48" s="833"/>
      <c r="R48" s="833"/>
      <c r="S48" s="833"/>
      <c r="T48" s="833"/>
      <c r="U48" s="833"/>
      <c r="V48" s="833"/>
      <c r="W48" s="833"/>
      <c r="X48" s="926"/>
      <c r="Y48" s="268"/>
      <c r="Z48" s="1"/>
      <c r="AA48" s="1"/>
      <c r="AB48" s="1"/>
      <c r="AC48" s="1"/>
      <c r="AD48" s="1"/>
    </row>
    <row r="49" spans="1:30" ht="14.1" customHeight="1" x14ac:dyDescent="0.15">
      <c r="A49"/>
      <c r="B49"/>
      <c r="C49"/>
      <c r="D49"/>
      <c r="E49"/>
      <c r="F49"/>
      <c r="G49"/>
      <c r="H49"/>
      <c r="I49"/>
      <c r="J49"/>
      <c r="K49"/>
      <c r="L49"/>
      <c r="M49"/>
      <c r="N49"/>
      <c r="O49" s="269"/>
      <c r="P49" s="927"/>
      <c r="Q49" s="836"/>
      <c r="R49" s="836"/>
      <c r="S49" s="836"/>
      <c r="T49" s="836"/>
      <c r="U49" s="836"/>
      <c r="V49" s="836"/>
      <c r="W49" s="836"/>
      <c r="X49" s="928"/>
      <c r="Y49" s="269"/>
      <c r="Z49" s="1"/>
      <c r="AA49" s="1"/>
      <c r="AB49" s="1"/>
      <c r="AC49" s="1"/>
      <c r="AD49" s="1"/>
    </row>
    <row r="50" spans="1:30" ht="14.1" customHeight="1" thickBot="1" x14ac:dyDescent="0.2">
      <c r="A50"/>
      <c r="B50"/>
      <c r="C50"/>
      <c r="D50"/>
      <c r="E50"/>
      <c r="F50"/>
      <c r="G50"/>
      <c r="H50"/>
      <c r="I50"/>
      <c r="J50"/>
      <c r="K50"/>
      <c r="L50"/>
      <c r="M50"/>
      <c r="N50"/>
      <c r="O50" s="268"/>
      <c r="P50" s="913" t="s">
        <v>627</v>
      </c>
      <c r="Q50" s="914"/>
      <c r="R50" s="914"/>
      <c r="S50" s="914"/>
      <c r="T50" s="914"/>
      <c r="U50" s="914"/>
      <c r="V50" s="914"/>
      <c r="W50" s="914"/>
      <c r="X50" s="915"/>
      <c r="Y50" s="268"/>
      <c r="Z50" s="1"/>
      <c r="AA50" s="1"/>
      <c r="AB50" s="1"/>
      <c r="AC50" s="1"/>
      <c r="AD50" s="1"/>
    </row>
    <row r="51" spans="1:30" ht="14.1" customHeight="1" thickBot="1" x14ac:dyDescent="0.2">
      <c r="A51"/>
      <c r="B51"/>
      <c r="C51"/>
      <c r="D51"/>
      <c r="E51"/>
      <c r="F51"/>
      <c r="G51"/>
      <c r="H51"/>
      <c r="I51"/>
      <c r="J51"/>
      <c r="K51"/>
      <c r="L51"/>
      <c r="M51"/>
      <c r="N51"/>
      <c r="O51" s="269"/>
      <c r="P51" s="269"/>
      <c r="Q51" s="269"/>
      <c r="R51" s="269"/>
      <c r="S51" s="269"/>
      <c r="T51" s="269"/>
      <c r="U51" s="269"/>
      <c r="V51" s="269"/>
      <c r="W51" s="269"/>
      <c r="X51" s="269"/>
      <c r="Y51" s="268"/>
      <c r="Z51" s="1"/>
      <c r="AA51" s="1"/>
      <c r="AB51" s="1"/>
      <c r="AC51" s="1"/>
      <c r="AD51" s="1"/>
    </row>
    <row r="52" spans="1:30" ht="14.1" customHeight="1" x14ac:dyDescent="0.15">
      <c r="A52"/>
      <c r="B52"/>
      <c r="C52"/>
      <c r="D52"/>
      <c r="E52"/>
      <c r="F52"/>
      <c r="G52"/>
      <c r="H52"/>
      <c r="I52"/>
      <c r="J52"/>
      <c r="K52"/>
      <c r="L52"/>
      <c r="M52"/>
      <c r="N52"/>
      <c r="O52" s="268"/>
      <c r="P52" s="916" t="s">
        <v>450</v>
      </c>
      <c r="Q52" s="917"/>
      <c r="R52" s="917"/>
      <c r="S52" s="917"/>
      <c r="T52" s="918"/>
      <c r="U52" s="490" t="s">
        <v>622</v>
      </c>
      <c r="V52" s="491" t="s">
        <v>270</v>
      </c>
      <c r="W52" s="491" t="s">
        <v>623</v>
      </c>
      <c r="X52" s="492" t="s">
        <v>624</v>
      </c>
      <c r="Y52" s="269"/>
      <c r="Z52" s="1"/>
      <c r="AA52" s="1"/>
    </row>
    <row r="53" spans="1:30" ht="14.1" customHeight="1" x14ac:dyDescent="0.15">
      <c r="A53"/>
      <c r="B53"/>
      <c r="C53"/>
      <c r="D53"/>
      <c r="E53"/>
      <c r="F53"/>
      <c r="G53"/>
      <c r="H53"/>
      <c r="I53"/>
      <c r="J53"/>
      <c r="K53"/>
      <c r="L53"/>
      <c r="M53"/>
      <c r="N53"/>
      <c r="O53" s="269"/>
      <c r="P53" s="919"/>
      <c r="Q53" s="842"/>
      <c r="R53" s="842"/>
      <c r="S53" s="842"/>
      <c r="T53" s="843"/>
      <c r="U53" s="821" t="s">
        <v>18</v>
      </c>
      <c r="V53" s="823" t="s">
        <v>18</v>
      </c>
      <c r="W53" s="838">
        <f>IF(キャラシート!$I$3="蟹",計算用!AV60,計算用!AV54)</f>
        <v>0</v>
      </c>
      <c r="X53" s="893">
        <f>IF(キャラシート!$I$3="蟹",計算用!AW60,計算用!AW54)</f>
        <v>0</v>
      </c>
      <c r="Y53" s="268"/>
      <c r="Z53" s="1"/>
      <c r="AA53" s="1"/>
    </row>
    <row r="54" spans="1:30" ht="14.1" customHeight="1" x14ac:dyDescent="0.15">
      <c r="A54"/>
      <c r="B54"/>
      <c r="C54"/>
      <c r="D54"/>
      <c r="E54"/>
      <c r="F54"/>
      <c r="G54"/>
      <c r="H54"/>
      <c r="I54"/>
      <c r="J54"/>
      <c r="K54"/>
      <c r="L54"/>
      <c r="M54"/>
      <c r="N54"/>
      <c r="O54" s="268"/>
      <c r="P54" s="920"/>
      <c r="Q54" s="845"/>
      <c r="R54" s="845"/>
      <c r="S54" s="845"/>
      <c r="T54" s="846"/>
      <c r="U54" s="822"/>
      <c r="V54" s="824"/>
      <c r="W54" s="839"/>
      <c r="X54" s="894"/>
      <c r="Y54" s="269"/>
      <c r="Z54" s="1"/>
      <c r="AA54" s="1"/>
    </row>
    <row r="55" spans="1:30" ht="14.1" customHeight="1" x14ac:dyDescent="0.15">
      <c r="A55"/>
      <c r="B55"/>
      <c r="C55"/>
      <c r="D55"/>
      <c r="E55"/>
      <c r="F55"/>
      <c r="G55"/>
      <c r="H55"/>
      <c r="I55"/>
      <c r="J55"/>
      <c r="K55"/>
      <c r="L55"/>
      <c r="M55"/>
      <c r="N55"/>
      <c r="O55" s="269"/>
      <c r="P55" s="924" t="s">
        <v>9</v>
      </c>
      <c r="Q55" s="809"/>
      <c r="R55" s="810"/>
      <c r="S55" s="811" t="s">
        <v>10</v>
      </c>
      <c r="T55" s="809"/>
      <c r="U55" s="810"/>
      <c r="V55" s="811" t="s">
        <v>11</v>
      </c>
      <c r="W55" s="809"/>
      <c r="X55" s="921"/>
      <c r="Y55" s="268"/>
      <c r="Z55" s="1"/>
      <c r="AA55" s="1"/>
    </row>
    <row r="56" spans="1:30" ht="14.1" customHeight="1" x14ac:dyDescent="0.15">
      <c r="A56"/>
      <c r="B56"/>
      <c r="C56"/>
      <c r="D56"/>
      <c r="E56"/>
      <c r="F56"/>
      <c r="G56"/>
      <c r="H56"/>
      <c r="I56"/>
      <c r="J56"/>
      <c r="K56"/>
      <c r="L56"/>
      <c r="M56"/>
      <c r="N56"/>
      <c r="O56" s="268"/>
      <c r="P56" s="922" t="s">
        <v>18</v>
      </c>
      <c r="Q56" s="827" t="s">
        <v>18</v>
      </c>
      <c r="R56" s="827" t="s">
        <v>18</v>
      </c>
      <c r="S56" s="441" t="s">
        <v>18</v>
      </c>
      <c r="T56" s="441" t="s">
        <v>18</v>
      </c>
      <c r="U56" s="441" t="s">
        <v>18</v>
      </c>
      <c r="V56" s="441" t="s">
        <v>18</v>
      </c>
      <c r="W56" s="441" t="s">
        <v>18</v>
      </c>
      <c r="X56" s="442" t="s">
        <v>18</v>
      </c>
      <c r="Y56" s="269"/>
      <c r="Z56" s="1"/>
      <c r="AA56" s="1"/>
    </row>
    <row r="57" spans="1:30" ht="14.1" customHeight="1" x14ac:dyDescent="0.15">
      <c r="A57"/>
      <c r="B57"/>
      <c r="C57"/>
      <c r="D57"/>
      <c r="E57"/>
      <c r="F57"/>
      <c r="G57"/>
      <c r="H57"/>
      <c r="I57"/>
      <c r="J57"/>
      <c r="K57"/>
      <c r="L57"/>
      <c r="M57"/>
      <c r="N57"/>
      <c r="O57" s="269"/>
      <c r="P57" s="923"/>
      <c r="Q57" s="828"/>
      <c r="R57" s="828"/>
      <c r="S57" s="441" t="s">
        <v>18</v>
      </c>
      <c r="T57" s="441" t="s">
        <v>18</v>
      </c>
      <c r="U57" s="441" t="s">
        <v>18</v>
      </c>
      <c r="V57" s="441" t="s">
        <v>18</v>
      </c>
      <c r="W57" s="441" t="s">
        <v>18</v>
      </c>
      <c r="X57" s="442" t="s">
        <v>18</v>
      </c>
      <c r="Y57" s="268"/>
      <c r="Z57" s="1"/>
      <c r="AA57" s="1"/>
    </row>
    <row r="58" spans="1:30" ht="14.1" customHeight="1" x14ac:dyDescent="0.15">
      <c r="A58"/>
      <c r="B58"/>
      <c r="C58"/>
      <c r="D58"/>
      <c r="E58"/>
      <c r="F58"/>
      <c r="G58"/>
      <c r="H58"/>
      <c r="I58"/>
      <c r="J58"/>
      <c r="K58"/>
      <c r="L58"/>
      <c r="M58"/>
      <c r="N58"/>
      <c r="O58" s="268"/>
      <c r="P58" s="911" t="s">
        <v>626</v>
      </c>
      <c r="Q58" s="815"/>
      <c r="R58" s="815"/>
      <c r="S58" s="815"/>
      <c r="T58" s="815"/>
      <c r="U58" s="815"/>
      <c r="V58" s="815"/>
      <c r="W58" s="815"/>
      <c r="X58" s="912"/>
      <c r="Y58" s="269"/>
      <c r="Z58" s="1"/>
      <c r="AA58" s="1"/>
    </row>
    <row r="59" spans="1:30" ht="14.1" customHeight="1" x14ac:dyDescent="0.15">
      <c r="A59"/>
      <c r="B59"/>
      <c r="C59"/>
      <c r="D59"/>
      <c r="E59"/>
      <c r="F59"/>
      <c r="G59"/>
      <c r="H59"/>
      <c r="I59"/>
      <c r="J59"/>
      <c r="K59"/>
      <c r="L59"/>
      <c r="M59"/>
      <c r="N59"/>
      <c r="O59" s="269"/>
      <c r="P59" s="925"/>
      <c r="Q59" s="833"/>
      <c r="R59" s="833"/>
      <c r="S59" s="833"/>
      <c r="T59" s="833"/>
      <c r="U59" s="833"/>
      <c r="V59" s="833"/>
      <c r="W59" s="833"/>
      <c r="X59" s="926"/>
      <c r="Y59" s="268"/>
      <c r="Z59" s="1"/>
      <c r="AA59" s="1"/>
    </row>
    <row r="60" spans="1:30" ht="14.1" customHeight="1" x14ac:dyDescent="0.15">
      <c r="A60"/>
      <c r="B60"/>
      <c r="C60"/>
      <c r="D60"/>
      <c r="E60"/>
      <c r="F60"/>
      <c r="G60"/>
      <c r="H60"/>
      <c r="I60"/>
      <c r="J60"/>
      <c r="K60"/>
      <c r="L60"/>
      <c r="M60"/>
      <c r="N60"/>
      <c r="O60" s="268"/>
      <c r="P60" s="927"/>
      <c r="Q60" s="836"/>
      <c r="R60" s="836"/>
      <c r="S60" s="836"/>
      <c r="T60" s="836"/>
      <c r="U60" s="836"/>
      <c r="V60" s="836"/>
      <c r="W60" s="836"/>
      <c r="X60" s="928"/>
      <c r="Y60" s="269"/>
      <c r="Z60" s="1"/>
      <c r="AA60" s="1"/>
    </row>
    <row r="61" spans="1:30" ht="14.1" customHeight="1" thickBot="1" x14ac:dyDescent="0.2">
      <c r="A61"/>
      <c r="B61"/>
      <c r="C61"/>
      <c r="D61"/>
      <c r="E61"/>
      <c r="F61"/>
      <c r="G61"/>
      <c r="H61"/>
      <c r="I61"/>
      <c r="J61"/>
      <c r="K61"/>
      <c r="L61"/>
      <c r="M61"/>
      <c r="N61"/>
      <c r="O61" s="269"/>
      <c r="P61" s="913" t="s">
        <v>627</v>
      </c>
      <c r="Q61" s="914"/>
      <c r="R61" s="914"/>
      <c r="S61" s="914"/>
      <c r="T61" s="914"/>
      <c r="U61" s="914"/>
      <c r="V61" s="914"/>
      <c r="W61" s="914"/>
      <c r="X61" s="915"/>
      <c r="Y61" s="268"/>
      <c r="Z61" s="1"/>
      <c r="AA61" s="1"/>
    </row>
    <row r="62" spans="1:30" ht="14.1" customHeight="1" x14ac:dyDescent="0.15">
      <c r="A62"/>
      <c r="B62"/>
      <c r="C62"/>
      <c r="D62"/>
      <c r="E62"/>
      <c r="F62"/>
      <c r="G62"/>
      <c r="H62"/>
      <c r="I62"/>
      <c r="J62"/>
      <c r="K62"/>
      <c r="L62"/>
      <c r="M62"/>
      <c r="N62"/>
      <c r="O62" s="268"/>
      <c r="P62" s="268"/>
      <c r="Q62" s="268"/>
      <c r="R62" s="268"/>
      <c r="S62" s="268"/>
      <c r="T62" s="268"/>
      <c r="U62" s="268"/>
      <c r="V62" s="268"/>
      <c r="W62" s="268"/>
      <c r="X62" s="268"/>
      <c r="Y62" s="269"/>
      <c r="Z62" s="1"/>
      <c r="AA62" s="1"/>
    </row>
  </sheetData>
  <sheetProtection selectLockedCells="1" selectUnlockedCells="1"/>
  <mergeCells count="105">
    <mergeCell ref="B2:C3"/>
    <mergeCell ref="D2:H3"/>
    <mergeCell ref="I2:J3"/>
    <mergeCell ref="K2:M3"/>
    <mergeCell ref="P2:X3"/>
    <mergeCell ref="P4:Q5"/>
    <mergeCell ref="V4:W5"/>
    <mergeCell ref="S4:T5"/>
    <mergeCell ref="B5:C6"/>
    <mergeCell ref="F5:G6"/>
    <mergeCell ref="X4:X5"/>
    <mergeCell ref="U4:U5"/>
    <mergeCell ref="R4:R5"/>
    <mergeCell ref="D5:D6"/>
    <mergeCell ref="H5:I6"/>
    <mergeCell ref="J5:K6"/>
    <mergeCell ref="L5:M6"/>
    <mergeCell ref="P53:T54"/>
    <mergeCell ref="Q12:Q13"/>
    <mergeCell ref="Q23:Q24"/>
    <mergeCell ref="Q34:Q35"/>
    <mergeCell ref="Q45:Q46"/>
    <mergeCell ref="V33:X33"/>
    <mergeCell ref="V31:V32"/>
    <mergeCell ref="R12:R13"/>
    <mergeCell ref="R23:R24"/>
    <mergeCell ref="R34:R35"/>
    <mergeCell ref="R45:R46"/>
    <mergeCell ref="P12:P13"/>
    <mergeCell ref="X53:X54"/>
    <mergeCell ref="P45:P46"/>
    <mergeCell ref="U53:U54"/>
    <mergeCell ref="P48:X49"/>
    <mergeCell ref="B31:M31"/>
    <mergeCell ref="P33:R33"/>
    <mergeCell ref="S33:U33"/>
    <mergeCell ref="P36:X36"/>
    <mergeCell ref="P39:X39"/>
    <mergeCell ref="X9:X10"/>
    <mergeCell ref="X20:X21"/>
    <mergeCell ref="X31:X32"/>
    <mergeCell ref="X42:X43"/>
    <mergeCell ref="V11:X11"/>
    <mergeCell ref="V9:V10"/>
    <mergeCell ref="P15:X16"/>
    <mergeCell ref="P20:T21"/>
    <mergeCell ref="P26:X27"/>
    <mergeCell ref="P31:T32"/>
    <mergeCell ref="U9:U10"/>
    <mergeCell ref="U20:U21"/>
    <mergeCell ref="U31:U32"/>
    <mergeCell ref="U42:U43"/>
    <mergeCell ref="P37:X38"/>
    <mergeCell ref="P42:T43"/>
    <mergeCell ref="F8:G9"/>
    <mergeCell ref="P22:R22"/>
    <mergeCell ref="B8:D8"/>
    <mergeCell ref="I8:M8"/>
    <mergeCell ref="P8:T8"/>
    <mergeCell ref="P11:R11"/>
    <mergeCell ref="S11:U11"/>
    <mergeCell ref="V55:X55"/>
    <mergeCell ref="P58:X58"/>
    <mergeCell ref="P61:X61"/>
    <mergeCell ref="R56:R57"/>
    <mergeCell ref="V53:V54"/>
    <mergeCell ref="W53:W54"/>
    <mergeCell ref="P59:X60"/>
    <mergeCell ref="P41:T41"/>
    <mergeCell ref="P44:R44"/>
    <mergeCell ref="S44:U44"/>
    <mergeCell ref="V44:X44"/>
    <mergeCell ref="P47:X47"/>
    <mergeCell ref="P50:X50"/>
    <mergeCell ref="V42:V43"/>
    <mergeCell ref="W42:W43"/>
    <mergeCell ref="Q56:Q57"/>
    <mergeCell ref="P56:P57"/>
    <mergeCell ref="P52:T52"/>
    <mergeCell ref="P55:R55"/>
    <mergeCell ref="S55:U55"/>
    <mergeCell ref="W9:W10"/>
    <mergeCell ref="W31:W32"/>
    <mergeCell ref="B32:M35"/>
    <mergeCell ref="C23:D23"/>
    <mergeCell ref="F23:G23"/>
    <mergeCell ref="B24:G24"/>
    <mergeCell ref="P25:X25"/>
    <mergeCell ref="P28:X28"/>
    <mergeCell ref="P30:T30"/>
    <mergeCell ref="I9:M29"/>
    <mergeCell ref="P9:T10"/>
    <mergeCell ref="C21:G22"/>
    <mergeCell ref="B25:G29"/>
    <mergeCell ref="P14:X14"/>
    <mergeCell ref="P17:X17"/>
    <mergeCell ref="B18:C18"/>
    <mergeCell ref="P19:T19"/>
    <mergeCell ref="S22:U22"/>
    <mergeCell ref="V22:X22"/>
    <mergeCell ref="B21:B22"/>
    <mergeCell ref="V20:V21"/>
    <mergeCell ref="W20:W21"/>
    <mergeCell ref="P23:P24"/>
    <mergeCell ref="P34:P35"/>
  </mergeCells>
  <phoneticPr fontId="50"/>
  <dataValidations count="1">
    <dataValidation type="list" operator="equal" sqref="U9 U20 U31 U42 U53" xr:uid="{0CF4EC20-DBD5-438F-BAA7-64D9A302C612}">
      <formula1>"－,近,遠,遠近両用"</formula1>
    </dataValidation>
  </dataValidations>
  <pageMargins left="0.78749999999999998" right="0.78749999999999998" top="1.0527777777777778" bottom="1.0527777777777778" header="0.78749999999999998" footer="0.78749999999999998"/>
  <pageSetup paperSize="9" orientation="portrait" horizontalDpi="300" verticalDpi="300"/>
  <headerFooter scaleWithDoc="0" alignWithMargins="0">
    <oddHeader>&amp;C&amp;"Times New Roman,標準"&amp;12&amp;A</oddHeader>
    <oddFooter>&amp;C&amp;"Times New Roman,標準"&amp;12ページ &amp;P</oddFooter>
  </headerFooter>
  <drawing r:id="rId1"/>
  <legacyDrawing r:id="rId2"/>
  <mc:AlternateContent xmlns:mc="http://schemas.openxmlformats.org/markup-compatibility/2006">
    <mc:Choice Requires="x14">
      <controls>
        <mc:AlternateContent xmlns:mc="http://schemas.openxmlformats.org/markup-compatibility/2006">
          <mc:Choice Requires="x14">
            <control shapeId="7169" r:id="rId3" name="察知">
              <controlPr defaultSize="0" autoFill="0" autoLine="0" autoPict="0" altText="察知">
                <anchor moveWithCells="1" sizeWithCells="1">
                  <from>
                    <xdr:col>6</xdr:col>
                    <xdr:colOff>76200</xdr:colOff>
                    <xdr:row>11</xdr:row>
                    <xdr:rowOff>0</xdr:rowOff>
                  </from>
                  <to>
                    <xdr:col>7</xdr:col>
                    <xdr:colOff>57150</xdr:colOff>
                    <xdr:row>11</xdr:row>
                    <xdr:rowOff>161925</xdr:rowOff>
                  </to>
                </anchor>
              </controlPr>
            </control>
          </mc:Choice>
        </mc:AlternateContent>
        <mc:AlternateContent xmlns:mc="http://schemas.openxmlformats.org/markup-compatibility/2006">
          <mc:Choice Requires="x14">
            <control shapeId="7170" r:id="rId4" name="技術">
              <controlPr defaultSize="0" autoFill="0" autoLine="0" autoPict="0" altText="技術">
                <anchor moveWithCells="1" sizeWithCells="1">
                  <from>
                    <xdr:col>6</xdr:col>
                    <xdr:colOff>76200</xdr:colOff>
                    <xdr:row>12</xdr:row>
                    <xdr:rowOff>0</xdr:rowOff>
                  </from>
                  <to>
                    <xdr:col>7</xdr:col>
                    <xdr:colOff>57150</xdr:colOff>
                    <xdr:row>12</xdr:row>
                    <xdr:rowOff>161925</xdr:rowOff>
                  </to>
                </anchor>
              </controlPr>
            </control>
          </mc:Choice>
        </mc:AlternateContent>
        <mc:AlternateContent xmlns:mc="http://schemas.openxmlformats.org/markup-compatibility/2006">
          <mc:Choice Requires="x14">
            <control shapeId="7171" r:id="rId5" name="俊敏">
              <controlPr defaultSize="0" autoFill="0" autoLine="0" autoPict="0" altText="俊敏">
                <anchor moveWithCells="1" sizeWithCells="1">
                  <from>
                    <xdr:col>6</xdr:col>
                    <xdr:colOff>76200</xdr:colOff>
                    <xdr:row>13</xdr:row>
                    <xdr:rowOff>0</xdr:rowOff>
                  </from>
                  <to>
                    <xdr:col>7</xdr:col>
                    <xdr:colOff>57150</xdr:colOff>
                    <xdr:row>13</xdr:row>
                    <xdr:rowOff>161925</xdr:rowOff>
                  </to>
                </anchor>
              </controlPr>
            </control>
          </mc:Choice>
        </mc:AlternateContent>
        <mc:AlternateContent xmlns:mc="http://schemas.openxmlformats.org/markup-compatibility/2006">
          <mc:Choice Requires="x14">
            <control shapeId="7172" r:id="rId6" name="読心">
              <controlPr defaultSize="0" autoFill="0" autoLine="0" autoPict="0" altText="読心">
                <anchor moveWithCells="1" sizeWithCells="1">
                  <from>
                    <xdr:col>6</xdr:col>
                    <xdr:colOff>76200</xdr:colOff>
                    <xdr:row>14</xdr:row>
                    <xdr:rowOff>0</xdr:rowOff>
                  </from>
                  <to>
                    <xdr:col>7</xdr:col>
                    <xdr:colOff>57150</xdr:colOff>
                    <xdr:row>14</xdr:row>
                    <xdr:rowOff>161925</xdr:rowOff>
                  </to>
                </anchor>
              </controlPr>
            </control>
          </mc:Choice>
        </mc:AlternateContent>
        <mc:AlternateContent xmlns:mc="http://schemas.openxmlformats.org/markup-compatibility/2006">
          <mc:Choice Requires="x14">
            <control shapeId="7173" r:id="rId7" name="幸運">
              <controlPr defaultSize="0" autoFill="0" autoLine="0" autoPict="0" altText="幸運">
                <anchor moveWithCells="1" sizeWithCells="1">
                  <from>
                    <xdr:col>6</xdr:col>
                    <xdr:colOff>76200</xdr:colOff>
                    <xdr:row>15</xdr:row>
                    <xdr:rowOff>0</xdr:rowOff>
                  </from>
                  <to>
                    <xdr:col>7</xdr:col>
                    <xdr:colOff>57150</xdr:colOff>
                    <xdr:row>15</xdr:row>
                    <xdr:rowOff>161925</xdr:rowOff>
                  </to>
                </anchor>
              </controlPr>
            </control>
          </mc:Choice>
        </mc:AlternateContent>
        <mc:AlternateContent xmlns:mc="http://schemas.openxmlformats.org/markup-compatibility/2006">
          <mc:Choice Requires="x14">
            <control shapeId="7174" r:id="rId8" name="閃き">
              <controlPr defaultSize="0" autoFill="0" autoLine="0" autoPict="0" altText="閃き">
                <anchor moveWithCells="1" sizeWithCells="1">
                  <from>
                    <xdr:col>5</xdr:col>
                    <xdr:colOff>76200</xdr:colOff>
                    <xdr:row>15</xdr:row>
                    <xdr:rowOff>0</xdr:rowOff>
                  </from>
                  <to>
                    <xdr:col>6</xdr:col>
                    <xdr:colOff>57150</xdr:colOff>
                    <xdr:row>15</xdr:row>
                    <xdr:rowOff>161925</xdr:rowOff>
                  </to>
                </anchor>
              </controlPr>
            </control>
          </mc:Choice>
        </mc:AlternateContent>
        <mc:AlternateContent xmlns:mc="http://schemas.openxmlformats.org/markup-compatibility/2006">
          <mc:Choice Requires="x14">
            <control shapeId="7175" r:id="rId9" name="話術">
              <controlPr defaultSize="0" autoFill="0" autoLine="0" autoPict="0" altText="話術">
                <anchor moveWithCells="1" sizeWithCells="1">
                  <from>
                    <xdr:col>5</xdr:col>
                    <xdr:colOff>76200</xdr:colOff>
                    <xdr:row>14</xdr:row>
                    <xdr:rowOff>0</xdr:rowOff>
                  </from>
                  <to>
                    <xdr:col>6</xdr:col>
                    <xdr:colOff>57150</xdr:colOff>
                    <xdr:row>14</xdr:row>
                    <xdr:rowOff>161925</xdr:rowOff>
                  </to>
                </anchor>
              </controlPr>
            </control>
          </mc:Choice>
        </mc:AlternateContent>
        <mc:AlternateContent xmlns:mc="http://schemas.openxmlformats.org/markup-compatibility/2006">
          <mc:Choice Requires="x14">
            <control shapeId="7176" r:id="rId10" name="隠密">
              <controlPr defaultSize="0" autoFill="0" autoLine="0" autoPict="0" altText="隠密">
                <anchor moveWithCells="1" sizeWithCells="1">
                  <from>
                    <xdr:col>5</xdr:col>
                    <xdr:colOff>76200</xdr:colOff>
                    <xdr:row>13</xdr:row>
                    <xdr:rowOff>0</xdr:rowOff>
                  </from>
                  <to>
                    <xdr:col>6</xdr:col>
                    <xdr:colOff>57150</xdr:colOff>
                    <xdr:row>13</xdr:row>
                    <xdr:rowOff>161925</xdr:rowOff>
                  </to>
                </anchor>
              </controlPr>
            </control>
          </mc:Choice>
        </mc:AlternateContent>
        <mc:AlternateContent xmlns:mc="http://schemas.openxmlformats.org/markup-compatibility/2006">
          <mc:Choice Requires="x14">
            <control shapeId="7177" r:id="rId11" name="知識">
              <controlPr defaultSize="0" autoFill="0" autoLine="0" autoPict="0" altText="知識">
                <anchor moveWithCells="1" sizeWithCells="1">
                  <from>
                    <xdr:col>5</xdr:col>
                    <xdr:colOff>76200</xdr:colOff>
                    <xdr:row>12</xdr:row>
                    <xdr:rowOff>0</xdr:rowOff>
                  </from>
                  <to>
                    <xdr:col>6</xdr:col>
                    <xdr:colOff>57150</xdr:colOff>
                    <xdr:row>12</xdr:row>
                    <xdr:rowOff>161925</xdr:rowOff>
                  </to>
                </anchor>
              </controlPr>
            </control>
          </mc:Choice>
        </mc:AlternateContent>
        <mc:AlternateContent xmlns:mc="http://schemas.openxmlformats.org/markup-compatibility/2006">
          <mc:Choice Requires="x14">
            <control shapeId="7178" r:id="rId12" name="観察眼">
              <controlPr defaultSize="0" autoFill="0" autoLine="0" autoPict="0" altText="観察眼">
                <anchor moveWithCells="1" sizeWithCells="1">
                  <from>
                    <xdr:col>5</xdr:col>
                    <xdr:colOff>76200</xdr:colOff>
                    <xdr:row>11</xdr:row>
                    <xdr:rowOff>0</xdr:rowOff>
                  </from>
                  <to>
                    <xdr:col>6</xdr:col>
                    <xdr:colOff>57150</xdr:colOff>
                    <xdr:row>11</xdr:row>
                    <xdr:rowOff>161925</xdr:rowOff>
                  </to>
                </anchor>
              </controlPr>
            </control>
          </mc:Choice>
        </mc:AlternateContent>
        <mc:AlternateContent xmlns:mc="http://schemas.openxmlformats.org/markup-compatibility/2006">
          <mc:Choice Requires="x14">
            <control shapeId="7179" r:id="rId13" name="力技">
              <controlPr defaultSize="0" autoFill="0" autoLine="0" autoPict="0" altText="力技">
                <anchor moveWithCells="1" sizeWithCells="1">
                  <from>
                    <xdr:col>5</xdr:col>
                    <xdr:colOff>76200</xdr:colOff>
                    <xdr:row>10</xdr:row>
                    <xdr:rowOff>0</xdr:rowOff>
                  </from>
                  <to>
                    <xdr:col>6</xdr:col>
                    <xdr:colOff>57150</xdr:colOff>
                    <xdr:row>10</xdr:row>
                    <xdr:rowOff>161925</xdr:rowOff>
                  </to>
                </anchor>
              </controlPr>
            </control>
          </mc:Choice>
        </mc:AlternateContent>
        <mc:AlternateContent xmlns:mc="http://schemas.openxmlformats.org/markup-compatibility/2006">
          <mc:Choice Requires="x14">
            <control shapeId="7180" r:id="rId14" name="威圧">
              <controlPr defaultSize="0" autoFill="0" autoLine="0" autoPict="0" altText="威圧">
                <anchor moveWithCells="1" sizeWithCells="1">
                  <from>
                    <xdr:col>6</xdr:col>
                    <xdr:colOff>76200</xdr:colOff>
                    <xdr:row>10</xdr:row>
                    <xdr:rowOff>0</xdr:rowOff>
                  </from>
                  <to>
                    <xdr:col>7</xdr:col>
                    <xdr:colOff>57150</xdr:colOff>
                    <xdr:row>10</xdr:row>
                    <xdr:rowOff>161925</xdr:rowOff>
                  </to>
                </anchor>
              </controlPr>
            </control>
          </mc:Choice>
        </mc:AlternateContent>
      </controls>
    </mc:Choice>
  </mc:AlternateContent>
  <extLst>
    <ext xmlns:x14="http://schemas.microsoft.com/office/spreadsheetml/2009/9/main" uri="{CCE6A557-97BC-4b89-ADB6-D9C93CAAB3DF}">
      <x14:dataValidations xmlns:xm="http://schemas.microsoft.com/office/excel/2006/main" count="10">
        <x14:dataValidation type="list" operator="equal" allowBlank="1" xr:uid="{00000000-0002-0000-0700-000002000000}">
          <x14:formula1>
            <xm:f>クリーチャー!$AB$3:$AB$6</xm:f>
          </x14:formula1>
          <xm:sqref>L2</xm:sqref>
        </x14:dataValidation>
        <x14:dataValidation type="list" operator="equal" allowBlank="1" showErrorMessage="1" xr:uid="{00000000-0002-0000-0700-000004000000}">
          <x14:formula1>
            <xm:f>リスト!$A$2:$A$8</xm:f>
          </x14:formula1>
          <xm:sqref>L5</xm:sqref>
        </x14:dataValidation>
        <x14:dataValidation type="list" operator="equal" allowBlank="1" xr:uid="{00000000-0002-0000-0700-000008000000}">
          <x14:formula1>
            <xm:f>クリーチャー!$AD$2:$AD$12</xm:f>
          </x14:formula1>
          <xm:sqref>M2:M3</xm:sqref>
        </x14:dataValidation>
        <x14:dataValidation type="list" operator="equal" allowBlank="1" showErrorMessage="1" xr:uid="{00000000-0002-0000-0700-000009000000}">
          <x14:formula1>
            <xm:f>クリーチャー!$A$2:$A$8</xm:f>
          </x14:formula1>
          <xm:sqref>M5:M6</xm:sqref>
        </x14:dataValidation>
        <x14:dataValidation type="list" operator="equal" allowBlank="1" xr:uid="{00000000-0002-0000-0700-000001000000}">
          <x14:formula1>
            <xm:f>リスト!$AB$2:$AB$5</xm:f>
          </x14:formula1>
          <xm:sqref>K2</xm:sqref>
        </x14:dataValidation>
        <x14:dataValidation type="list" operator="equal" allowBlank="1" xr:uid="{00000000-0002-0000-0700-000003000000}">
          <x14:formula1>
            <xm:f>リスト!$AD$2:$AD$12</xm:f>
          </x14:formula1>
          <xm:sqref>D5</xm:sqref>
        </x14:dataValidation>
        <x14:dataValidation type="list" operator="equal" allowBlank="1" xr:uid="{F7909A1A-5DAB-4AC1-BEBD-6773F4C0C5FD}">
          <x14:formula1>
            <xm:f>リスト!$T$26:$T$33</xm:f>
          </x14:formula1>
          <xm:sqref>V9 V53 V42 V31 V20</xm:sqref>
        </x14:dataValidation>
        <x14:dataValidation type="list" operator="equal" allowBlank="1" xr:uid="{00000000-0002-0000-0700-000006000000}">
          <x14:formula1>
            <xm:f>リスト!$V$2:$V$8</xm:f>
          </x14:formula1>
          <xm:sqref>F11:F15 P12:R12 P56:R56 P45:R45 P34:R34 P23:R23</xm:sqref>
        </x14:dataValidation>
        <x14:dataValidation type="list" operator="equal" allowBlank="1" xr:uid="{00000000-0002-0000-0700-000007000000}">
          <x14:formula1>
            <xm:f>リスト!$Z$2:$Z$16</xm:f>
          </x14:formula1>
          <xm:sqref>G11:G15 V56:X57 V45:X46 V34:X35 V23:X24 V12:X13</xm:sqref>
        </x14:dataValidation>
        <x14:dataValidation type="list" operator="equal" allowBlank="1" xr:uid="{33248A06-4DBD-4AF4-84F7-F675B404CCC6}">
          <x14:formula1>
            <xm:f>リスト!$X$2:$X$55</xm:f>
          </x14:formula1>
          <xm:sqref>S23:U24 S56:U57 S45:U46 S34:U35 S12:U13</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010715-BFF7-4AA4-A592-C13150893E2E}">
  <sheetPr codeName="Sheet9"/>
  <dimension ref="A1:IT65536"/>
  <sheetViews>
    <sheetView zoomScaleNormal="100" workbookViewId="0">
      <pane xSplit="12" topLeftCell="M1" activePane="topRight" state="frozen"/>
      <selection pane="topRight"/>
    </sheetView>
  </sheetViews>
  <sheetFormatPr defaultColWidth="6.5703125" defaultRowHeight="14.1" customHeight="1" x14ac:dyDescent="0.15"/>
  <sheetData>
    <row r="1" spans="1:254" ht="12.75" customHeight="1" x14ac:dyDescent="0.15">
      <c r="A1" t="s">
        <v>640</v>
      </c>
    </row>
    <row r="2" spans="1:254" ht="12.75" customHeight="1" x14ac:dyDescent="0.15">
      <c r="A2" t="s">
        <v>641</v>
      </c>
    </row>
    <row r="3" spans="1:254" ht="12.75" customHeight="1" x14ac:dyDescent="0.15">
      <c r="A3" t="s">
        <v>642</v>
      </c>
    </row>
    <row r="4" spans="1:254" ht="12.75" customHeight="1" x14ac:dyDescent="0.15">
      <c r="A4" t="s">
        <v>643</v>
      </c>
    </row>
    <row r="5" spans="1:254" ht="14.1" customHeight="1" x14ac:dyDescent="0.15">
      <c r="A5" t="s">
        <v>644</v>
      </c>
    </row>
    <row r="6" spans="1:254" ht="14.1" customHeight="1" thickBot="1" x14ac:dyDescent="0.2"/>
    <row r="7" spans="1:254" ht="14.1" customHeight="1" thickBot="1" x14ac:dyDescent="0.2">
      <c r="A7" s="79"/>
      <c r="B7" s="2" t="s">
        <v>460</v>
      </c>
      <c r="F7" s="995" t="s">
        <v>645</v>
      </c>
      <c r="G7" s="996"/>
      <c r="H7" s="996"/>
      <c r="I7" s="996"/>
      <c r="J7" s="996"/>
      <c r="K7" s="997"/>
    </row>
    <row r="8" spans="1:254" ht="14.1" customHeight="1" thickBot="1" x14ac:dyDescent="0.2">
      <c r="A8" s="3"/>
      <c r="B8" s="2" t="s">
        <v>461</v>
      </c>
      <c r="F8" s="986"/>
      <c r="G8" s="987"/>
      <c r="H8" s="987"/>
      <c r="I8" s="987"/>
      <c r="J8" s="987"/>
      <c r="K8" s="988"/>
    </row>
    <row r="9" spans="1:254" s="82" customFormat="1" ht="14.1" customHeight="1" thickBot="1" x14ac:dyDescent="0.2">
      <c r="A9"/>
      <c r="B9"/>
      <c r="C9" s="300"/>
      <c r="D9" s="300"/>
      <c r="E9" s="300"/>
      <c r="F9" s="989"/>
      <c r="G9" s="990"/>
      <c r="H9" s="990"/>
      <c r="I9" s="990"/>
      <c r="J9" s="990"/>
      <c r="K9" s="991"/>
      <c r="L9" s="81"/>
      <c r="M9" s="998" t="s">
        <v>646</v>
      </c>
      <c r="N9" s="983" t="s">
        <v>647</v>
      </c>
      <c r="O9" s="983"/>
      <c r="P9" s="983"/>
      <c r="Q9" s="983"/>
      <c r="R9" s="983"/>
      <c r="S9" s="983"/>
      <c r="T9" s="983"/>
      <c r="U9" s="983"/>
      <c r="V9" s="983"/>
      <c r="W9" s="983"/>
      <c r="X9" s="983"/>
      <c r="Y9" s="983"/>
      <c r="Z9" s="983"/>
      <c r="AA9" s="983"/>
      <c r="AB9" s="983"/>
      <c r="AC9" s="983"/>
      <c r="AD9" s="983"/>
      <c r="AE9" s="983"/>
      <c r="AF9" s="983"/>
      <c r="AG9" s="983"/>
      <c r="AH9" s="983"/>
      <c r="AI9" s="983"/>
      <c r="AJ9" s="983"/>
      <c r="AK9" s="983"/>
      <c r="AL9" s="983"/>
      <c r="AM9" s="983"/>
      <c r="AN9" s="983"/>
      <c r="AO9" s="983"/>
      <c r="AP9" s="983"/>
      <c r="AQ9" s="983"/>
      <c r="AR9" s="983"/>
      <c r="AS9" s="983"/>
      <c r="AT9" s="983"/>
      <c r="AU9" s="983"/>
      <c r="AV9" s="983"/>
      <c r="AW9" s="983"/>
      <c r="AX9" s="983"/>
      <c r="AY9" s="983"/>
      <c r="AZ9" s="983"/>
      <c r="BA9" s="983"/>
      <c r="BB9" s="983"/>
      <c r="BC9" s="983"/>
      <c r="BD9" s="983"/>
      <c r="BE9" s="983"/>
      <c r="BF9" s="983"/>
      <c r="BG9" s="983"/>
      <c r="BH9" s="983"/>
      <c r="BI9" s="983"/>
      <c r="BJ9" s="983"/>
      <c r="BK9" s="983"/>
      <c r="BL9" s="983"/>
      <c r="BM9" s="983"/>
      <c r="BN9" s="983"/>
      <c r="BO9" s="983"/>
      <c r="BP9" s="983"/>
      <c r="BQ9" s="983"/>
      <c r="BR9" s="983"/>
      <c r="BS9" s="983"/>
      <c r="BT9" s="983"/>
      <c r="BU9" s="983"/>
      <c r="BV9" s="983"/>
      <c r="BW9" s="983"/>
      <c r="BX9" s="983"/>
      <c r="BY9" s="983"/>
      <c r="BZ9" s="983"/>
      <c r="CA9" s="983"/>
      <c r="CB9" s="983"/>
      <c r="CC9" s="983"/>
      <c r="CD9" s="983"/>
      <c r="CE9" s="983"/>
      <c r="CF9" s="983"/>
      <c r="CG9" s="983"/>
      <c r="CH9" s="983"/>
      <c r="CI9" s="983"/>
      <c r="CJ9" s="983"/>
      <c r="CK9" s="983"/>
      <c r="CL9" s="983"/>
      <c r="CM9" s="983"/>
      <c r="CN9" s="983"/>
      <c r="CO9" s="983"/>
      <c r="CP9" s="983"/>
      <c r="CQ9" s="983"/>
      <c r="CR9" s="983"/>
      <c r="CS9" s="983"/>
      <c r="CT9" s="983"/>
      <c r="CU9" s="983"/>
      <c r="CV9" s="983"/>
      <c r="CW9" s="983"/>
      <c r="CX9" s="983"/>
      <c r="CY9" s="983"/>
      <c r="CZ9" s="983"/>
      <c r="DA9" s="983"/>
      <c r="DB9" s="983"/>
      <c r="DC9" s="983"/>
      <c r="DD9" s="983"/>
      <c r="DE9" s="983"/>
      <c r="DF9" s="983"/>
      <c r="DG9" s="983"/>
      <c r="DH9" s="983"/>
      <c r="DI9" s="983"/>
      <c r="DJ9" s="983"/>
      <c r="DK9" s="983"/>
      <c r="DL9" s="983"/>
      <c r="DM9" s="983"/>
      <c r="DN9" s="983"/>
      <c r="DO9" s="983"/>
      <c r="DP9" s="983"/>
      <c r="DQ9" s="983"/>
      <c r="DR9" s="983"/>
      <c r="DS9" s="983"/>
      <c r="DT9" s="983"/>
      <c r="DU9" s="983"/>
      <c r="DV9" s="983"/>
      <c r="DW9" s="983"/>
      <c r="DX9" s="983"/>
      <c r="DY9" s="983"/>
      <c r="DZ9" s="983"/>
      <c r="EA9" s="983"/>
      <c r="EB9" s="983"/>
      <c r="EC9" s="983"/>
      <c r="ED9" s="983"/>
      <c r="EE9" s="983"/>
      <c r="EF9" s="983"/>
      <c r="EG9" s="983"/>
      <c r="EH9" s="983"/>
      <c r="EI9" s="983"/>
      <c r="EJ9" s="983"/>
      <c r="EK9" s="983"/>
      <c r="EL9" s="983"/>
      <c r="EM9" s="983"/>
      <c r="EN9" s="983"/>
      <c r="EO9" s="983"/>
      <c r="EP9" s="983"/>
      <c r="EQ9" s="983"/>
      <c r="ER9" s="983"/>
      <c r="ES9" s="983"/>
      <c r="ET9" s="983"/>
      <c r="EU9" s="983"/>
      <c r="EV9" s="983"/>
      <c r="EW9" s="983"/>
      <c r="EX9" s="983"/>
      <c r="EY9" s="983"/>
      <c r="EZ9" s="983"/>
      <c r="FA9" s="983"/>
      <c r="FB9" s="983"/>
      <c r="FC9" s="983"/>
      <c r="FD9" s="983"/>
      <c r="FE9" s="983"/>
      <c r="FF9" s="983"/>
      <c r="FG9" s="983"/>
      <c r="FH9" s="983"/>
      <c r="FI9" s="983"/>
      <c r="FJ9" s="983"/>
      <c r="FK9" s="983"/>
      <c r="FL9" s="983"/>
      <c r="FM9" s="983"/>
      <c r="FN9" s="983"/>
      <c r="FO9" s="983"/>
      <c r="FP9" s="983"/>
      <c r="FQ9" s="983"/>
      <c r="FR9" s="983"/>
      <c r="FS9" s="983"/>
      <c r="FT9" s="983"/>
      <c r="FU9" s="983"/>
      <c r="FV9" s="983"/>
      <c r="FW9" s="983"/>
      <c r="FX9" s="983"/>
      <c r="FY9" s="983"/>
      <c r="FZ9" s="983"/>
      <c r="GA9" s="983"/>
      <c r="GB9" s="983"/>
      <c r="GC9" s="983"/>
      <c r="GD9" s="983"/>
      <c r="GE9" s="983"/>
      <c r="GF9" s="983"/>
      <c r="GG9" s="983"/>
      <c r="GH9" s="983"/>
      <c r="GI9" s="983"/>
      <c r="GJ9" s="983"/>
      <c r="GK9" s="983"/>
      <c r="GL9" s="983"/>
      <c r="GM9" s="983"/>
      <c r="GN9" s="983"/>
      <c r="GO9" s="983"/>
      <c r="GP9" s="983"/>
      <c r="GQ9" s="983"/>
      <c r="GR9" s="983"/>
      <c r="GS9" s="983"/>
      <c r="GT9" s="983"/>
      <c r="GU9" s="983"/>
      <c r="GV9" s="983"/>
      <c r="GW9" s="983"/>
      <c r="GX9" s="983"/>
      <c r="GY9" s="983"/>
      <c r="GZ9" s="983"/>
      <c r="HA9" s="983"/>
      <c r="HB9" s="983"/>
      <c r="HC9" s="983"/>
      <c r="HD9" s="983"/>
      <c r="HE9" s="983"/>
      <c r="HF9" s="983"/>
      <c r="HG9" s="983"/>
      <c r="HH9" s="983"/>
      <c r="HI9" s="983"/>
      <c r="HJ9" s="983"/>
      <c r="HK9" s="983"/>
      <c r="HL9" s="983"/>
      <c r="HM9" s="983"/>
      <c r="HN9" s="983"/>
      <c r="HO9" s="983"/>
      <c r="HP9" s="983"/>
      <c r="HQ9" s="983"/>
      <c r="HR9" s="983"/>
      <c r="HS9" s="983"/>
      <c r="HT9" s="983"/>
      <c r="HU9" s="983"/>
      <c r="HV9" s="983"/>
      <c r="HW9" s="983"/>
      <c r="HX9" s="983"/>
      <c r="HY9" s="983"/>
      <c r="HZ9" s="983"/>
      <c r="IA9" s="983"/>
      <c r="IB9" s="983"/>
      <c r="IC9" s="983"/>
      <c r="ID9" s="983"/>
      <c r="IE9" s="983"/>
      <c r="IF9" s="983"/>
      <c r="IG9" s="983"/>
      <c r="IH9" s="983"/>
      <c r="II9" s="983"/>
      <c r="IJ9" s="983"/>
      <c r="IK9" s="983"/>
      <c r="IL9" s="984"/>
      <c r="IM9"/>
      <c r="IN9"/>
      <c r="IO9"/>
      <c r="IP9"/>
      <c r="IQ9"/>
      <c r="IR9"/>
      <c r="IS9"/>
      <c r="IT9"/>
    </row>
    <row r="10" spans="1:254" s="82" customFormat="1" ht="14.1" customHeight="1" thickBot="1" x14ac:dyDescent="0.2">
      <c r="A10" s="4"/>
      <c r="B10" s="2" t="s">
        <v>462</v>
      </c>
      <c r="C10" s="300"/>
      <c r="D10" s="300"/>
      <c r="E10" s="300"/>
      <c r="F10" s="989"/>
      <c r="G10" s="990"/>
      <c r="H10" s="990"/>
      <c r="I10" s="990"/>
      <c r="J10" s="990"/>
      <c r="K10" s="991"/>
      <c r="L10" s="81"/>
      <c r="M10" s="998"/>
      <c r="N10" s="998"/>
      <c r="O10" s="998"/>
      <c r="P10" s="983"/>
      <c r="Q10" s="983"/>
      <c r="R10" s="983"/>
      <c r="S10" s="983"/>
      <c r="T10" s="983"/>
      <c r="U10" s="983"/>
      <c r="V10" s="983"/>
      <c r="W10" s="983"/>
      <c r="X10" s="983"/>
      <c r="Y10" s="983"/>
      <c r="Z10" s="983"/>
      <c r="AA10" s="983"/>
      <c r="AB10" s="983"/>
      <c r="AC10" s="983"/>
      <c r="AD10" s="983"/>
      <c r="AE10" s="983"/>
      <c r="AF10" s="983"/>
      <c r="AG10" s="983"/>
      <c r="AH10" s="983"/>
      <c r="AI10" s="983"/>
      <c r="AJ10" s="983"/>
      <c r="AK10" s="983"/>
      <c r="AL10" s="983"/>
      <c r="AM10" s="983"/>
      <c r="AN10" s="983"/>
      <c r="AO10" s="983"/>
      <c r="AP10" s="983"/>
      <c r="AQ10" s="983"/>
      <c r="AR10" s="983"/>
      <c r="AS10" s="983"/>
      <c r="AT10" s="983"/>
      <c r="AU10" s="983"/>
      <c r="AV10" s="983"/>
      <c r="AW10" s="983"/>
      <c r="AX10" s="983"/>
      <c r="AY10" s="983"/>
      <c r="AZ10" s="983"/>
      <c r="BA10" s="983"/>
      <c r="BB10" s="983"/>
      <c r="BC10" s="983"/>
      <c r="BD10" s="983"/>
      <c r="BE10" s="983"/>
      <c r="BF10" s="983"/>
      <c r="BG10" s="983"/>
      <c r="BH10" s="983"/>
      <c r="BI10" s="983"/>
      <c r="BJ10" s="983"/>
      <c r="BK10" s="983"/>
      <c r="BL10" s="983"/>
      <c r="BM10" s="983"/>
      <c r="BN10" s="983"/>
      <c r="BO10" s="983"/>
      <c r="BP10" s="983"/>
      <c r="BQ10" s="983"/>
      <c r="BR10" s="983"/>
      <c r="BS10" s="983"/>
      <c r="BT10" s="983"/>
      <c r="BU10" s="983"/>
      <c r="BV10" s="983"/>
      <c r="BW10" s="983"/>
      <c r="BX10" s="983"/>
      <c r="BY10" s="983"/>
      <c r="BZ10" s="983"/>
      <c r="CA10" s="983"/>
      <c r="CB10" s="983"/>
      <c r="CC10" s="983"/>
      <c r="CD10" s="983"/>
      <c r="CE10" s="983"/>
      <c r="CF10" s="983"/>
      <c r="CG10" s="983"/>
      <c r="CH10" s="983"/>
      <c r="CI10" s="983"/>
      <c r="CJ10" s="983"/>
      <c r="CK10" s="983"/>
      <c r="CL10" s="983"/>
      <c r="CM10" s="983"/>
      <c r="CN10" s="983"/>
      <c r="CO10" s="983"/>
      <c r="CP10" s="983"/>
      <c r="CQ10" s="983"/>
      <c r="CR10" s="983"/>
      <c r="CS10" s="983"/>
      <c r="CT10" s="983"/>
      <c r="CU10" s="983"/>
      <c r="CV10" s="983"/>
      <c r="CW10" s="983"/>
      <c r="CX10" s="983"/>
      <c r="CY10" s="983"/>
      <c r="CZ10" s="983"/>
      <c r="DA10" s="983"/>
      <c r="DB10" s="983"/>
      <c r="DC10" s="983"/>
      <c r="DD10" s="983"/>
      <c r="DE10" s="983"/>
      <c r="DF10" s="983"/>
      <c r="DG10" s="983"/>
      <c r="DH10" s="983"/>
      <c r="DI10" s="983"/>
      <c r="DJ10" s="983"/>
      <c r="DK10" s="983"/>
      <c r="DL10" s="983"/>
      <c r="DM10" s="983"/>
      <c r="DN10" s="983"/>
      <c r="DO10" s="983"/>
      <c r="DP10" s="983"/>
      <c r="DQ10" s="983"/>
      <c r="DR10" s="983"/>
      <c r="DS10" s="983"/>
      <c r="DT10" s="983"/>
      <c r="DU10" s="983"/>
      <c r="DV10" s="983"/>
      <c r="DW10" s="983"/>
      <c r="DX10" s="983"/>
      <c r="DY10" s="983"/>
      <c r="DZ10" s="983"/>
      <c r="EA10" s="983"/>
      <c r="EB10" s="983"/>
      <c r="EC10" s="983"/>
      <c r="ED10" s="983"/>
      <c r="EE10" s="983"/>
      <c r="EF10" s="983"/>
      <c r="EG10" s="983"/>
      <c r="EH10" s="983"/>
      <c r="EI10" s="983"/>
      <c r="EJ10" s="983"/>
      <c r="EK10" s="983"/>
      <c r="EL10" s="983"/>
      <c r="EM10" s="983"/>
      <c r="EN10" s="983"/>
      <c r="EO10" s="983"/>
      <c r="EP10" s="983"/>
      <c r="EQ10" s="983"/>
      <c r="ER10" s="983"/>
      <c r="ES10" s="983"/>
      <c r="ET10" s="983"/>
      <c r="EU10" s="983"/>
      <c r="EV10" s="983"/>
      <c r="EW10" s="983"/>
      <c r="EX10" s="983"/>
      <c r="EY10" s="983"/>
      <c r="EZ10" s="983"/>
      <c r="FA10" s="983"/>
      <c r="FB10" s="983"/>
      <c r="FC10" s="983"/>
      <c r="FD10" s="983"/>
      <c r="FE10" s="983"/>
      <c r="FF10" s="983"/>
      <c r="FG10" s="983"/>
      <c r="FH10" s="983"/>
      <c r="FI10" s="983"/>
      <c r="FJ10" s="983"/>
      <c r="FK10" s="983"/>
      <c r="FL10" s="983"/>
      <c r="FM10" s="983"/>
      <c r="FN10" s="983"/>
      <c r="FO10" s="983"/>
      <c r="FP10" s="983"/>
      <c r="FQ10" s="983"/>
      <c r="FR10" s="983"/>
      <c r="FS10" s="983"/>
      <c r="FT10" s="983"/>
      <c r="FU10" s="983"/>
      <c r="FV10" s="983"/>
      <c r="FW10" s="983"/>
      <c r="FX10" s="983"/>
      <c r="FY10" s="983"/>
      <c r="FZ10" s="983"/>
      <c r="GA10" s="983"/>
      <c r="GB10" s="983"/>
      <c r="GC10" s="983"/>
      <c r="GD10" s="983"/>
      <c r="GE10" s="983"/>
      <c r="GF10" s="983"/>
      <c r="GG10" s="983"/>
      <c r="GH10" s="983"/>
      <c r="GI10" s="983"/>
      <c r="GJ10" s="983"/>
      <c r="GK10" s="983"/>
      <c r="GL10" s="983"/>
      <c r="GM10" s="983"/>
      <c r="GN10" s="983"/>
      <c r="GO10" s="983"/>
      <c r="GP10" s="983"/>
      <c r="GQ10" s="983"/>
      <c r="GR10" s="983"/>
      <c r="GS10" s="983"/>
      <c r="GT10" s="983"/>
      <c r="GU10" s="983"/>
      <c r="GV10" s="983"/>
      <c r="GW10" s="983"/>
      <c r="GX10" s="983"/>
      <c r="GY10" s="983"/>
      <c r="GZ10" s="983"/>
      <c r="HA10" s="983"/>
      <c r="HB10" s="983"/>
      <c r="HC10" s="983"/>
      <c r="HD10" s="983"/>
      <c r="HE10" s="983"/>
      <c r="HF10" s="983"/>
      <c r="HG10" s="983"/>
      <c r="HH10" s="983"/>
      <c r="HI10" s="983"/>
      <c r="HJ10" s="983"/>
      <c r="HK10" s="983"/>
      <c r="HL10" s="983"/>
      <c r="HM10" s="983"/>
      <c r="HN10" s="983"/>
      <c r="HO10" s="983"/>
      <c r="HP10" s="983"/>
      <c r="HQ10" s="983"/>
      <c r="HR10" s="983"/>
      <c r="HS10" s="983"/>
      <c r="HT10" s="983"/>
      <c r="HU10" s="983"/>
      <c r="HV10" s="983"/>
      <c r="HW10" s="983"/>
      <c r="HX10" s="983"/>
      <c r="HY10" s="983"/>
      <c r="HZ10" s="983"/>
      <c r="IA10" s="983"/>
      <c r="IB10" s="983"/>
      <c r="IC10" s="983"/>
      <c r="ID10" s="983"/>
      <c r="IE10" s="983"/>
      <c r="IF10" s="983"/>
      <c r="IG10" s="983"/>
      <c r="IH10" s="983"/>
      <c r="II10" s="983"/>
      <c r="IJ10" s="983"/>
      <c r="IK10" s="983"/>
      <c r="IL10" s="983"/>
      <c r="IM10"/>
      <c r="IN10"/>
      <c r="IO10"/>
      <c r="IP10"/>
      <c r="IQ10"/>
      <c r="IR10"/>
      <c r="IS10"/>
      <c r="IT10"/>
    </row>
    <row r="11" spans="1:254" s="82" customFormat="1" ht="14.1" customHeight="1" thickBot="1" x14ac:dyDescent="0.2">
      <c r="A11" s="5"/>
      <c r="B11" s="2" t="s">
        <v>462</v>
      </c>
      <c r="C11" s="300"/>
      <c r="D11" s="300"/>
      <c r="E11" s="300"/>
      <c r="F11" s="989"/>
      <c r="G11" s="990"/>
      <c r="H11" s="990"/>
      <c r="I11" s="990"/>
      <c r="J11" s="990"/>
      <c r="K11" s="991"/>
      <c r="L11" s="81"/>
      <c r="M11" s="998"/>
      <c r="N11" s="998"/>
      <c r="O11" s="998"/>
      <c r="P11" s="983"/>
      <c r="Q11" s="983"/>
      <c r="R11" s="983"/>
      <c r="S11" s="983"/>
      <c r="T11" s="983"/>
      <c r="U11" s="983"/>
      <c r="V11" s="983"/>
      <c r="W11" s="983"/>
      <c r="X11" s="983"/>
      <c r="Y11" s="983"/>
      <c r="Z11" s="983"/>
      <c r="AA11" s="983"/>
      <c r="AB11" s="983"/>
      <c r="AC11" s="983"/>
      <c r="AD11" s="983"/>
      <c r="AE11" s="983"/>
      <c r="AF11" s="983"/>
      <c r="AG11" s="983"/>
      <c r="AH11" s="983"/>
      <c r="AI11" s="983"/>
      <c r="AJ11" s="983"/>
      <c r="AK11" s="983"/>
      <c r="AL11" s="983"/>
      <c r="AM11" s="983"/>
      <c r="AN11" s="983"/>
      <c r="AO11" s="983"/>
      <c r="AP11" s="983"/>
      <c r="AQ11" s="983"/>
      <c r="AR11" s="983"/>
      <c r="AS11" s="983"/>
      <c r="AT11" s="983"/>
      <c r="AU11" s="983"/>
      <c r="AV11" s="983"/>
      <c r="AW11" s="983"/>
      <c r="AX11" s="983"/>
      <c r="AY11" s="983"/>
      <c r="AZ11" s="983"/>
      <c r="BA11" s="983"/>
      <c r="BB11" s="983"/>
      <c r="BC11" s="983"/>
      <c r="BD11" s="983"/>
      <c r="BE11" s="983"/>
      <c r="BF11" s="983"/>
      <c r="BG11" s="983"/>
      <c r="BH11" s="983"/>
      <c r="BI11" s="983"/>
      <c r="BJ11" s="983"/>
      <c r="BK11" s="983"/>
      <c r="BL11" s="983"/>
      <c r="BM11" s="983"/>
      <c r="BN11" s="983"/>
      <c r="BO11" s="983"/>
      <c r="BP11" s="983"/>
      <c r="BQ11" s="983"/>
      <c r="BR11" s="983"/>
      <c r="BS11" s="983"/>
      <c r="BT11" s="983"/>
      <c r="BU11" s="983"/>
      <c r="BV11" s="983"/>
      <c r="BW11" s="983"/>
      <c r="BX11" s="983"/>
      <c r="BY11" s="983"/>
      <c r="BZ11" s="983"/>
      <c r="CA11" s="983"/>
      <c r="CB11" s="983"/>
      <c r="CC11" s="983"/>
      <c r="CD11" s="983"/>
      <c r="CE11" s="983"/>
      <c r="CF11" s="983"/>
      <c r="CG11" s="983"/>
      <c r="CH11" s="983"/>
      <c r="CI11" s="983"/>
      <c r="CJ11" s="983"/>
      <c r="CK11" s="983"/>
      <c r="CL11" s="983"/>
      <c r="CM11" s="983"/>
      <c r="CN11" s="983"/>
      <c r="CO11" s="983"/>
      <c r="CP11" s="983"/>
      <c r="CQ11" s="983"/>
      <c r="CR11" s="983"/>
      <c r="CS11" s="983"/>
      <c r="CT11" s="983"/>
      <c r="CU11" s="983"/>
      <c r="CV11" s="983"/>
      <c r="CW11" s="983"/>
      <c r="CX11" s="983"/>
      <c r="CY11" s="983"/>
      <c r="CZ11" s="983"/>
      <c r="DA11" s="983"/>
      <c r="DB11" s="983"/>
      <c r="DC11" s="983"/>
      <c r="DD11" s="983"/>
      <c r="DE11" s="983"/>
      <c r="DF11" s="983"/>
      <c r="DG11" s="983"/>
      <c r="DH11" s="983"/>
      <c r="DI11" s="983"/>
      <c r="DJ11" s="983"/>
      <c r="DK11" s="983"/>
      <c r="DL11" s="983"/>
      <c r="DM11" s="983"/>
      <c r="DN11" s="983"/>
      <c r="DO11" s="983"/>
      <c r="DP11" s="983"/>
      <c r="DQ11" s="983"/>
      <c r="DR11" s="983"/>
      <c r="DS11" s="983"/>
      <c r="DT11" s="983"/>
      <c r="DU11" s="983"/>
      <c r="DV11" s="983"/>
      <c r="DW11" s="983"/>
      <c r="DX11" s="983"/>
      <c r="DY11" s="983"/>
      <c r="DZ11" s="983"/>
      <c r="EA11" s="983"/>
      <c r="EB11" s="983"/>
      <c r="EC11" s="983"/>
      <c r="ED11" s="983"/>
      <c r="EE11" s="983"/>
      <c r="EF11" s="983"/>
      <c r="EG11" s="983"/>
      <c r="EH11" s="983"/>
      <c r="EI11" s="983"/>
      <c r="EJ11" s="983"/>
      <c r="EK11" s="983"/>
      <c r="EL11" s="983"/>
      <c r="EM11" s="983"/>
      <c r="EN11" s="983"/>
      <c r="EO11" s="983"/>
      <c r="EP11" s="983"/>
      <c r="EQ11" s="983"/>
      <c r="ER11" s="983"/>
      <c r="ES11" s="983"/>
      <c r="ET11" s="983"/>
      <c r="EU11" s="983"/>
      <c r="EV11" s="983"/>
      <c r="EW11" s="983"/>
      <c r="EX11" s="983"/>
      <c r="EY11" s="983"/>
      <c r="EZ11" s="983"/>
      <c r="FA11" s="983"/>
      <c r="FB11" s="983"/>
      <c r="FC11" s="983"/>
      <c r="FD11" s="983"/>
      <c r="FE11" s="983"/>
      <c r="FF11" s="983"/>
      <c r="FG11" s="983"/>
      <c r="FH11" s="983"/>
      <c r="FI11" s="983"/>
      <c r="FJ11" s="983"/>
      <c r="FK11" s="983"/>
      <c r="FL11" s="983"/>
      <c r="FM11" s="983"/>
      <c r="FN11" s="983"/>
      <c r="FO11" s="983"/>
      <c r="FP11" s="983"/>
      <c r="FQ11" s="983"/>
      <c r="FR11" s="983"/>
      <c r="FS11" s="983"/>
      <c r="FT11" s="983"/>
      <c r="FU11" s="983"/>
      <c r="FV11" s="983"/>
      <c r="FW11" s="983"/>
      <c r="FX11" s="983"/>
      <c r="FY11" s="983"/>
      <c r="FZ11" s="983"/>
      <c r="GA11" s="983"/>
      <c r="GB11" s="983"/>
      <c r="GC11" s="983"/>
      <c r="GD11" s="983"/>
      <c r="GE11" s="983"/>
      <c r="GF11" s="983"/>
      <c r="GG11" s="983"/>
      <c r="GH11" s="983"/>
      <c r="GI11" s="983"/>
      <c r="GJ11" s="983"/>
      <c r="GK11" s="983"/>
      <c r="GL11" s="983"/>
      <c r="GM11" s="983"/>
      <c r="GN11" s="983"/>
      <c r="GO11" s="983"/>
      <c r="GP11" s="983"/>
      <c r="GQ11" s="983"/>
      <c r="GR11" s="983"/>
      <c r="GS11" s="983"/>
      <c r="GT11" s="983"/>
      <c r="GU11" s="983"/>
      <c r="GV11" s="983"/>
      <c r="GW11" s="983"/>
      <c r="GX11" s="983"/>
      <c r="GY11" s="983"/>
      <c r="GZ11" s="983"/>
      <c r="HA11" s="983"/>
      <c r="HB11" s="983"/>
      <c r="HC11" s="983"/>
      <c r="HD11" s="983"/>
      <c r="HE11" s="983"/>
      <c r="HF11" s="983"/>
      <c r="HG11" s="983"/>
      <c r="HH11" s="983"/>
      <c r="HI11" s="983"/>
      <c r="HJ11" s="983"/>
      <c r="HK11" s="983"/>
      <c r="HL11" s="983"/>
      <c r="HM11" s="983"/>
      <c r="HN11" s="983"/>
      <c r="HO11" s="983"/>
      <c r="HP11" s="983"/>
      <c r="HQ11" s="983"/>
      <c r="HR11" s="983"/>
      <c r="HS11" s="983"/>
      <c r="HT11" s="983"/>
      <c r="HU11" s="983"/>
      <c r="HV11" s="983"/>
      <c r="HW11" s="983"/>
      <c r="HX11" s="983"/>
      <c r="HY11" s="983"/>
      <c r="HZ11" s="983"/>
      <c r="IA11" s="983"/>
      <c r="IB11" s="983"/>
      <c r="IC11" s="983"/>
      <c r="ID11" s="983"/>
      <c r="IE11" s="983"/>
      <c r="IF11" s="983"/>
      <c r="IG11" s="983"/>
      <c r="IH11" s="983"/>
      <c r="II11" s="983"/>
      <c r="IJ11" s="983"/>
      <c r="IK11" s="983"/>
      <c r="IL11" s="983"/>
      <c r="IM11"/>
      <c r="IN11"/>
      <c r="IO11"/>
      <c r="IP11"/>
      <c r="IQ11"/>
      <c r="IR11"/>
      <c r="IS11"/>
      <c r="IT11"/>
    </row>
    <row r="12" spans="1:254" s="82" customFormat="1" ht="14.1" customHeight="1" thickBot="1" x14ac:dyDescent="0.2">
      <c r="A12"/>
      <c r="B12"/>
      <c r="C12" s="300"/>
      <c r="D12" s="300"/>
      <c r="E12" s="300"/>
      <c r="F12" s="989"/>
      <c r="G12" s="990"/>
      <c r="H12" s="990"/>
      <c r="I12" s="990"/>
      <c r="J12" s="990"/>
      <c r="K12" s="991"/>
      <c r="L12"/>
      <c r="M12" s="998"/>
      <c r="N12" s="998"/>
      <c r="O12" s="998"/>
      <c r="P12" s="983"/>
      <c r="Q12" s="983"/>
      <c r="R12" s="983"/>
      <c r="S12" s="983"/>
      <c r="T12" s="983"/>
      <c r="U12" s="983"/>
      <c r="V12" s="983"/>
      <c r="W12" s="983"/>
      <c r="X12" s="983"/>
      <c r="Y12" s="983"/>
      <c r="Z12" s="983"/>
      <c r="AA12" s="983"/>
      <c r="AB12" s="983"/>
      <c r="AC12" s="983"/>
      <c r="AD12" s="983"/>
      <c r="AE12" s="983"/>
      <c r="AF12" s="983"/>
      <c r="AG12" s="983"/>
      <c r="AH12" s="983"/>
      <c r="AI12" s="983"/>
      <c r="AJ12" s="983"/>
      <c r="AK12" s="983"/>
      <c r="AL12" s="983"/>
      <c r="AM12" s="983"/>
      <c r="AN12" s="983"/>
      <c r="AO12" s="983"/>
      <c r="AP12" s="983"/>
      <c r="AQ12" s="983"/>
      <c r="AR12" s="983"/>
      <c r="AS12" s="983"/>
      <c r="AT12" s="983"/>
      <c r="AU12" s="983"/>
      <c r="AV12" s="983"/>
      <c r="AW12" s="983"/>
      <c r="AX12" s="983"/>
      <c r="AY12" s="983"/>
      <c r="AZ12" s="983"/>
      <c r="BA12" s="983"/>
      <c r="BB12" s="983"/>
      <c r="BC12" s="983"/>
      <c r="BD12" s="983"/>
      <c r="BE12" s="983"/>
      <c r="BF12" s="983"/>
      <c r="BG12" s="983"/>
      <c r="BH12" s="983"/>
      <c r="BI12" s="983"/>
      <c r="BJ12" s="983"/>
      <c r="BK12" s="983"/>
      <c r="BL12" s="983"/>
      <c r="BM12" s="983"/>
      <c r="BN12" s="983"/>
      <c r="BO12" s="983"/>
      <c r="BP12" s="983"/>
      <c r="BQ12" s="983"/>
      <c r="BR12" s="983"/>
      <c r="BS12" s="983"/>
      <c r="BT12" s="983"/>
      <c r="BU12" s="983"/>
      <c r="BV12" s="983"/>
      <c r="BW12" s="983"/>
      <c r="BX12" s="983"/>
      <c r="BY12" s="983"/>
      <c r="BZ12" s="983"/>
      <c r="CA12" s="983"/>
      <c r="CB12" s="983"/>
      <c r="CC12" s="983"/>
      <c r="CD12" s="983"/>
      <c r="CE12" s="983"/>
      <c r="CF12" s="983"/>
      <c r="CG12" s="983"/>
      <c r="CH12" s="983"/>
      <c r="CI12" s="983"/>
      <c r="CJ12" s="983"/>
      <c r="CK12" s="983"/>
      <c r="CL12" s="983"/>
      <c r="CM12" s="983"/>
      <c r="CN12" s="983"/>
      <c r="CO12" s="983"/>
      <c r="CP12" s="983"/>
      <c r="CQ12" s="983"/>
      <c r="CR12" s="983"/>
      <c r="CS12" s="983"/>
      <c r="CT12" s="983"/>
      <c r="CU12" s="983"/>
      <c r="CV12" s="983"/>
      <c r="CW12" s="983"/>
      <c r="CX12" s="983"/>
      <c r="CY12" s="983"/>
      <c r="CZ12" s="983"/>
      <c r="DA12" s="983"/>
      <c r="DB12" s="983"/>
      <c r="DC12" s="983"/>
      <c r="DD12" s="983"/>
      <c r="DE12" s="983"/>
      <c r="DF12" s="983"/>
      <c r="DG12" s="983"/>
      <c r="DH12" s="983"/>
      <c r="DI12" s="983"/>
      <c r="DJ12" s="983"/>
      <c r="DK12" s="983"/>
      <c r="DL12" s="983"/>
      <c r="DM12" s="983"/>
      <c r="DN12" s="983"/>
      <c r="DO12" s="983"/>
      <c r="DP12" s="983"/>
      <c r="DQ12" s="983"/>
      <c r="DR12" s="983"/>
      <c r="DS12" s="983"/>
      <c r="DT12" s="983"/>
      <c r="DU12" s="983"/>
      <c r="DV12" s="983"/>
      <c r="DW12" s="983"/>
      <c r="DX12" s="983"/>
      <c r="DY12" s="983"/>
      <c r="DZ12" s="983"/>
      <c r="EA12" s="983"/>
      <c r="EB12" s="983"/>
      <c r="EC12" s="983"/>
      <c r="ED12" s="983"/>
      <c r="EE12" s="983"/>
      <c r="EF12" s="983"/>
      <c r="EG12" s="983"/>
      <c r="EH12" s="983"/>
      <c r="EI12" s="983"/>
      <c r="EJ12" s="983"/>
      <c r="EK12" s="983"/>
      <c r="EL12" s="983"/>
      <c r="EM12" s="983"/>
      <c r="EN12" s="983"/>
      <c r="EO12" s="983"/>
      <c r="EP12" s="983"/>
      <c r="EQ12" s="983"/>
      <c r="ER12" s="983"/>
      <c r="ES12" s="983"/>
      <c r="ET12" s="983"/>
      <c r="EU12" s="983"/>
      <c r="EV12" s="983"/>
      <c r="EW12" s="983"/>
      <c r="EX12" s="983"/>
      <c r="EY12" s="983"/>
      <c r="EZ12" s="983"/>
      <c r="FA12" s="983"/>
      <c r="FB12" s="983"/>
      <c r="FC12" s="983"/>
      <c r="FD12" s="983"/>
      <c r="FE12" s="983"/>
      <c r="FF12" s="983"/>
      <c r="FG12" s="983"/>
      <c r="FH12" s="983"/>
      <c r="FI12" s="983"/>
      <c r="FJ12" s="983"/>
      <c r="FK12" s="983"/>
      <c r="FL12" s="983"/>
      <c r="FM12" s="983"/>
      <c r="FN12" s="983"/>
      <c r="FO12" s="983"/>
      <c r="FP12" s="983"/>
      <c r="FQ12" s="983"/>
      <c r="FR12" s="983"/>
      <c r="FS12" s="983"/>
      <c r="FT12" s="983"/>
      <c r="FU12" s="983"/>
      <c r="FV12" s="983"/>
      <c r="FW12" s="983"/>
      <c r="FX12" s="983"/>
      <c r="FY12" s="983"/>
      <c r="FZ12" s="983"/>
      <c r="GA12" s="983"/>
      <c r="GB12" s="983"/>
      <c r="GC12" s="983"/>
      <c r="GD12" s="983"/>
      <c r="GE12" s="983"/>
      <c r="GF12" s="983"/>
      <c r="GG12" s="983"/>
      <c r="GH12" s="983"/>
      <c r="GI12" s="983"/>
      <c r="GJ12" s="983"/>
      <c r="GK12" s="983"/>
      <c r="GL12" s="983"/>
      <c r="GM12" s="983"/>
      <c r="GN12" s="983"/>
      <c r="GO12" s="983"/>
      <c r="GP12" s="983"/>
      <c r="GQ12" s="983"/>
      <c r="GR12" s="983"/>
      <c r="GS12" s="983"/>
      <c r="GT12" s="983"/>
      <c r="GU12" s="983"/>
      <c r="GV12" s="983"/>
      <c r="GW12" s="983"/>
      <c r="GX12" s="983"/>
      <c r="GY12" s="983"/>
      <c r="GZ12" s="983"/>
      <c r="HA12" s="983"/>
      <c r="HB12" s="983"/>
      <c r="HC12" s="983"/>
      <c r="HD12" s="983"/>
      <c r="HE12" s="983"/>
      <c r="HF12" s="983"/>
      <c r="HG12" s="983"/>
      <c r="HH12" s="983"/>
      <c r="HI12" s="983"/>
      <c r="HJ12" s="983"/>
      <c r="HK12" s="983"/>
      <c r="HL12" s="983"/>
      <c r="HM12" s="983"/>
      <c r="HN12" s="983"/>
      <c r="HO12" s="983"/>
      <c r="HP12" s="983"/>
      <c r="HQ12" s="983"/>
      <c r="HR12" s="983"/>
      <c r="HS12" s="983"/>
      <c r="HT12" s="983"/>
      <c r="HU12" s="983"/>
      <c r="HV12" s="983"/>
      <c r="HW12" s="983"/>
      <c r="HX12" s="983"/>
      <c r="HY12" s="983"/>
      <c r="HZ12" s="983"/>
      <c r="IA12" s="983"/>
      <c r="IB12" s="983"/>
      <c r="IC12" s="983"/>
      <c r="ID12" s="983"/>
      <c r="IE12" s="983"/>
      <c r="IF12" s="983"/>
      <c r="IG12" s="983"/>
      <c r="IH12" s="983"/>
      <c r="II12" s="983"/>
      <c r="IJ12" s="983"/>
      <c r="IK12" s="983"/>
      <c r="IL12" s="983"/>
      <c r="IM12"/>
      <c r="IN12"/>
      <c r="IO12"/>
      <c r="IP12"/>
      <c r="IQ12"/>
      <c r="IR12"/>
      <c r="IS12"/>
      <c r="IT12"/>
    </row>
    <row r="13" spans="1:254" s="82" customFormat="1" ht="14.1" customHeight="1" thickBot="1" x14ac:dyDescent="0.2">
      <c r="A13" s="6"/>
      <c r="B13" s="83" t="s">
        <v>648</v>
      </c>
      <c r="C13" s="300"/>
      <c r="D13" s="300"/>
      <c r="E13" s="300"/>
      <c r="F13" s="989"/>
      <c r="G13" s="990"/>
      <c r="H13" s="990"/>
      <c r="I13" s="990"/>
      <c r="J13" s="990"/>
      <c r="K13" s="991"/>
      <c r="L13"/>
      <c r="M13" s="998"/>
      <c r="N13" s="998"/>
      <c r="O13" s="998"/>
      <c r="P13" s="983"/>
      <c r="Q13" s="983"/>
      <c r="R13" s="983"/>
      <c r="S13" s="983"/>
      <c r="T13" s="983"/>
      <c r="U13" s="983"/>
      <c r="V13" s="983"/>
      <c r="W13" s="983"/>
      <c r="X13" s="983"/>
      <c r="Y13" s="983"/>
      <c r="Z13" s="983"/>
      <c r="AA13" s="983"/>
      <c r="AB13" s="983"/>
      <c r="AC13" s="983"/>
      <c r="AD13" s="983"/>
      <c r="AE13" s="983"/>
      <c r="AF13" s="983"/>
      <c r="AG13" s="983"/>
      <c r="AH13" s="983"/>
      <c r="AI13" s="983"/>
      <c r="AJ13" s="983"/>
      <c r="AK13" s="983"/>
      <c r="AL13" s="983"/>
      <c r="AM13" s="983"/>
      <c r="AN13" s="983"/>
      <c r="AO13" s="983"/>
      <c r="AP13" s="983"/>
      <c r="AQ13" s="983"/>
      <c r="AR13" s="983"/>
      <c r="AS13" s="983"/>
      <c r="AT13" s="983"/>
      <c r="AU13" s="983"/>
      <c r="AV13" s="983"/>
      <c r="AW13" s="983"/>
      <c r="AX13" s="983"/>
      <c r="AY13" s="983"/>
      <c r="AZ13" s="983"/>
      <c r="BA13" s="983"/>
      <c r="BB13" s="983"/>
      <c r="BC13" s="983"/>
      <c r="BD13" s="983"/>
      <c r="BE13" s="983"/>
      <c r="BF13" s="983"/>
      <c r="BG13" s="983"/>
      <c r="BH13" s="983"/>
      <c r="BI13" s="983"/>
      <c r="BJ13" s="983"/>
      <c r="BK13" s="983"/>
      <c r="BL13" s="983"/>
      <c r="BM13" s="983"/>
      <c r="BN13" s="983"/>
      <c r="BO13" s="983"/>
      <c r="BP13" s="983"/>
      <c r="BQ13" s="983"/>
      <c r="BR13" s="983"/>
      <c r="BS13" s="983"/>
      <c r="BT13" s="983"/>
      <c r="BU13" s="983"/>
      <c r="BV13" s="983"/>
      <c r="BW13" s="983"/>
      <c r="BX13" s="983"/>
      <c r="BY13" s="983"/>
      <c r="BZ13" s="983"/>
      <c r="CA13" s="983"/>
      <c r="CB13" s="983"/>
      <c r="CC13" s="983"/>
      <c r="CD13" s="983"/>
      <c r="CE13" s="983"/>
      <c r="CF13" s="983"/>
      <c r="CG13" s="983"/>
      <c r="CH13" s="983"/>
      <c r="CI13" s="983"/>
      <c r="CJ13" s="983"/>
      <c r="CK13" s="983"/>
      <c r="CL13" s="983"/>
      <c r="CM13" s="983"/>
      <c r="CN13" s="983"/>
      <c r="CO13" s="983"/>
      <c r="CP13" s="983"/>
      <c r="CQ13" s="983"/>
      <c r="CR13" s="983"/>
      <c r="CS13" s="983"/>
      <c r="CT13" s="983"/>
      <c r="CU13" s="983"/>
      <c r="CV13" s="983"/>
      <c r="CW13" s="983"/>
      <c r="CX13" s="983"/>
      <c r="CY13" s="983"/>
      <c r="CZ13" s="983"/>
      <c r="DA13" s="983"/>
      <c r="DB13" s="983"/>
      <c r="DC13" s="983"/>
      <c r="DD13" s="983"/>
      <c r="DE13" s="983"/>
      <c r="DF13" s="983"/>
      <c r="DG13" s="983"/>
      <c r="DH13" s="983"/>
      <c r="DI13" s="983"/>
      <c r="DJ13" s="983"/>
      <c r="DK13" s="983"/>
      <c r="DL13" s="983"/>
      <c r="DM13" s="983"/>
      <c r="DN13" s="983"/>
      <c r="DO13" s="983"/>
      <c r="DP13" s="983"/>
      <c r="DQ13" s="983"/>
      <c r="DR13" s="983"/>
      <c r="DS13" s="983"/>
      <c r="DT13" s="983"/>
      <c r="DU13" s="983"/>
      <c r="DV13" s="983"/>
      <c r="DW13" s="983"/>
      <c r="DX13" s="983"/>
      <c r="DY13" s="983"/>
      <c r="DZ13" s="983"/>
      <c r="EA13" s="983"/>
      <c r="EB13" s="983"/>
      <c r="EC13" s="983"/>
      <c r="ED13" s="983"/>
      <c r="EE13" s="983"/>
      <c r="EF13" s="983"/>
      <c r="EG13" s="983"/>
      <c r="EH13" s="983"/>
      <c r="EI13" s="983"/>
      <c r="EJ13" s="983"/>
      <c r="EK13" s="983"/>
      <c r="EL13" s="983"/>
      <c r="EM13" s="983"/>
      <c r="EN13" s="983"/>
      <c r="EO13" s="983"/>
      <c r="EP13" s="983"/>
      <c r="EQ13" s="983"/>
      <c r="ER13" s="983"/>
      <c r="ES13" s="983"/>
      <c r="ET13" s="983"/>
      <c r="EU13" s="983"/>
      <c r="EV13" s="983"/>
      <c r="EW13" s="983"/>
      <c r="EX13" s="983"/>
      <c r="EY13" s="983"/>
      <c r="EZ13" s="983"/>
      <c r="FA13" s="983"/>
      <c r="FB13" s="983"/>
      <c r="FC13" s="983"/>
      <c r="FD13" s="983"/>
      <c r="FE13" s="983"/>
      <c r="FF13" s="983"/>
      <c r="FG13" s="983"/>
      <c r="FH13" s="983"/>
      <c r="FI13" s="983"/>
      <c r="FJ13" s="983"/>
      <c r="FK13" s="983"/>
      <c r="FL13" s="983"/>
      <c r="FM13" s="983"/>
      <c r="FN13" s="983"/>
      <c r="FO13" s="983"/>
      <c r="FP13" s="983"/>
      <c r="FQ13" s="983"/>
      <c r="FR13" s="983"/>
      <c r="FS13" s="983"/>
      <c r="FT13" s="983"/>
      <c r="FU13" s="983"/>
      <c r="FV13" s="983"/>
      <c r="FW13" s="983"/>
      <c r="FX13" s="983"/>
      <c r="FY13" s="983"/>
      <c r="FZ13" s="983"/>
      <c r="GA13" s="983"/>
      <c r="GB13" s="983"/>
      <c r="GC13" s="983"/>
      <c r="GD13" s="983"/>
      <c r="GE13" s="983"/>
      <c r="GF13" s="983"/>
      <c r="GG13" s="983"/>
      <c r="GH13" s="983"/>
      <c r="GI13" s="983"/>
      <c r="GJ13" s="983"/>
      <c r="GK13" s="983"/>
      <c r="GL13" s="983"/>
      <c r="GM13" s="983"/>
      <c r="GN13" s="983"/>
      <c r="GO13" s="983"/>
      <c r="GP13" s="983"/>
      <c r="GQ13" s="983"/>
      <c r="GR13" s="983"/>
      <c r="GS13" s="983"/>
      <c r="GT13" s="983"/>
      <c r="GU13" s="983"/>
      <c r="GV13" s="983"/>
      <c r="GW13" s="983"/>
      <c r="GX13" s="983"/>
      <c r="GY13" s="983"/>
      <c r="GZ13" s="983"/>
      <c r="HA13" s="983"/>
      <c r="HB13" s="983"/>
      <c r="HC13" s="983"/>
      <c r="HD13" s="983"/>
      <c r="HE13" s="983"/>
      <c r="HF13" s="983"/>
      <c r="HG13" s="983"/>
      <c r="HH13" s="983"/>
      <c r="HI13" s="983"/>
      <c r="HJ13" s="983"/>
      <c r="HK13" s="983"/>
      <c r="HL13" s="983"/>
      <c r="HM13" s="983"/>
      <c r="HN13" s="983"/>
      <c r="HO13" s="983"/>
      <c r="HP13" s="983"/>
      <c r="HQ13" s="983"/>
      <c r="HR13" s="983"/>
      <c r="HS13" s="983"/>
      <c r="HT13" s="983"/>
      <c r="HU13" s="983"/>
      <c r="HV13" s="983"/>
      <c r="HW13" s="983"/>
      <c r="HX13" s="983"/>
      <c r="HY13" s="983"/>
      <c r="HZ13" s="983"/>
      <c r="IA13" s="983"/>
      <c r="IB13" s="983"/>
      <c r="IC13" s="983"/>
      <c r="ID13" s="983"/>
      <c r="IE13" s="983"/>
      <c r="IF13" s="983"/>
      <c r="IG13" s="983"/>
      <c r="IH13" s="983"/>
      <c r="II13" s="983"/>
      <c r="IJ13" s="983"/>
      <c r="IK13" s="983"/>
      <c r="IL13" s="983"/>
      <c r="IM13"/>
      <c r="IN13"/>
      <c r="IO13"/>
      <c r="IP13"/>
      <c r="IQ13"/>
      <c r="IR13"/>
      <c r="IS13"/>
      <c r="IT13"/>
    </row>
    <row r="14" spans="1:254" s="82" customFormat="1" ht="14.1" customHeight="1" thickBot="1" x14ac:dyDescent="0.2">
      <c r="A14" s="7"/>
      <c r="B14" s="83" t="s">
        <v>649</v>
      </c>
      <c r="C14" s="300"/>
      <c r="D14" s="300"/>
      <c r="E14" s="300"/>
      <c r="F14" s="989"/>
      <c r="G14" s="990"/>
      <c r="H14" s="990"/>
      <c r="I14" s="990"/>
      <c r="J14" s="990"/>
      <c r="K14" s="991"/>
      <c r="L14" s="81"/>
      <c r="M14" s="998"/>
      <c r="N14" s="998"/>
      <c r="O14" s="998"/>
      <c r="P14" s="983"/>
      <c r="Q14" s="983"/>
      <c r="R14" s="983"/>
      <c r="S14" s="983"/>
      <c r="T14" s="983"/>
      <c r="U14" s="983"/>
      <c r="V14" s="983"/>
      <c r="W14" s="983"/>
      <c r="X14" s="983"/>
      <c r="Y14" s="983"/>
      <c r="Z14" s="983"/>
      <c r="AA14" s="983"/>
      <c r="AB14" s="983"/>
      <c r="AC14" s="983"/>
      <c r="AD14" s="983"/>
      <c r="AE14" s="983"/>
      <c r="AF14" s="983"/>
      <c r="AG14" s="983"/>
      <c r="AH14" s="983"/>
      <c r="AI14" s="983"/>
      <c r="AJ14" s="983"/>
      <c r="AK14" s="983"/>
      <c r="AL14" s="983"/>
      <c r="AM14" s="983"/>
      <c r="AN14" s="983"/>
      <c r="AO14" s="983"/>
      <c r="AP14" s="983"/>
      <c r="AQ14" s="983"/>
      <c r="AR14" s="983"/>
      <c r="AS14" s="983"/>
      <c r="AT14" s="983"/>
      <c r="AU14" s="983"/>
      <c r="AV14" s="983"/>
      <c r="AW14" s="983"/>
      <c r="AX14" s="983"/>
      <c r="AY14" s="983"/>
      <c r="AZ14" s="983"/>
      <c r="BA14" s="983"/>
      <c r="BB14" s="983"/>
      <c r="BC14" s="983"/>
      <c r="BD14" s="983"/>
      <c r="BE14" s="983"/>
      <c r="BF14" s="983"/>
      <c r="BG14" s="983"/>
      <c r="BH14" s="983"/>
      <c r="BI14" s="983"/>
      <c r="BJ14" s="983"/>
      <c r="BK14" s="983"/>
      <c r="BL14" s="983"/>
      <c r="BM14" s="983"/>
      <c r="BN14" s="983"/>
      <c r="BO14" s="983"/>
      <c r="BP14" s="983"/>
      <c r="BQ14" s="983"/>
      <c r="BR14" s="983"/>
      <c r="BS14" s="983"/>
      <c r="BT14" s="983"/>
      <c r="BU14" s="983"/>
      <c r="BV14" s="983"/>
      <c r="BW14" s="983"/>
      <c r="BX14" s="983"/>
      <c r="BY14" s="983"/>
      <c r="BZ14" s="983"/>
      <c r="CA14" s="983"/>
      <c r="CB14" s="983"/>
      <c r="CC14" s="983"/>
      <c r="CD14" s="983"/>
      <c r="CE14" s="983"/>
      <c r="CF14" s="983"/>
      <c r="CG14" s="983"/>
      <c r="CH14" s="983"/>
      <c r="CI14" s="983"/>
      <c r="CJ14" s="983"/>
      <c r="CK14" s="983"/>
      <c r="CL14" s="983"/>
      <c r="CM14" s="983"/>
      <c r="CN14" s="983"/>
      <c r="CO14" s="983"/>
      <c r="CP14" s="983"/>
      <c r="CQ14" s="983"/>
      <c r="CR14" s="983"/>
      <c r="CS14" s="983"/>
      <c r="CT14" s="983"/>
      <c r="CU14" s="983"/>
      <c r="CV14" s="983"/>
      <c r="CW14" s="983"/>
      <c r="CX14" s="983"/>
      <c r="CY14" s="983"/>
      <c r="CZ14" s="983"/>
      <c r="DA14" s="983"/>
      <c r="DB14" s="983"/>
      <c r="DC14" s="983"/>
      <c r="DD14" s="983"/>
      <c r="DE14" s="983"/>
      <c r="DF14" s="983"/>
      <c r="DG14" s="983"/>
      <c r="DH14" s="983"/>
      <c r="DI14" s="983"/>
      <c r="DJ14" s="983"/>
      <c r="DK14" s="983"/>
      <c r="DL14" s="983"/>
      <c r="DM14" s="983"/>
      <c r="DN14" s="983"/>
      <c r="DO14" s="983"/>
      <c r="DP14" s="983"/>
      <c r="DQ14" s="983"/>
      <c r="DR14" s="983"/>
      <c r="DS14" s="983"/>
      <c r="DT14" s="983"/>
      <c r="DU14" s="983"/>
      <c r="DV14" s="983"/>
      <c r="DW14" s="983"/>
      <c r="DX14" s="983"/>
      <c r="DY14" s="983"/>
      <c r="DZ14" s="983"/>
      <c r="EA14" s="983"/>
      <c r="EB14" s="983"/>
      <c r="EC14" s="983"/>
      <c r="ED14" s="983"/>
      <c r="EE14" s="983"/>
      <c r="EF14" s="983"/>
      <c r="EG14" s="983"/>
      <c r="EH14" s="983"/>
      <c r="EI14" s="983"/>
      <c r="EJ14" s="983"/>
      <c r="EK14" s="983"/>
      <c r="EL14" s="983"/>
      <c r="EM14" s="983"/>
      <c r="EN14" s="983"/>
      <c r="EO14" s="983"/>
      <c r="EP14" s="983"/>
      <c r="EQ14" s="983"/>
      <c r="ER14" s="983"/>
      <c r="ES14" s="983"/>
      <c r="ET14" s="983"/>
      <c r="EU14" s="983"/>
      <c r="EV14" s="983"/>
      <c r="EW14" s="983"/>
      <c r="EX14" s="983"/>
      <c r="EY14" s="983"/>
      <c r="EZ14" s="983"/>
      <c r="FA14" s="983"/>
      <c r="FB14" s="983"/>
      <c r="FC14" s="983"/>
      <c r="FD14" s="983"/>
      <c r="FE14" s="983"/>
      <c r="FF14" s="983"/>
      <c r="FG14" s="983"/>
      <c r="FH14" s="983"/>
      <c r="FI14" s="983"/>
      <c r="FJ14" s="983"/>
      <c r="FK14" s="983"/>
      <c r="FL14" s="983"/>
      <c r="FM14" s="983"/>
      <c r="FN14" s="983"/>
      <c r="FO14" s="983"/>
      <c r="FP14" s="983"/>
      <c r="FQ14" s="983"/>
      <c r="FR14" s="983"/>
      <c r="FS14" s="983"/>
      <c r="FT14" s="983"/>
      <c r="FU14" s="983"/>
      <c r="FV14" s="983"/>
      <c r="FW14" s="983"/>
      <c r="FX14" s="983"/>
      <c r="FY14" s="983"/>
      <c r="FZ14" s="983"/>
      <c r="GA14" s="983"/>
      <c r="GB14" s="983"/>
      <c r="GC14" s="983"/>
      <c r="GD14" s="983"/>
      <c r="GE14" s="983"/>
      <c r="GF14" s="983"/>
      <c r="GG14" s="983"/>
      <c r="GH14" s="983"/>
      <c r="GI14" s="983"/>
      <c r="GJ14" s="983"/>
      <c r="GK14" s="983"/>
      <c r="GL14" s="983"/>
      <c r="GM14" s="983"/>
      <c r="GN14" s="983"/>
      <c r="GO14" s="983"/>
      <c r="GP14" s="983"/>
      <c r="GQ14" s="983"/>
      <c r="GR14" s="983"/>
      <c r="GS14" s="983"/>
      <c r="GT14" s="983"/>
      <c r="GU14" s="983"/>
      <c r="GV14" s="983"/>
      <c r="GW14" s="983"/>
      <c r="GX14" s="983"/>
      <c r="GY14" s="983"/>
      <c r="GZ14" s="983"/>
      <c r="HA14" s="983"/>
      <c r="HB14" s="983"/>
      <c r="HC14" s="983"/>
      <c r="HD14" s="983"/>
      <c r="HE14" s="983"/>
      <c r="HF14" s="983"/>
      <c r="HG14" s="983"/>
      <c r="HH14" s="983"/>
      <c r="HI14" s="983"/>
      <c r="HJ14" s="983"/>
      <c r="HK14" s="983"/>
      <c r="HL14" s="983"/>
      <c r="HM14" s="983"/>
      <c r="HN14" s="983"/>
      <c r="HO14" s="983"/>
      <c r="HP14" s="983"/>
      <c r="HQ14" s="983"/>
      <c r="HR14" s="983"/>
      <c r="HS14" s="983"/>
      <c r="HT14" s="983"/>
      <c r="HU14" s="983"/>
      <c r="HV14" s="983"/>
      <c r="HW14" s="983"/>
      <c r="HX14" s="983"/>
      <c r="HY14" s="983"/>
      <c r="HZ14" s="983"/>
      <c r="IA14" s="983"/>
      <c r="IB14" s="983"/>
      <c r="IC14" s="983"/>
      <c r="ID14" s="983"/>
      <c r="IE14" s="983"/>
      <c r="IF14" s="983"/>
      <c r="IG14" s="983"/>
      <c r="IH14" s="983"/>
      <c r="II14" s="983"/>
      <c r="IJ14" s="983"/>
      <c r="IK14" s="983"/>
      <c r="IL14" s="983"/>
      <c r="IM14"/>
      <c r="IN14"/>
      <c r="IO14"/>
      <c r="IP14"/>
      <c r="IQ14"/>
      <c r="IR14"/>
      <c r="IS14"/>
      <c r="IT14"/>
    </row>
    <row r="15" spans="1:254" s="82" customFormat="1" ht="14.1" customHeight="1" thickBot="1" x14ac:dyDescent="0.2">
      <c r="A15" s="8"/>
      <c r="B15" s="83" t="s">
        <v>650</v>
      </c>
      <c r="C15" s="300"/>
      <c r="D15" s="300"/>
      <c r="E15" s="300"/>
      <c r="F15" s="992"/>
      <c r="G15" s="993"/>
      <c r="H15" s="993"/>
      <c r="I15" s="993"/>
      <c r="J15" s="993"/>
      <c r="K15" s="994"/>
      <c r="L15" s="81"/>
      <c r="M15" s="998"/>
      <c r="N15" s="998"/>
      <c r="O15" s="998"/>
      <c r="P15" s="983"/>
      <c r="Q15" s="983"/>
      <c r="R15" s="983"/>
      <c r="S15" s="983"/>
      <c r="T15" s="983"/>
      <c r="U15" s="983"/>
      <c r="V15" s="983"/>
      <c r="W15" s="983"/>
      <c r="X15" s="983"/>
      <c r="Y15" s="983"/>
      <c r="Z15" s="983"/>
      <c r="AA15" s="983"/>
      <c r="AB15" s="983"/>
      <c r="AC15" s="983"/>
      <c r="AD15" s="983"/>
      <c r="AE15" s="983"/>
      <c r="AF15" s="983"/>
      <c r="AG15" s="983"/>
      <c r="AH15" s="983"/>
      <c r="AI15" s="983"/>
      <c r="AJ15" s="983"/>
      <c r="AK15" s="983"/>
      <c r="AL15" s="983"/>
      <c r="AM15" s="983"/>
      <c r="AN15" s="983"/>
      <c r="AO15" s="983"/>
      <c r="AP15" s="983"/>
      <c r="AQ15" s="983"/>
      <c r="AR15" s="983"/>
      <c r="AS15" s="983"/>
      <c r="AT15" s="983"/>
      <c r="AU15" s="983"/>
      <c r="AV15" s="983"/>
      <c r="AW15" s="983"/>
      <c r="AX15" s="983"/>
      <c r="AY15" s="983"/>
      <c r="AZ15" s="983"/>
      <c r="BA15" s="983"/>
      <c r="BB15" s="983"/>
      <c r="BC15" s="983"/>
      <c r="BD15" s="983"/>
      <c r="BE15" s="983"/>
      <c r="BF15" s="983"/>
      <c r="BG15" s="983"/>
      <c r="BH15" s="983"/>
      <c r="BI15" s="983"/>
      <c r="BJ15" s="983"/>
      <c r="BK15" s="983"/>
      <c r="BL15" s="983"/>
      <c r="BM15" s="983"/>
      <c r="BN15" s="983"/>
      <c r="BO15" s="983"/>
      <c r="BP15" s="983"/>
      <c r="BQ15" s="983"/>
      <c r="BR15" s="983"/>
      <c r="BS15" s="983"/>
      <c r="BT15" s="983"/>
      <c r="BU15" s="983"/>
      <c r="BV15" s="983"/>
      <c r="BW15" s="983"/>
      <c r="BX15" s="983"/>
      <c r="BY15" s="983"/>
      <c r="BZ15" s="983"/>
      <c r="CA15" s="983"/>
      <c r="CB15" s="983"/>
      <c r="CC15" s="983"/>
      <c r="CD15" s="983"/>
      <c r="CE15" s="983"/>
      <c r="CF15" s="983"/>
      <c r="CG15" s="983"/>
      <c r="CH15" s="983"/>
      <c r="CI15" s="983"/>
      <c r="CJ15" s="983"/>
      <c r="CK15" s="983"/>
      <c r="CL15" s="983"/>
      <c r="CM15" s="983"/>
      <c r="CN15" s="983"/>
      <c r="CO15" s="983"/>
      <c r="CP15" s="983"/>
      <c r="CQ15" s="983"/>
      <c r="CR15" s="983"/>
      <c r="CS15" s="983"/>
      <c r="CT15" s="983"/>
      <c r="CU15" s="983"/>
      <c r="CV15" s="983"/>
      <c r="CW15" s="983"/>
      <c r="CX15" s="983"/>
      <c r="CY15" s="983"/>
      <c r="CZ15" s="983"/>
      <c r="DA15" s="983"/>
      <c r="DB15" s="983"/>
      <c r="DC15" s="983"/>
      <c r="DD15" s="983"/>
      <c r="DE15" s="983"/>
      <c r="DF15" s="983"/>
      <c r="DG15" s="983"/>
      <c r="DH15" s="983"/>
      <c r="DI15" s="983"/>
      <c r="DJ15" s="983"/>
      <c r="DK15" s="983"/>
      <c r="DL15" s="983"/>
      <c r="DM15" s="983"/>
      <c r="DN15" s="983"/>
      <c r="DO15" s="983"/>
      <c r="DP15" s="983"/>
      <c r="DQ15" s="983"/>
      <c r="DR15" s="983"/>
      <c r="DS15" s="983"/>
      <c r="DT15" s="983"/>
      <c r="DU15" s="983"/>
      <c r="DV15" s="983"/>
      <c r="DW15" s="983"/>
      <c r="DX15" s="983"/>
      <c r="DY15" s="983"/>
      <c r="DZ15" s="983"/>
      <c r="EA15" s="983"/>
      <c r="EB15" s="983"/>
      <c r="EC15" s="983"/>
      <c r="ED15" s="983"/>
      <c r="EE15" s="983"/>
      <c r="EF15" s="983"/>
      <c r="EG15" s="983"/>
      <c r="EH15" s="983"/>
      <c r="EI15" s="983"/>
      <c r="EJ15" s="983"/>
      <c r="EK15" s="983"/>
      <c r="EL15" s="983"/>
      <c r="EM15" s="983"/>
      <c r="EN15" s="983"/>
      <c r="EO15" s="983"/>
      <c r="EP15" s="983"/>
      <c r="EQ15" s="983"/>
      <c r="ER15" s="983"/>
      <c r="ES15" s="983"/>
      <c r="ET15" s="983"/>
      <c r="EU15" s="983"/>
      <c r="EV15" s="983"/>
      <c r="EW15" s="983"/>
      <c r="EX15" s="983"/>
      <c r="EY15" s="983"/>
      <c r="EZ15" s="983"/>
      <c r="FA15" s="983"/>
      <c r="FB15" s="983"/>
      <c r="FC15" s="983"/>
      <c r="FD15" s="983"/>
      <c r="FE15" s="983"/>
      <c r="FF15" s="983"/>
      <c r="FG15" s="983"/>
      <c r="FH15" s="983"/>
      <c r="FI15" s="983"/>
      <c r="FJ15" s="983"/>
      <c r="FK15" s="983"/>
      <c r="FL15" s="983"/>
      <c r="FM15" s="983"/>
      <c r="FN15" s="983"/>
      <c r="FO15" s="983"/>
      <c r="FP15" s="983"/>
      <c r="FQ15" s="983"/>
      <c r="FR15" s="983"/>
      <c r="FS15" s="983"/>
      <c r="FT15" s="983"/>
      <c r="FU15" s="983"/>
      <c r="FV15" s="983"/>
      <c r="FW15" s="983"/>
      <c r="FX15" s="983"/>
      <c r="FY15" s="983"/>
      <c r="FZ15" s="983"/>
      <c r="GA15" s="983"/>
      <c r="GB15" s="983"/>
      <c r="GC15" s="983"/>
      <c r="GD15" s="983"/>
      <c r="GE15" s="983"/>
      <c r="GF15" s="983"/>
      <c r="GG15" s="983"/>
      <c r="GH15" s="983"/>
      <c r="GI15" s="983"/>
      <c r="GJ15" s="983"/>
      <c r="GK15" s="983"/>
      <c r="GL15" s="983"/>
      <c r="GM15" s="983"/>
      <c r="GN15" s="983"/>
      <c r="GO15" s="983"/>
      <c r="GP15" s="983"/>
      <c r="GQ15" s="983"/>
      <c r="GR15" s="983"/>
      <c r="GS15" s="983"/>
      <c r="GT15" s="983"/>
      <c r="GU15" s="983"/>
      <c r="GV15" s="983"/>
      <c r="GW15" s="983"/>
      <c r="GX15" s="983"/>
      <c r="GY15" s="983"/>
      <c r="GZ15" s="983"/>
      <c r="HA15" s="983"/>
      <c r="HB15" s="983"/>
      <c r="HC15" s="983"/>
      <c r="HD15" s="983"/>
      <c r="HE15" s="983"/>
      <c r="HF15" s="983"/>
      <c r="HG15" s="983"/>
      <c r="HH15" s="983"/>
      <c r="HI15" s="983"/>
      <c r="HJ15" s="983"/>
      <c r="HK15" s="983"/>
      <c r="HL15" s="983"/>
      <c r="HM15" s="983"/>
      <c r="HN15" s="983"/>
      <c r="HO15" s="983"/>
      <c r="HP15" s="983"/>
      <c r="HQ15" s="983"/>
      <c r="HR15" s="983"/>
      <c r="HS15" s="983"/>
      <c r="HT15" s="983"/>
      <c r="HU15" s="983"/>
      <c r="HV15" s="983"/>
      <c r="HW15" s="983"/>
      <c r="HX15" s="983"/>
      <c r="HY15" s="983"/>
      <c r="HZ15" s="983"/>
      <c r="IA15" s="983"/>
      <c r="IB15" s="983"/>
      <c r="IC15" s="983"/>
      <c r="ID15" s="983"/>
      <c r="IE15" s="983"/>
      <c r="IF15" s="983"/>
      <c r="IG15" s="983"/>
      <c r="IH15" s="983"/>
      <c r="II15" s="983"/>
      <c r="IJ15" s="983"/>
      <c r="IK15" s="983"/>
      <c r="IL15" s="983"/>
      <c r="IM15"/>
      <c r="IN15"/>
      <c r="IO15"/>
      <c r="IP15"/>
      <c r="IQ15"/>
      <c r="IR15"/>
      <c r="IS15"/>
      <c r="IT15"/>
    </row>
    <row r="16" spans="1:254" ht="12.95" customHeight="1" thickBot="1" x14ac:dyDescent="0.2"/>
    <row r="17" spans="1:254" s="84" customFormat="1" ht="12.95" customHeight="1" thickBot="1" x14ac:dyDescent="0.2">
      <c r="A17" s="961" t="s">
        <v>435</v>
      </c>
      <c r="B17" s="961"/>
      <c r="C17" s="961"/>
      <c r="D17" s="961"/>
      <c r="E17" s="962" t="s">
        <v>453</v>
      </c>
      <c r="F17" s="962"/>
      <c r="G17" s="959" t="s">
        <v>1</v>
      </c>
      <c r="H17" s="959"/>
      <c r="I17" s="985" t="s">
        <v>308</v>
      </c>
      <c r="J17" s="985"/>
      <c r="K17" s="985"/>
      <c r="L17" s="985"/>
      <c r="M17" s="960" t="s">
        <v>646</v>
      </c>
      <c r="N17" s="951" t="s">
        <v>647</v>
      </c>
      <c r="O17" s="951" t="s">
        <v>651</v>
      </c>
      <c r="P17" s="983" t="s">
        <v>652</v>
      </c>
      <c r="Q17" s="951"/>
      <c r="R17" s="951"/>
      <c r="S17" s="951"/>
      <c r="T17" s="951"/>
      <c r="U17" s="951"/>
      <c r="V17" s="951"/>
      <c r="W17" s="951"/>
      <c r="X17" s="951"/>
      <c r="Y17" s="951"/>
      <c r="Z17" s="951"/>
      <c r="AA17" s="951"/>
      <c r="AB17" s="951"/>
      <c r="AC17" s="951"/>
      <c r="AD17" s="951"/>
      <c r="AE17" s="951"/>
      <c r="AF17" s="951"/>
      <c r="AG17" s="951"/>
      <c r="AH17" s="951"/>
      <c r="AI17" s="951"/>
      <c r="AJ17" s="951"/>
      <c r="AK17" s="951"/>
      <c r="AL17" s="951"/>
      <c r="AM17" s="951"/>
      <c r="AN17" s="951"/>
      <c r="AO17" s="951"/>
      <c r="AP17" s="951"/>
      <c r="AQ17" s="951"/>
      <c r="AR17" s="951"/>
      <c r="AS17" s="951"/>
      <c r="AT17" s="951"/>
      <c r="AU17" s="951"/>
      <c r="AV17" s="951"/>
      <c r="AW17" s="951"/>
      <c r="AX17" s="951"/>
      <c r="AY17" s="951"/>
      <c r="AZ17" s="951"/>
      <c r="BA17" s="951"/>
      <c r="BB17" s="951"/>
      <c r="BC17" s="951"/>
      <c r="BD17" s="951"/>
      <c r="BE17" s="951"/>
      <c r="BF17" s="951"/>
      <c r="BG17" s="951"/>
      <c r="BH17" s="951"/>
      <c r="BI17" s="951"/>
      <c r="BJ17" s="951"/>
      <c r="BK17" s="951"/>
      <c r="BL17" s="951"/>
      <c r="BM17" s="951"/>
      <c r="BN17" s="951"/>
      <c r="BO17" s="951"/>
      <c r="BP17" s="951"/>
      <c r="BQ17" s="951"/>
      <c r="BR17" s="951"/>
      <c r="BS17" s="951"/>
      <c r="BT17" s="951"/>
      <c r="BU17" s="951"/>
      <c r="BV17" s="951"/>
      <c r="BW17" s="951"/>
      <c r="BX17" s="951"/>
      <c r="BY17" s="951"/>
      <c r="BZ17" s="951"/>
      <c r="CA17" s="951"/>
      <c r="CB17" s="951"/>
      <c r="CC17" s="951"/>
      <c r="CD17" s="951"/>
      <c r="CE17" s="951"/>
      <c r="CF17" s="951"/>
      <c r="CG17" s="951"/>
      <c r="CH17" s="951"/>
      <c r="CI17" s="951"/>
      <c r="CJ17" s="951"/>
      <c r="CK17" s="951"/>
      <c r="CL17" s="951"/>
      <c r="CM17" s="951"/>
      <c r="CN17" s="951"/>
      <c r="CO17" s="951"/>
      <c r="CP17" s="951"/>
      <c r="CQ17" s="951"/>
      <c r="CR17" s="951"/>
      <c r="CS17" s="951"/>
      <c r="CT17" s="951"/>
      <c r="CU17" s="951"/>
      <c r="CV17" s="951"/>
      <c r="CW17" s="951"/>
      <c r="CX17" s="951"/>
      <c r="CY17" s="951"/>
      <c r="CZ17" s="951"/>
      <c r="DA17" s="951"/>
      <c r="DB17" s="951"/>
      <c r="DC17" s="951"/>
      <c r="DD17" s="951"/>
      <c r="DE17" s="951"/>
      <c r="DF17" s="951"/>
      <c r="DG17" s="951"/>
      <c r="DH17" s="951"/>
      <c r="DI17" s="951"/>
      <c r="DJ17" s="951"/>
      <c r="DK17" s="951"/>
      <c r="DL17" s="951"/>
      <c r="DM17" s="951"/>
      <c r="DN17" s="951"/>
      <c r="DO17" s="951"/>
      <c r="DP17" s="951"/>
      <c r="DQ17" s="951"/>
      <c r="DR17" s="951"/>
      <c r="DS17" s="951"/>
      <c r="DT17" s="951"/>
      <c r="DU17" s="951"/>
      <c r="DV17" s="951"/>
      <c r="DW17" s="951"/>
      <c r="DX17" s="951"/>
      <c r="DY17" s="951"/>
      <c r="DZ17" s="951"/>
      <c r="EA17" s="951"/>
      <c r="EB17" s="951"/>
      <c r="EC17" s="951"/>
      <c r="ED17" s="951"/>
      <c r="EE17" s="951"/>
      <c r="EF17" s="951"/>
      <c r="EG17" s="951"/>
      <c r="EH17" s="951"/>
      <c r="EI17" s="951"/>
      <c r="EJ17" s="951"/>
      <c r="EK17" s="951"/>
      <c r="EL17" s="951"/>
      <c r="EM17" s="951"/>
      <c r="EN17" s="951"/>
      <c r="EO17" s="951"/>
      <c r="EP17" s="951"/>
      <c r="EQ17" s="951"/>
      <c r="ER17" s="951"/>
      <c r="ES17" s="951"/>
      <c r="ET17" s="951"/>
      <c r="EU17" s="951"/>
      <c r="EV17" s="951"/>
      <c r="EW17" s="951"/>
      <c r="EX17" s="951"/>
      <c r="EY17" s="951"/>
      <c r="EZ17" s="951"/>
      <c r="FA17" s="951"/>
      <c r="FB17" s="951"/>
      <c r="FC17" s="951"/>
      <c r="FD17" s="951"/>
      <c r="FE17" s="951"/>
      <c r="FF17" s="951"/>
      <c r="FG17" s="951"/>
      <c r="FH17" s="951"/>
      <c r="FI17" s="951"/>
      <c r="FJ17" s="951"/>
      <c r="FK17" s="951"/>
      <c r="FL17" s="951"/>
      <c r="FM17" s="951"/>
      <c r="FN17" s="951"/>
      <c r="FO17" s="951"/>
      <c r="FP17" s="951"/>
      <c r="FQ17" s="951"/>
      <c r="FR17" s="951"/>
      <c r="FS17" s="951"/>
      <c r="FT17" s="951"/>
      <c r="FU17" s="951"/>
      <c r="FV17" s="951"/>
      <c r="FW17" s="951"/>
      <c r="FX17" s="951"/>
      <c r="FY17" s="951"/>
      <c r="FZ17" s="951"/>
      <c r="GA17" s="951"/>
      <c r="GB17" s="951"/>
      <c r="GC17" s="951"/>
      <c r="GD17" s="951"/>
      <c r="GE17" s="951"/>
      <c r="GF17" s="951"/>
      <c r="GG17" s="951"/>
      <c r="GH17" s="951"/>
      <c r="GI17" s="951"/>
      <c r="GJ17" s="951"/>
      <c r="GK17" s="951"/>
      <c r="GL17" s="951"/>
      <c r="GM17" s="951"/>
      <c r="GN17" s="951"/>
      <c r="GO17" s="951"/>
      <c r="GP17" s="951"/>
      <c r="GQ17" s="951"/>
      <c r="GR17" s="951"/>
      <c r="GS17" s="951"/>
      <c r="GT17" s="951"/>
      <c r="GU17" s="951"/>
      <c r="GV17" s="951"/>
      <c r="GW17" s="951"/>
      <c r="GX17" s="951"/>
      <c r="GY17" s="951"/>
      <c r="GZ17" s="951"/>
      <c r="HA17" s="951"/>
      <c r="HB17" s="951"/>
      <c r="HC17" s="951"/>
      <c r="HD17" s="951"/>
      <c r="HE17" s="951"/>
      <c r="HF17" s="951"/>
      <c r="HG17" s="951"/>
      <c r="HH17" s="951"/>
      <c r="HI17" s="951"/>
      <c r="HJ17" s="951"/>
      <c r="HK17" s="951"/>
      <c r="HL17" s="951"/>
      <c r="HM17" s="951"/>
      <c r="HN17" s="951"/>
      <c r="HO17" s="951"/>
      <c r="HP17" s="951"/>
      <c r="HQ17" s="951"/>
      <c r="HR17" s="951"/>
      <c r="HS17" s="951"/>
      <c r="HT17" s="951"/>
      <c r="HU17" s="951"/>
      <c r="HV17" s="951"/>
      <c r="HW17" s="951"/>
      <c r="HX17" s="951"/>
      <c r="HY17" s="951"/>
      <c r="HZ17" s="951"/>
      <c r="IA17" s="951"/>
      <c r="IB17" s="951"/>
      <c r="IC17" s="951"/>
      <c r="ID17" s="951"/>
      <c r="IE17" s="951"/>
      <c r="IF17" s="951"/>
      <c r="IG17" s="951"/>
      <c r="IH17" s="951"/>
      <c r="II17" s="951"/>
      <c r="IJ17" s="951"/>
      <c r="IK17" s="951"/>
      <c r="IL17" s="950"/>
      <c r="IM17" s="1"/>
      <c r="IN17" s="1"/>
      <c r="IO17" s="1"/>
      <c r="IP17" s="1"/>
      <c r="IQ17" s="1"/>
      <c r="IR17" s="1"/>
      <c r="IS17" s="1"/>
      <c r="IT17" s="1"/>
    </row>
    <row r="18" spans="1:254" s="84" customFormat="1" ht="12.95" customHeight="1" thickBot="1" x14ac:dyDescent="0.2">
      <c r="A18" s="952">
        <f>キャラシート!B3</f>
        <v>0</v>
      </c>
      <c r="B18" s="952"/>
      <c r="C18" s="952"/>
      <c r="D18" s="952"/>
      <c r="E18" s="953">
        <f>キャラシート!J3</f>
        <v>0</v>
      </c>
      <c r="F18" s="953"/>
      <c r="G18" s="982" t="str">
        <f>キャラシート!F13</f>
        <v>－</v>
      </c>
      <c r="H18" s="982"/>
      <c r="I18" s="955" t="s">
        <v>292</v>
      </c>
      <c r="J18" s="955"/>
      <c r="K18" s="955" t="s">
        <v>292</v>
      </c>
      <c r="L18" s="955"/>
      <c r="M18" s="960"/>
      <c r="N18" s="951"/>
      <c r="O18" s="951"/>
      <c r="P18" s="983"/>
      <c r="Q18" s="951"/>
      <c r="R18" s="951"/>
      <c r="S18" s="951"/>
      <c r="T18" s="951"/>
      <c r="U18" s="951"/>
      <c r="V18" s="951"/>
      <c r="W18" s="951"/>
      <c r="X18" s="951"/>
      <c r="Y18" s="951"/>
      <c r="Z18" s="951"/>
      <c r="AA18" s="951"/>
      <c r="AB18" s="951"/>
      <c r="AC18" s="951"/>
      <c r="AD18" s="951"/>
      <c r="AE18" s="951"/>
      <c r="AF18" s="951"/>
      <c r="AG18" s="951"/>
      <c r="AH18" s="951"/>
      <c r="AI18" s="951"/>
      <c r="AJ18" s="951"/>
      <c r="AK18" s="951"/>
      <c r="AL18" s="951"/>
      <c r="AM18" s="951"/>
      <c r="AN18" s="951"/>
      <c r="AO18" s="951"/>
      <c r="AP18" s="951"/>
      <c r="AQ18" s="951"/>
      <c r="AR18" s="951"/>
      <c r="AS18" s="951"/>
      <c r="AT18" s="951"/>
      <c r="AU18" s="951"/>
      <c r="AV18" s="951"/>
      <c r="AW18" s="951"/>
      <c r="AX18" s="951"/>
      <c r="AY18" s="951"/>
      <c r="AZ18" s="951"/>
      <c r="BA18" s="951"/>
      <c r="BB18" s="951"/>
      <c r="BC18" s="951"/>
      <c r="BD18" s="951"/>
      <c r="BE18" s="951"/>
      <c r="BF18" s="951"/>
      <c r="BG18" s="951"/>
      <c r="BH18" s="951"/>
      <c r="BI18" s="951"/>
      <c r="BJ18" s="951"/>
      <c r="BK18" s="951"/>
      <c r="BL18" s="951"/>
      <c r="BM18" s="951"/>
      <c r="BN18" s="951"/>
      <c r="BO18" s="951"/>
      <c r="BP18" s="951"/>
      <c r="BQ18" s="951"/>
      <c r="BR18" s="951"/>
      <c r="BS18" s="951"/>
      <c r="BT18" s="951"/>
      <c r="BU18" s="951"/>
      <c r="BV18" s="951"/>
      <c r="BW18" s="951"/>
      <c r="BX18" s="951"/>
      <c r="BY18" s="951"/>
      <c r="BZ18" s="951"/>
      <c r="CA18" s="951"/>
      <c r="CB18" s="951"/>
      <c r="CC18" s="951"/>
      <c r="CD18" s="951"/>
      <c r="CE18" s="951"/>
      <c r="CF18" s="951"/>
      <c r="CG18" s="951"/>
      <c r="CH18" s="951"/>
      <c r="CI18" s="951"/>
      <c r="CJ18" s="951"/>
      <c r="CK18" s="951"/>
      <c r="CL18" s="951"/>
      <c r="CM18" s="951"/>
      <c r="CN18" s="951"/>
      <c r="CO18" s="951"/>
      <c r="CP18" s="951"/>
      <c r="CQ18" s="951"/>
      <c r="CR18" s="951"/>
      <c r="CS18" s="951"/>
      <c r="CT18" s="951"/>
      <c r="CU18" s="951"/>
      <c r="CV18" s="951"/>
      <c r="CW18" s="951"/>
      <c r="CX18" s="951"/>
      <c r="CY18" s="951"/>
      <c r="CZ18" s="951"/>
      <c r="DA18" s="951"/>
      <c r="DB18" s="951"/>
      <c r="DC18" s="951"/>
      <c r="DD18" s="951"/>
      <c r="DE18" s="951"/>
      <c r="DF18" s="951"/>
      <c r="DG18" s="951"/>
      <c r="DH18" s="951"/>
      <c r="DI18" s="951"/>
      <c r="DJ18" s="951"/>
      <c r="DK18" s="951"/>
      <c r="DL18" s="951"/>
      <c r="DM18" s="951"/>
      <c r="DN18" s="951"/>
      <c r="DO18" s="951"/>
      <c r="DP18" s="951"/>
      <c r="DQ18" s="951"/>
      <c r="DR18" s="951"/>
      <c r="DS18" s="951"/>
      <c r="DT18" s="951"/>
      <c r="DU18" s="951"/>
      <c r="DV18" s="951"/>
      <c r="DW18" s="951"/>
      <c r="DX18" s="951"/>
      <c r="DY18" s="951"/>
      <c r="DZ18" s="951"/>
      <c r="EA18" s="951"/>
      <c r="EB18" s="951"/>
      <c r="EC18" s="951"/>
      <c r="ED18" s="951"/>
      <c r="EE18" s="951"/>
      <c r="EF18" s="951"/>
      <c r="EG18" s="951"/>
      <c r="EH18" s="951"/>
      <c r="EI18" s="951"/>
      <c r="EJ18" s="951"/>
      <c r="EK18" s="951"/>
      <c r="EL18" s="951"/>
      <c r="EM18" s="951"/>
      <c r="EN18" s="951"/>
      <c r="EO18" s="951"/>
      <c r="EP18" s="951"/>
      <c r="EQ18" s="951"/>
      <c r="ER18" s="951"/>
      <c r="ES18" s="951"/>
      <c r="ET18" s="951"/>
      <c r="EU18" s="951"/>
      <c r="EV18" s="951"/>
      <c r="EW18" s="951"/>
      <c r="EX18" s="951"/>
      <c r="EY18" s="951"/>
      <c r="EZ18" s="951"/>
      <c r="FA18" s="951"/>
      <c r="FB18" s="951"/>
      <c r="FC18" s="951"/>
      <c r="FD18" s="951"/>
      <c r="FE18" s="951"/>
      <c r="FF18" s="951"/>
      <c r="FG18" s="951"/>
      <c r="FH18" s="951"/>
      <c r="FI18" s="951"/>
      <c r="FJ18" s="951"/>
      <c r="FK18" s="951"/>
      <c r="FL18" s="951"/>
      <c r="FM18" s="951"/>
      <c r="FN18" s="951"/>
      <c r="FO18" s="951"/>
      <c r="FP18" s="951"/>
      <c r="FQ18" s="951"/>
      <c r="FR18" s="951"/>
      <c r="FS18" s="951"/>
      <c r="FT18" s="951"/>
      <c r="FU18" s="951"/>
      <c r="FV18" s="951"/>
      <c r="FW18" s="951"/>
      <c r="FX18" s="951"/>
      <c r="FY18" s="951"/>
      <c r="FZ18" s="951"/>
      <c r="GA18" s="951"/>
      <c r="GB18" s="951"/>
      <c r="GC18" s="951"/>
      <c r="GD18" s="951"/>
      <c r="GE18" s="951"/>
      <c r="GF18" s="951"/>
      <c r="GG18" s="951"/>
      <c r="GH18" s="951"/>
      <c r="GI18" s="951"/>
      <c r="GJ18" s="951"/>
      <c r="GK18" s="951"/>
      <c r="GL18" s="951"/>
      <c r="GM18" s="951"/>
      <c r="GN18" s="951"/>
      <c r="GO18" s="951"/>
      <c r="GP18" s="951"/>
      <c r="GQ18" s="951"/>
      <c r="GR18" s="951"/>
      <c r="GS18" s="951"/>
      <c r="GT18" s="951"/>
      <c r="GU18" s="951"/>
      <c r="GV18" s="951"/>
      <c r="GW18" s="951"/>
      <c r="GX18" s="951"/>
      <c r="GY18" s="951"/>
      <c r="GZ18" s="951"/>
      <c r="HA18" s="951"/>
      <c r="HB18" s="951"/>
      <c r="HC18" s="951"/>
      <c r="HD18" s="951"/>
      <c r="HE18" s="951"/>
      <c r="HF18" s="951"/>
      <c r="HG18" s="951"/>
      <c r="HH18" s="951"/>
      <c r="HI18" s="951"/>
      <c r="HJ18" s="951"/>
      <c r="HK18" s="951"/>
      <c r="HL18" s="951"/>
      <c r="HM18" s="951"/>
      <c r="HN18" s="951"/>
      <c r="HO18" s="951"/>
      <c r="HP18" s="951"/>
      <c r="HQ18" s="951"/>
      <c r="HR18" s="951"/>
      <c r="HS18" s="951"/>
      <c r="HT18" s="951"/>
      <c r="HU18" s="951"/>
      <c r="HV18" s="951"/>
      <c r="HW18" s="951"/>
      <c r="HX18" s="951"/>
      <c r="HY18" s="951"/>
      <c r="HZ18" s="951"/>
      <c r="IA18" s="951"/>
      <c r="IB18" s="951"/>
      <c r="IC18" s="951"/>
      <c r="ID18" s="951"/>
      <c r="IE18" s="951"/>
      <c r="IF18" s="951"/>
      <c r="IG18" s="951"/>
      <c r="IH18" s="951"/>
      <c r="II18" s="951"/>
      <c r="IJ18" s="951"/>
      <c r="IK18" s="951"/>
      <c r="IL18" s="951"/>
      <c r="IM18" s="1"/>
      <c r="IN18" s="1"/>
      <c r="IO18" s="1"/>
      <c r="IP18" s="1"/>
      <c r="IQ18" s="1"/>
      <c r="IR18" s="1"/>
      <c r="IS18" s="1"/>
      <c r="IT18" s="1"/>
    </row>
    <row r="19" spans="1:254" s="84" customFormat="1" ht="12.95" customHeight="1" thickBot="1" x14ac:dyDescent="0.2">
      <c r="A19" s="956" t="s">
        <v>653</v>
      </c>
      <c r="B19" s="956"/>
      <c r="C19" s="957" t="s">
        <v>441</v>
      </c>
      <c r="D19" s="957"/>
      <c r="E19" s="958" t="s">
        <v>513</v>
      </c>
      <c r="F19" s="958"/>
      <c r="G19" s="946" t="s">
        <v>4</v>
      </c>
      <c r="H19" s="946"/>
      <c r="I19" s="948" t="s">
        <v>654</v>
      </c>
      <c r="J19" s="948"/>
      <c r="K19" s="948" t="s">
        <v>655</v>
      </c>
      <c r="L19" s="948"/>
      <c r="M19" s="960"/>
      <c r="N19" s="951"/>
      <c r="O19" s="951"/>
      <c r="P19" s="983"/>
      <c r="Q19" s="951"/>
      <c r="R19" s="951"/>
      <c r="S19" s="951"/>
      <c r="T19" s="951"/>
      <c r="U19" s="951"/>
      <c r="V19" s="951"/>
      <c r="W19" s="951"/>
      <c r="X19" s="951"/>
      <c r="Y19" s="951"/>
      <c r="Z19" s="951"/>
      <c r="AA19" s="951"/>
      <c r="AB19" s="951"/>
      <c r="AC19" s="951"/>
      <c r="AD19" s="951"/>
      <c r="AE19" s="951"/>
      <c r="AF19" s="951"/>
      <c r="AG19" s="951"/>
      <c r="AH19" s="951"/>
      <c r="AI19" s="951"/>
      <c r="AJ19" s="951"/>
      <c r="AK19" s="951"/>
      <c r="AL19" s="951"/>
      <c r="AM19" s="951"/>
      <c r="AN19" s="951"/>
      <c r="AO19" s="951"/>
      <c r="AP19" s="951"/>
      <c r="AQ19" s="951"/>
      <c r="AR19" s="951"/>
      <c r="AS19" s="951"/>
      <c r="AT19" s="951"/>
      <c r="AU19" s="951"/>
      <c r="AV19" s="951"/>
      <c r="AW19" s="951"/>
      <c r="AX19" s="951"/>
      <c r="AY19" s="951"/>
      <c r="AZ19" s="951"/>
      <c r="BA19" s="951"/>
      <c r="BB19" s="951"/>
      <c r="BC19" s="951"/>
      <c r="BD19" s="951"/>
      <c r="BE19" s="951"/>
      <c r="BF19" s="951"/>
      <c r="BG19" s="951"/>
      <c r="BH19" s="951"/>
      <c r="BI19" s="951"/>
      <c r="BJ19" s="951"/>
      <c r="BK19" s="951"/>
      <c r="BL19" s="951"/>
      <c r="BM19" s="951"/>
      <c r="BN19" s="951"/>
      <c r="BO19" s="951"/>
      <c r="BP19" s="951"/>
      <c r="BQ19" s="951"/>
      <c r="BR19" s="951"/>
      <c r="BS19" s="951"/>
      <c r="BT19" s="951"/>
      <c r="BU19" s="951"/>
      <c r="BV19" s="951"/>
      <c r="BW19" s="951"/>
      <c r="BX19" s="951"/>
      <c r="BY19" s="951"/>
      <c r="BZ19" s="951"/>
      <c r="CA19" s="951"/>
      <c r="CB19" s="951"/>
      <c r="CC19" s="951"/>
      <c r="CD19" s="951"/>
      <c r="CE19" s="951"/>
      <c r="CF19" s="951"/>
      <c r="CG19" s="951"/>
      <c r="CH19" s="951"/>
      <c r="CI19" s="951"/>
      <c r="CJ19" s="951"/>
      <c r="CK19" s="951"/>
      <c r="CL19" s="951"/>
      <c r="CM19" s="951"/>
      <c r="CN19" s="951"/>
      <c r="CO19" s="951"/>
      <c r="CP19" s="951"/>
      <c r="CQ19" s="951"/>
      <c r="CR19" s="951"/>
      <c r="CS19" s="951"/>
      <c r="CT19" s="951"/>
      <c r="CU19" s="951"/>
      <c r="CV19" s="951"/>
      <c r="CW19" s="951"/>
      <c r="CX19" s="951"/>
      <c r="CY19" s="951"/>
      <c r="CZ19" s="951"/>
      <c r="DA19" s="951"/>
      <c r="DB19" s="951"/>
      <c r="DC19" s="951"/>
      <c r="DD19" s="951"/>
      <c r="DE19" s="951"/>
      <c r="DF19" s="951"/>
      <c r="DG19" s="951"/>
      <c r="DH19" s="951"/>
      <c r="DI19" s="951"/>
      <c r="DJ19" s="951"/>
      <c r="DK19" s="951"/>
      <c r="DL19" s="951"/>
      <c r="DM19" s="951"/>
      <c r="DN19" s="951"/>
      <c r="DO19" s="951"/>
      <c r="DP19" s="951"/>
      <c r="DQ19" s="951"/>
      <c r="DR19" s="951"/>
      <c r="DS19" s="951"/>
      <c r="DT19" s="951"/>
      <c r="DU19" s="951"/>
      <c r="DV19" s="951"/>
      <c r="DW19" s="951"/>
      <c r="DX19" s="951"/>
      <c r="DY19" s="951"/>
      <c r="DZ19" s="951"/>
      <c r="EA19" s="951"/>
      <c r="EB19" s="951"/>
      <c r="EC19" s="951"/>
      <c r="ED19" s="951"/>
      <c r="EE19" s="951"/>
      <c r="EF19" s="951"/>
      <c r="EG19" s="951"/>
      <c r="EH19" s="951"/>
      <c r="EI19" s="951"/>
      <c r="EJ19" s="951"/>
      <c r="EK19" s="951"/>
      <c r="EL19" s="951"/>
      <c r="EM19" s="951"/>
      <c r="EN19" s="951"/>
      <c r="EO19" s="951"/>
      <c r="EP19" s="951"/>
      <c r="EQ19" s="951"/>
      <c r="ER19" s="951"/>
      <c r="ES19" s="951"/>
      <c r="ET19" s="951"/>
      <c r="EU19" s="951"/>
      <c r="EV19" s="951"/>
      <c r="EW19" s="951"/>
      <c r="EX19" s="951"/>
      <c r="EY19" s="951"/>
      <c r="EZ19" s="951"/>
      <c r="FA19" s="951"/>
      <c r="FB19" s="951"/>
      <c r="FC19" s="951"/>
      <c r="FD19" s="951"/>
      <c r="FE19" s="951"/>
      <c r="FF19" s="951"/>
      <c r="FG19" s="951"/>
      <c r="FH19" s="951"/>
      <c r="FI19" s="951"/>
      <c r="FJ19" s="951"/>
      <c r="FK19" s="951"/>
      <c r="FL19" s="951"/>
      <c r="FM19" s="951"/>
      <c r="FN19" s="951"/>
      <c r="FO19" s="951"/>
      <c r="FP19" s="951"/>
      <c r="FQ19" s="951"/>
      <c r="FR19" s="951"/>
      <c r="FS19" s="951"/>
      <c r="FT19" s="951"/>
      <c r="FU19" s="951"/>
      <c r="FV19" s="951"/>
      <c r="FW19" s="951"/>
      <c r="FX19" s="951"/>
      <c r="FY19" s="951"/>
      <c r="FZ19" s="951"/>
      <c r="GA19" s="951"/>
      <c r="GB19" s="951"/>
      <c r="GC19" s="951"/>
      <c r="GD19" s="951"/>
      <c r="GE19" s="951"/>
      <c r="GF19" s="951"/>
      <c r="GG19" s="951"/>
      <c r="GH19" s="951"/>
      <c r="GI19" s="951"/>
      <c r="GJ19" s="951"/>
      <c r="GK19" s="951"/>
      <c r="GL19" s="951"/>
      <c r="GM19" s="951"/>
      <c r="GN19" s="951"/>
      <c r="GO19" s="951"/>
      <c r="GP19" s="951"/>
      <c r="GQ19" s="951"/>
      <c r="GR19" s="951"/>
      <c r="GS19" s="951"/>
      <c r="GT19" s="951"/>
      <c r="GU19" s="951"/>
      <c r="GV19" s="951"/>
      <c r="GW19" s="951"/>
      <c r="GX19" s="951"/>
      <c r="GY19" s="951"/>
      <c r="GZ19" s="951"/>
      <c r="HA19" s="951"/>
      <c r="HB19" s="951"/>
      <c r="HC19" s="951"/>
      <c r="HD19" s="951"/>
      <c r="HE19" s="951"/>
      <c r="HF19" s="951"/>
      <c r="HG19" s="951"/>
      <c r="HH19" s="951"/>
      <c r="HI19" s="951"/>
      <c r="HJ19" s="951"/>
      <c r="HK19" s="951"/>
      <c r="HL19" s="951"/>
      <c r="HM19" s="951"/>
      <c r="HN19" s="951"/>
      <c r="HO19" s="951"/>
      <c r="HP19" s="951"/>
      <c r="HQ19" s="951"/>
      <c r="HR19" s="951"/>
      <c r="HS19" s="951"/>
      <c r="HT19" s="951"/>
      <c r="HU19" s="951"/>
      <c r="HV19" s="951"/>
      <c r="HW19" s="951"/>
      <c r="HX19" s="951"/>
      <c r="HY19" s="951"/>
      <c r="HZ19" s="951"/>
      <c r="IA19" s="951"/>
      <c r="IB19" s="951"/>
      <c r="IC19" s="951"/>
      <c r="ID19" s="951"/>
      <c r="IE19" s="951"/>
      <c r="IF19" s="951"/>
      <c r="IG19" s="951"/>
      <c r="IH19" s="951"/>
      <c r="II19" s="951"/>
      <c r="IJ19" s="951"/>
      <c r="IK19" s="951"/>
      <c r="IL19" s="951"/>
      <c r="IM19" s="1"/>
      <c r="IN19" s="1"/>
      <c r="IO19" s="1"/>
      <c r="IP19" s="1"/>
      <c r="IQ19" s="1"/>
      <c r="IR19" s="1"/>
      <c r="IS19" s="1"/>
      <c r="IT19" s="1"/>
    </row>
    <row r="20" spans="1:254" s="84" customFormat="1" ht="12.95" customHeight="1" thickBot="1" x14ac:dyDescent="0.2">
      <c r="A20" s="85">
        <f>B20+SUM(O24:IL24)</f>
        <v>12</v>
      </c>
      <c r="B20" s="9">
        <f>J24+L24</f>
        <v>12</v>
      </c>
      <c r="C20" s="86">
        <f>D20-SUM(O25:IL25)+SUM(O26:IL26)</f>
        <v>18</v>
      </c>
      <c r="D20" s="10">
        <f>J26+L26</f>
        <v>18</v>
      </c>
      <c r="E20" s="11">
        <f>J27+SUM(L26:L27)</f>
        <v>16</v>
      </c>
      <c r="F20" s="12">
        <f>E20+SUM(O27:IL27)</f>
        <v>16</v>
      </c>
      <c r="G20" s="982" t="str">
        <f>キャラシート!C13</f>
        <v>－</v>
      </c>
      <c r="H20" s="982"/>
      <c r="I20" s="942" t="s">
        <v>18</v>
      </c>
      <c r="J20" s="942"/>
      <c r="K20" s="942" t="s">
        <v>18</v>
      </c>
      <c r="L20" s="942"/>
      <c r="M20" s="960"/>
      <c r="N20" s="960"/>
      <c r="O20" s="951"/>
      <c r="P20" s="983"/>
      <c r="Q20" s="951"/>
      <c r="R20" s="951"/>
      <c r="S20" s="951"/>
      <c r="T20" s="951"/>
      <c r="U20" s="951"/>
      <c r="V20" s="951"/>
      <c r="W20" s="951"/>
      <c r="X20" s="951"/>
      <c r="Y20" s="951"/>
      <c r="Z20" s="951"/>
      <c r="AA20" s="951"/>
      <c r="AB20" s="951"/>
      <c r="AC20" s="951"/>
      <c r="AD20" s="951"/>
      <c r="AE20" s="951"/>
      <c r="AF20" s="951"/>
      <c r="AG20" s="951"/>
      <c r="AH20" s="951"/>
      <c r="AI20" s="951"/>
      <c r="AJ20" s="951"/>
      <c r="AK20" s="951"/>
      <c r="AL20" s="951"/>
      <c r="AM20" s="951"/>
      <c r="AN20" s="951"/>
      <c r="AO20" s="951"/>
      <c r="AP20" s="951"/>
      <c r="AQ20" s="951"/>
      <c r="AR20" s="951"/>
      <c r="AS20" s="951"/>
      <c r="AT20" s="951"/>
      <c r="AU20" s="951"/>
      <c r="AV20" s="951"/>
      <c r="AW20" s="951"/>
      <c r="AX20" s="951"/>
      <c r="AY20" s="951"/>
      <c r="AZ20" s="951"/>
      <c r="BA20" s="951"/>
      <c r="BB20" s="951"/>
      <c r="BC20" s="951"/>
      <c r="BD20" s="951"/>
      <c r="BE20" s="951"/>
      <c r="BF20" s="951"/>
      <c r="BG20" s="951"/>
      <c r="BH20" s="951"/>
      <c r="BI20" s="951"/>
      <c r="BJ20" s="951"/>
      <c r="BK20" s="951"/>
      <c r="BL20" s="951"/>
      <c r="BM20" s="951"/>
      <c r="BN20" s="951"/>
      <c r="BO20" s="951"/>
      <c r="BP20" s="951"/>
      <c r="BQ20" s="951"/>
      <c r="BR20" s="951"/>
      <c r="BS20" s="951"/>
      <c r="BT20" s="951"/>
      <c r="BU20" s="951"/>
      <c r="BV20" s="951"/>
      <c r="BW20" s="951"/>
      <c r="BX20" s="951"/>
      <c r="BY20" s="951"/>
      <c r="BZ20" s="951"/>
      <c r="CA20" s="951"/>
      <c r="CB20" s="951"/>
      <c r="CC20" s="951"/>
      <c r="CD20" s="951"/>
      <c r="CE20" s="951"/>
      <c r="CF20" s="951"/>
      <c r="CG20" s="951"/>
      <c r="CH20" s="951"/>
      <c r="CI20" s="951"/>
      <c r="CJ20" s="951"/>
      <c r="CK20" s="951"/>
      <c r="CL20" s="951"/>
      <c r="CM20" s="951"/>
      <c r="CN20" s="951"/>
      <c r="CO20" s="951"/>
      <c r="CP20" s="951"/>
      <c r="CQ20" s="951"/>
      <c r="CR20" s="951"/>
      <c r="CS20" s="951"/>
      <c r="CT20" s="951"/>
      <c r="CU20" s="951"/>
      <c r="CV20" s="951"/>
      <c r="CW20" s="951"/>
      <c r="CX20" s="951"/>
      <c r="CY20" s="951"/>
      <c r="CZ20" s="951"/>
      <c r="DA20" s="951"/>
      <c r="DB20" s="951"/>
      <c r="DC20" s="951"/>
      <c r="DD20" s="951"/>
      <c r="DE20" s="951"/>
      <c r="DF20" s="951"/>
      <c r="DG20" s="951"/>
      <c r="DH20" s="951"/>
      <c r="DI20" s="951"/>
      <c r="DJ20" s="951"/>
      <c r="DK20" s="951"/>
      <c r="DL20" s="951"/>
      <c r="DM20" s="951"/>
      <c r="DN20" s="951"/>
      <c r="DO20" s="951"/>
      <c r="DP20" s="951"/>
      <c r="DQ20" s="951"/>
      <c r="DR20" s="951"/>
      <c r="DS20" s="951"/>
      <c r="DT20" s="951"/>
      <c r="DU20" s="951"/>
      <c r="DV20" s="951"/>
      <c r="DW20" s="951"/>
      <c r="DX20" s="951"/>
      <c r="DY20" s="951"/>
      <c r="DZ20" s="951"/>
      <c r="EA20" s="951"/>
      <c r="EB20" s="951"/>
      <c r="EC20" s="951"/>
      <c r="ED20" s="951"/>
      <c r="EE20" s="951"/>
      <c r="EF20" s="951"/>
      <c r="EG20" s="951"/>
      <c r="EH20" s="951"/>
      <c r="EI20" s="951"/>
      <c r="EJ20" s="951"/>
      <c r="EK20" s="951"/>
      <c r="EL20" s="951"/>
      <c r="EM20" s="951"/>
      <c r="EN20" s="951"/>
      <c r="EO20" s="951"/>
      <c r="EP20" s="951"/>
      <c r="EQ20" s="951"/>
      <c r="ER20" s="951"/>
      <c r="ES20" s="951"/>
      <c r="ET20" s="951"/>
      <c r="EU20" s="951"/>
      <c r="EV20" s="951"/>
      <c r="EW20" s="951"/>
      <c r="EX20" s="951"/>
      <c r="EY20" s="951"/>
      <c r="EZ20" s="951"/>
      <c r="FA20" s="951"/>
      <c r="FB20" s="951"/>
      <c r="FC20" s="951"/>
      <c r="FD20" s="951"/>
      <c r="FE20" s="951"/>
      <c r="FF20" s="951"/>
      <c r="FG20" s="951"/>
      <c r="FH20" s="951"/>
      <c r="FI20" s="951"/>
      <c r="FJ20" s="951"/>
      <c r="FK20" s="951"/>
      <c r="FL20" s="951"/>
      <c r="FM20" s="951"/>
      <c r="FN20" s="951"/>
      <c r="FO20" s="951"/>
      <c r="FP20" s="951"/>
      <c r="FQ20" s="951"/>
      <c r="FR20" s="951"/>
      <c r="FS20" s="951"/>
      <c r="FT20" s="951"/>
      <c r="FU20" s="951"/>
      <c r="FV20" s="951"/>
      <c r="FW20" s="951"/>
      <c r="FX20" s="951"/>
      <c r="FY20" s="951"/>
      <c r="FZ20" s="951"/>
      <c r="GA20" s="951"/>
      <c r="GB20" s="951"/>
      <c r="GC20" s="951"/>
      <c r="GD20" s="951"/>
      <c r="GE20" s="951"/>
      <c r="GF20" s="951"/>
      <c r="GG20" s="951"/>
      <c r="GH20" s="951"/>
      <c r="GI20" s="951"/>
      <c r="GJ20" s="951"/>
      <c r="GK20" s="951"/>
      <c r="GL20" s="951"/>
      <c r="GM20" s="951"/>
      <c r="GN20" s="951"/>
      <c r="GO20" s="951"/>
      <c r="GP20" s="951"/>
      <c r="GQ20" s="951"/>
      <c r="GR20" s="951"/>
      <c r="GS20" s="951"/>
      <c r="GT20" s="951"/>
      <c r="GU20" s="951"/>
      <c r="GV20" s="951"/>
      <c r="GW20" s="951"/>
      <c r="GX20" s="951"/>
      <c r="GY20" s="951"/>
      <c r="GZ20" s="951"/>
      <c r="HA20" s="951"/>
      <c r="HB20" s="951"/>
      <c r="HC20" s="951"/>
      <c r="HD20" s="951"/>
      <c r="HE20" s="951"/>
      <c r="HF20" s="951"/>
      <c r="HG20" s="951"/>
      <c r="HH20" s="951"/>
      <c r="HI20" s="951"/>
      <c r="HJ20" s="951"/>
      <c r="HK20" s="951"/>
      <c r="HL20" s="951"/>
      <c r="HM20" s="951"/>
      <c r="HN20" s="951"/>
      <c r="HO20" s="951"/>
      <c r="HP20" s="951"/>
      <c r="HQ20" s="951"/>
      <c r="HR20" s="951"/>
      <c r="HS20" s="951"/>
      <c r="HT20" s="951"/>
      <c r="HU20" s="951"/>
      <c r="HV20" s="951"/>
      <c r="HW20" s="951"/>
      <c r="HX20" s="951"/>
      <c r="HY20" s="951"/>
      <c r="HZ20" s="951"/>
      <c r="IA20" s="951"/>
      <c r="IB20" s="951"/>
      <c r="IC20" s="951"/>
      <c r="ID20" s="951"/>
      <c r="IE20" s="951"/>
      <c r="IF20" s="951"/>
      <c r="IG20" s="951"/>
      <c r="IH20" s="951"/>
      <c r="II20" s="951"/>
      <c r="IJ20" s="951"/>
      <c r="IK20" s="951"/>
      <c r="IL20" s="951"/>
      <c r="IM20" s="1"/>
      <c r="IN20" s="1"/>
      <c r="IO20" s="1"/>
      <c r="IP20" s="1"/>
      <c r="IQ20" s="1"/>
      <c r="IR20" s="1"/>
      <c r="IS20" s="1"/>
      <c r="IT20" s="1"/>
    </row>
    <row r="21" spans="1:254" s="84" customFormat="1" ht="12" customHeight="1" thickBot="1" x14ac:dyDescent="0.2">
      <c r="A21" s="943" t="s">
        <v>447</v>
      </c>
      <c r="B21" s="944">
        <f>キャラシート!D27</f>
        <v>5</v>
      </c>
      <c r="C21" s="87" t="s">
        <v>656</v>
      </c>
      <c r="D21" s="88" t="s">
        <v>657</v>
      </c>
      <c r="E21" s="945" t="str">
        <f>IF(F20&lt;100,IF(F20&lt;50,"通常状態",IF(F20&lt;60,"暴走Lv1 ",IF(F20&lt;70,"暴走Lv2",IF(F20&lt;80,"暴走Lv3",IF(F20&lt;90,"暴走Lv4","暴走Lv5"))))),IF(F20&lt;110,"臨界Lv1",IF(F20&lt;120,"臨界Lv2",IF(F20&lt;130,"臨界Lv3",IF(F20&lt;140,"臨界Lv4",IF(F20&lt;150,"臨界Lv5",IF(F20&lt;150,"活性Lv5","因子崩壊")))))))</f>
        <v>通常状態</v>
      </c>
      <c r="F21" s="945"/>
      <c r="G21" s="946" t="s">
        <v>15</v>
      </c>
      <c r="H21" s="946"/>
      <c r="I21" s="948" t="s">
        <v>467</v>
      </c>
      <c r="J21" s="948"/>
      <c r="K21" s="948" t="s">
        <v>658</v>
      </c>
      <c r="L21" s="948"/>
      <c r="M21" s="960"/>
      <c r="N21" s="960"/>
      <c r="O21" s="951"/>
      <c r="P21" s="983"/>
      <c r="Q21" s="951"/>
      <c r="R21" s="951"/>
      <c r="S21" s="951"/>
      <c r="T21" s="951"/>
      <c r="U21" s="951"/>
      <c r="V21" s="951"/>
      <c r="W21" s="951"/>
      <c r="X21" s="951"/>
      <c r="Y21" s="951"/>
      <c r="Z21" s="951"/>
      <c r="AA21" s="951"/>
      <c r="AB21" s="951"/>
      <c r="AC21" s="951"/>
      <c r="AD21" s="951"/>
      <c r="AE21" s="951"/>
      <c r="AF21" s="951"/>
      <c r="AG21" s="951"/>
      <c r="AH21" s="951"/>
      <c r="AI21" s="951"/>
      <c r="AJ21" s="951"/>
      <c r="AK21" s="951"/>
      <c r="AL21" s="951"/>
      <c r="AM21" s="951"/>
      <c r="AN21" s="951"/>
      <c r="AO21" s="951"/>
      <c r="AP21" s="951"/>
      <c r="AQ21" s="951"/>
      <c r="AR21" s="951"/>
      <c r="AS21" s="951"/>
      <c r="AT21" s="951"/>
      <c r="AU21" s="951"/>
      <c r="AV21" s="951"/>
      <c r="AW21" s="951"/>
      <c r="AX21" s="951"/>
      <c r="AY21" s="951"/>
      <c r="AZ21" s="951"/>
      <c r="BA21" s="951"/>
      <c r="BB21" s="951"/>
      <c r="BC21" s="951"/>
      <c r="BD21" s="951"/>
      <c r="BE21" s="951"/>
      <c r="BF21" s="951"/>
      <c r="BG21" s="951"/>
      <c r="BH21" s="951"/>
      <c r="BI21" s="951"/>
      <c r="BJ21" s="951"/>
      <c r="BK21" s="951"/>
      <c r="BL21" s="951"/>
      <c r="BM21" s="951"/>
      <c r="BN21" s="951"/>
      <c r="BO21" s="951"/>
      <c r="BP21" s="951"/>
      <c r="BQ21" s="951"/>
      <c r="BR21" s="951"/>
      <c r="BS21" s="951"/>
      <c r="BT21" s="951"/>
      <c r="BU21" s="951"/>
      <c r="BV21" s="951"/>
      <c r="BW21" s="951"/>
      <c r="BX21" s="951"/>
      <c r="BY21" s="951"/>
      <c r="BZ21" s="951"/>
      <c r="CA21" s="951"/>
      <c r="CB21" s="951"/>
      <c r="CC21" s="951"/>
      <c r="CD21" s="951"/>
      <c r="CE21" s="951"/>
      <c r="CF21" s="951"/>
      <c r="CG21" s="951"/>
      <c r="CH21" s="951"/>
      <c r="CI21" s="951"/>
      <c r="CJ21" s="951"/>
      <c r="CK21" s="951"/>
      <c r="CL21" s="951"/>
      <c r="CM21" s="951"/>
      <c r="CN21" s="951"/>
      <c r="CO21" s="951"/>
      <c r="CP21" s="951"/>
      <c r="CQ21" s="951"/>
      <c r="CR21" s="951"/>
      <c r="CS21" s="951"/>
      <c r="CT21" s="951"/>
      <c r="CU21" s="951"/>
      <c r="CV21" s="951"/>
      <c r="CW21" s="951"/>
      <c r="CX21" s="951"/>
      <c r="CY21" s="951"/>
      <c r="CZ21" s="951"/>
      <c r="DA21" s="951"/>
      <c r="DB21" s="951"/>
      <c r="DC21" s="951"/>
      <c r="DD21" s="951"/>
      <c r="DE21" s="951"/>
      <c r="DF21" s="951"/>
      <c r="DG21" s="951"/>
      <c r="DH21" s="951"/>
      <c r="DI21" s="951"/>
      <c r="DJ21" s="951"/>
      <c r="DK21" s="951"/>
      <c r="DL21" s="951"/>
      <c r="DM21" s="951"/>
      <c r="DN21" s="951"/>
      <c r="DO21" s="951"/>
      <c r="DP21" s="951"/>
      <c r="DQ21" s="951"/>
      <c r="DR21" s="951"/>
      <c r="DS21" s="951"/>
      <c r="DT21" s="951"/>
      <c r="DU21" s="951"/>
      <c r="DV21" s="951"/>
      <c r="DW21" s="951"/>
      <c r="DX21" s="951"/>
      <c r="DY21" s="951"/>
      <c r="DZ21" s="951"/>
      <c r="EA21" s="951"/>
      <c r="EB21" s="951"/>
      <c r="EC21" s="951"/>
      <c r="ED21" s="951"/>
      <c r="EE21" s="951"/>
      <c r="EF21" s="951"/>
      <c r="EG21" s="951"/>
      <c r="EH21" s="951"/>
      <c r="EI21" s="951"/>
      <c r="EJ21" s="951"/>
      <c r="EK21" s="951"/>
      <c r="EL21" s="951"/>
      <c r="EM21" s="951"/>
      <c r="EN21" s="951"/>
      <c r="EO21" s="951"/>
      <c r="EP21" s="951"/>
      <c r="EQ21" s="951"/>
      <c r="ER21" s="951"/>
      <c r="ES21" s="951"/>
      <c r="ET21" s="951"/>
      <c r="EU21" s="951"/>
      <c r="EV21" s="951"/>
      <c r="EW21" s="951"/>
      <c r="EX21" s="951"/>
      <c r="EY21" s="951"/>
      <c r="EZ21" s="951"/>
      <c r="FA21" s="951"/>
      <c r="FB21" s="951"/>
      <c r="FC21" s="951"/>
      <c r="FD21" s="951"/>
      <c r="FE21" s="951"/>
      <c r="FF21" s="951"/>
      <c r="FG21" s="951"/>
      <c r="FH21" s="951"/>
      <c r="FI21" s="951"/>
      <c r="FJ21" s="951"/>
      <c r="FK21" s="951"/>
      <c r="FL21" s="951"/>
      <c r="FM21" s="951"/>
      <c r="FN21" s="951"/>
      <c r="FO21" s="951"/>
      <c r="FP21" s="951"/>
      <c r="FQ21" s="951"/>
      <c r="FR21" s="951"/>
      <c r="FS21" s="951"/>
      <c r="FT21" s="951"/>
      <c r="FU21" s="951"/>
      <c r="FV21" s="951"/>
      <c r="FW21" s="951"/>
      <c r="FX21" s="951"/>
      <c r="FY21" s="951"/>
      <c r="FZ21" s="951"/>
      <c r="GA21" s="951"/>
      <c r="GB21" s="951"/>
      <c r="GC21" s="951"/>
      <c r="GD21" s="951"/>
      <c r="GE21" s="951"/>
      <c r="GF21" s="951"/>
      <c r="GG21" s="951"/>
      <c r="GH21" s="951"/>
      <c r="GI21" s="951"/>
      <c r="GJ21" s="951"/>
      <c r="GK21" s="951"/>
      <c r="GL21" s="951"/>
      <c r="GM21" s="951"/>
      <c r="GN21" s="951"/>
      <c r="GO21" s="951"/>
      <c r="GP21" s="951"/>
      <c r="GQ21" s="951"/>
      <c r="GR21" s="951"/>
      <c r="GS21" s="951"/>
      <c r="GT21" s="951"/>
      <c r="GU21" s="951"/>
      <c r="GV21" s="951"/>
      <c r="GW21" s="951"/>
      <c r="GX21" s="951"/>
      <c r="GY21" s="951"/>
      <c r="GZ21" s="951"/>
      <c r="HA21" s="951"/>
      <c r="HB21" s="951"/>
      <c r="HC21" s="951"/>
      <c r="HD21" s="951"/>
      <c r="HE21" s="951"/>
      <c r="HF21" s="951"/>
      <c r="HG21" s="951"/>
      <c r="HH21" s="951"/>
      <c r="HI21" s="951"/>
      <c r="HJ21" s="951"/>
      <c r="HK21" s="951"/>
      <c r="HL21" s="951"/>
      <c r="HM21" s="951"/>
      <c r="HN21" s="951"/>
      <c r="HO21" s="951"/>
      <c r="HP21" s="951"/>
      <c r="HQ21" s="951"/>
      <c r="HR21" s="951"/>
      <c r="HS21" s="951"/>
      <c r="HT21" s="951"/>
      <c r="HU21" s="951"/>
      <c r="HV21" s="951"/>
      <c r="HW21" s="951"/>
      <c r="HX21" s="951"/>
      <c r="HY21" s="951"/>
      <c r="HZ21" s="951"/>
      <c r="IA21" s="951"/>
      <c r="IB21" s="951"/>
      <c r="IC21" s="951"/>
      <c r="ID21" s="951"/>
      <c r="IE21" s="951"/>
      <c r="IF21" s="951"/>
      <c r="IG21" s="951"/>
      <c r="IH21" s="951"/>
      <c r="II21" s="951"/>
      <c r="IJ21" s="951"/>
      <c r="IK21" s="951"/>
      <c r="IL21" s="951"/>
      <c r="IM21" s="1"/>
      <c r="IN21" s="1"/>
      <c r="IO21" s="1"/>
      <c r="IP21" s="1"/>
      <c r="IQ21" s="1"/>
      <c r="IR21" s="1"/>
      <c r="IS21" s="1"/>
      <c r="IT21" s="1"/>
    </row>
    <row r="22" spans="1:254" s="84" customFormat="1" ht="12.95" customHeight="1" thickBot="1" x14ac:dyDescent="0.2">
      <c r="A22" s="943"/>
      <c r="B22" s="944"/>
      <c r="C22" s="89">
        <f>SUM(L25:IQ25)</f>
        <v>0</v>
      </c>
      <c r="D22" s="13">
        <f>ROUNDDOWN((C22/5),0)+SUM(I23:IL23)</f>
        <v>0</v>
      </c>
      <c r="E22" s="949" t="str">
        <f>IF(F20&lt;50,"未活性",IF(F20&lt;60,"活性Lv1",IF(F20&lt;70,"活性Lv2",IF(F20&lt;80,"活性Lv3",IF(F20&lt;90,"活性Lv4",IF(F20&lt;100,"活性Lv5",IF(F20&lt;150,"活性Lv5","強制キャラロスト")))))))</f>
        <v>未活性</v>
      </c>
      <c r="F22" s="949"/>
      <c r="G22" s="980" t="str">
        <f>キャラシート!J6</f>
        <v>－</v>
      </c>
      <c r="H22" s="980"/>
      <c r="I22" s="981">
        <f>キャラシート!L6</f>
        <v>0</v>
      </c>
      <c r="J22" s="981"/>
      <c r="K22" s="934" t="str">
        <f>IF(OR(A20&lt;=B20/2,F20&gt;=90),IF(F20&gt;=120,"オーバーフロー","発動中"),"-")</f>
        <v>-</v>
      </c>
      <c r="L22" s="934"/>
      <c r="M22" s="960"/>
      <c r="N22" s="960"/>
      <c r="O22" s="951"/>
      <c r="P22" s="983"/>
      <c r="Q22" s="951"/>
      <c r="R22" s="951"/>
      <c r="S22" s="951"/>
      <c r="T22" s="951"/>
      <c r="U22" s="951"/>
      <c r="V22" s="951"/>
      <c r="W22" s="951"/>
      <c r="X22" s="951"/>
      <c r="Y22" s="951"/>
      <c r="Z22" s="951"/>
      <c r="AA22" s="951"/>
      <c r="AB22" s="951"/>
      <c r="AC22" s="951"/>
      <c r="AD22" s="951"/>
      <c r="AE22" s="951"/>
      <c r="AF22" s="951"/>
      <c r="AG22" s="951"/>
      <c r="AH22" s="951"/>
      <c r="AI22" s="951"/>
      <c r="AJ22" s="951"/>
      <c r="AK22" s="951"/>
      <c r="AL22" s="951"/>
      <c r="AM22" s="951"/>
      <c r="AN22" s="951"/>
      <c r="AO22" s="951"/>
      <c r="AP22" s="951"/>
      <c r="AQ22" s="951"/>
      <c r="AR22" s="951"/>
      <c r="AS22" s="951"/>
      <c r="AT22" s="951"/>
      <c r="AU22" s="951"/>
      <c r="AV22" s="951"/>
      <c r="AW22" s="951"/>
      <c r="AX22" s="951"/>
      <c r="AY22" s="951"/>
      <c r="AZ22" s="951"/>
      <c r="BA22" s="951"/>
      <c r="BB22" s="951"/>
      <c r="BC22" s="951"/>
      <c r="BD22" s="951"/>
      <c r="BE22" s="951"/>
      <c r="BF22" s="951"/>
      <c r="BG22" s="951"/>
      <c r="BH22" s="951"/>
      <c r="BI22" s="951"/>
      <c r="BJ22" s="951"/>
      <c r="BK22" s="951"/>
      <c r="BL22" s="951"/>
      <c r="BM22" s="951"/>
      <c r="BN22" s="951"/>
      <c r="BO22" s="951"/>
      <c r="BP22" s="951"/>
      <c r="BQ22" s="951"/>
      <c r="BR22" s="951"/>
      <c r="BS22" s="951"/>
      <c r="BT22" s="951"/>
      <c r="BU22" s="951"/>
      <c r="BV22" s="951"/>
      <c r="BW22" s="951"/>
      <c r="BX22" s="951"/>
      <c r="BY22" s="951"/>
      <c r="BZ22" s="951"/>
      <c r="CA22" s="951"/>
      <c r="CB22" s="951"/>
      <c r="CC22" s="951"/>
      <c r="CD22" s="951"/>
      <c r="CE22" s="951"/>
      <c r="CF22" s="951"/>
      <c r="CG22" s="951"/>
      <c r="CH22" s="951"/>
      <c r="CI22" s="951"/>
      <c r="CJ22" s="951"/>
      <c r="CK22" s="951"/>
      <c r="CL22" s="951"/>
      <c r="CM22" s="951"/>
      <c r="CN22" s="951"/>
      <c r="CO22" s="951"/>
      <c r="CP22" s="951"/>
      <c r="CQ22" s="951"/>
      <c r="CR22" s="951"/>
      <c r="CS22" s="951"/>
      <c r="CT22" s="951"/>
      <c r="CU22" s="951"/>
      <c r="CV22" s="951"/>
      <c r="CW22" s="951"/>
      <c r="CX22" s="951"/>
      <c r="CY22" s="951"/>
      <c r="CZ22" s="951"/>
      <c r="DA22" s="951"/>
      <c r="DB22" s="951"/>
      <c r="DC22" s="951"/>
      <c r="DD22" s="951"/>
      <c r="DE22" s="951"/>
      <c r="DF22" s="951"/>
      <c r="DG22" s="951"/>
      <c r="DH22" s="951"/>
      <c r="DI22" s="951"/>
      <c r="DJ22" s="951"/>
      <c r="DK22" s="951"/>
      <c r="DL22" s="951"/>
      <c r="DM22" s="951"/>
      <c r="DN22" s="951"/>
      <c r="DO22" s="951"/>
      <c r="DP22" s="951"/>
      <c r="DQ22" s="951"/>
      <c r="DR22" s="951"/>
      <c r="DS22" s="951"/>
      <c r="DT22" s="951"/>
      <c r="DU22" s="951"/>
      <c r="DV22" s="951"/>
      <c r="DW22" s="951"/>
      <c r="DX22" s="951"/>
      <c r="DY22" s="951"/>
      <c r="DZ22" s="951"/>
      <c r="EA22" s="951"/>
      <c r="EB22" s="951"/>
      <c r="EC22" s="951"/>
      <c r="ED22" s="951"/>
      <c r="EE22" s="951"/>
      <c r="EF22" s="951"/>
      <c r="EG22" s="951"/>
      <c r="EH22" s="951"/>
      <c r="EI22" s="951"/>
      <c r="EJ22" s="951"/>
      <c r="EK22" s="951"/>
      <c r="EL22" s="951"/>
      <c r="EM22" s="951"/>
      <c r="EN22" s="951"/>
      <c r="EO22" s="951"/>
      <c r="EP22" s="951"/>
      <c r="EQ22" s="951"/>
      <c r="ER22" s="951"/>
      <c r="ES22" s="951"/>
      <c r="ET22" s="951"/>
      <c r="EU22" s="951"/>
      <c r="EV22" s="951"/>
      <c r="EW22" s="951"/>
      <c r="EX22" s="951"/>
      <c r="EY22" s="951"/>
      <c r="EZ22" s="951"/>
      <c r="FA22" s="951"/>
      <c r="FB22" s="951"/>
      <c r="FC22" s="951"/>
      <c r="FD22" s="951"/>
      <c r="FE22" s="951"/>
      <c r="FF22" s="951"/>
      <c r="FG22" s="951"/>
      <c r="FH22" s="951"/>
      <c r="FI22" s="951"/>
      <c r="FJ22" s="951"/>
      <c r="FK22" s="951"/>
      <c r="FL22" s="951"/>
      <c r="FM22" s="951"/>
      <c r="FN22" s="951"/>
      <c r="FO22" s="951"/>
      <c r="FP22" s="951"/>
      <c r="FQ22" s="951"/>
      <c r="FR22" s="951"/>
      <c r="FS22" s="951"/>
      <c r="FT22" s="951"/>
      <c r="FU22" s="951"/>
      <c r="FV22" s="951"/>
      <c r="FW22" s="951"/>
      <c r="FX22" s="951"/>
      <c r="FY22" s="951"/>
      <c r="FZ22" s="951"/>
      <c r="GA22" s="951"/>
      <c r="GB22" s="951"/>
      <c r="GC22" s="951"/>
      <c r="GD22" s="951"/>
      <c r="GE22" s="951"/>
      <c r="GF22" s="951"/>
      <c r="GG22" s="951"/>
      <c r="GH22" s="951"/>
      <c r="GI22" s="951"/>
      <c r="GJ22" s="951"/>
      <c r="GK22" s="951"/>
      <c r="GL22" s="951"/>
      <c r="GM22" s="951"/>
      <c r="GN22" s="951"/>
      <c r="GO22" s="951"/>
      <c r="GP22" s="951"/>
      <c r="GQ22" s="951"/>
      <c r="GR22" s="951"/>
      <c r="GS22" s="951"/>
      <c r="GT22" s="951"/>
      <c r="GU22" s="951"/>
      <c r="GV22" s="951"/>
      <c r="GW22" s="951"/>
      <c r="GX22" s="951"/>
      <c r="GY22" s="951"/>
      <c r="GZ22" s="951"/>
      <c r="HA22" s="951"/>
      <c r="HB22" s="951"/>
      <c r="HC22" s="951"/>
      <c r="HD22" s="951"/>
      <c r="HE22" s="951"/>
      <c r="HF22" s="951"/>
      <c r="HG22" s="951"/>
      <c r="HH22" s="951"/>
      <c r="HI22" s="951"/>
      <c r="HJ22" s="951"/>
      <c r="HK22" s="951"/>
      <c r="HL22" s="951"/>
      <c r="HM22" s="951"/>
      <c r="HN22" s="951"/>
      <c r="HO22" s="951"/>
      <c r="HP22" s="951"/>
      <c r="HQ22" s="951"/>
      <c r="HR22" s="951"/>
      <c r="HS22" s="951"/>
      <c r="HT22" s="951"/>
      <c r="HU22" s="951"/>
      <c r="HV22" s="951"/>
      <c r="HW22" s="951"/>
      <c r="HX22" s="951"/>
      <c r="HY22" s="951"/>
      <c r="HZ22" s="951"/>
      <c r="IA22" s="951"/>
      <c r="IB22" s="951"/>
      <c r="IC22" s="951"/>
      <c r="ID22" s="951"/>
      <c r="IE22" s="951"/>
      <c r="IF22" s="951"/>
      <c r="IG22" s="951"/>
      <c r="IH22" s="951"/>
      <c r="II22" s="951"/>
      <c r="IJ22" s="951"/>
      <c r="IK22" s="951"/>
      <c r="IL22" s="951"/>
      <c r="IM22" s="1"/>
      <c r="IN22" s="1"/>
      <c r="IO22" s="1"/>
      <c r="IP22" s="1"/>
      <c r="IQ22" s="1"/>
      <c r="IR22" s="1"/>
      <c r="IS22" s="1"/>
      <c r="IT22" s="1"/>
    </row>
    <row r="23" spans="1:254" s="92" customFormat="1" ht="12.95" customHeight="1" thickBot="1" x14ac:dyDescent="0.2">
      <c r="A23" s="90" t="s">
        <v>439</v>
      </c>
      <c r="B23" s="14" t="str">
        <f>キャラシート!C31&amp;"+"&amp;キャラシート!D31&amp;"D6"</f>
        <v>6+1D6</v>
      </c>
      <c r="C23" s="935" t="str">
        <f>IF(G18="反応型",IF(50&gt;F20,"+0",IF(60&gt;F20,"+1",IF(70&gt;F20,"+2",IF(F20&gt;=70,"+3")))),"活性補正")</f>
        <v>活性補正</v>
      </c>
      <c r="D23" s="46" t="s">
        <v>440</v>
      </c>
      <c r="E23" s="15" t="str">
        <f>キャラシート!G31&amp;"D6"&amp;"+"&amp;キャラシート!H31</f>
        <v>0D6+0</v>
      </c>
      <c r="F23" s="936" t="str">
        <f>IF(G18="増強型",IF(50&gt;F20,"+0",IF(60&gt;F20,"+1",IF(70&gt;F20,"+2",IF(F20&gt;=70,"+3")))),"活性補正")</f>
        <v>活性補正</v>
      </c>
      <c r="G23" s="937" t="s">
        <v>659</v>
      </c>
      <c r="H23" s="937"/>
      <c r="I23" s="938" t="s">
        <v>660</v>
      </c>
      <c r="J23" s="938"/>
      <c r="K23" s="938"/>
      <c r="L23" s="938"/>
      <c r="M23" s="91" t="s">
        <v>661</v>
      </c>
      <c r="N23" s="92" t="s">
        <v>647</v>
      </c>
      <c r="IL23" s="93"/>
      <c r="IM23" s="1"/>
      <c r="IN23" s="1"/>
      <c r="IO23" s="1"/>
      <c r="IP23" s="1"/>
      <c r="IQ23" s="1"/>
      <c r="IR23" s="1"/>
      <c r="IS23" s="1"/>
      <c r="IT23" s="1"/>
    </row>
    <row r="24" spans="1:254" s="98" customFormat="1" ht="12.95" customHeight="1" thickBot="1" x14ac:dyDescent="0.2">
      <c r="A24" s="21" t="s">
        <v>442</v>
      </c>
      <c r="B24" s="16" t="str">
        <f>キャラシート!C33&amp;"+"&amp;キャラシート!D33&amp;"D6"</f>
        <v>7+1D6</v>
      </c>
      <c r="C24" s="935"/>
      <c r="D24" s="20" t="s">
        <v>443</v>
      </c>
      <c r="E24" s="17" t="str">
        <f>キャラシート!G33&amp;"D6"&amp;"+"&amp;キャラシート!H33</f>
        <v>0D6+0</v>
      </c>
      <c r="F24" s="936"/>
      <c r="G24" s="939" t="s">
        <v>662</v>
      </c>
      <c r="H24" s="939"/>
      <c r="I24" s="94" t="s">
        <v>663</v>
      </c>
      <c r="J24" s="95">
        <f>キャラシート!D17</f>
        <v>12</v>
      </c>
      <c r="K24" s="95" t="s">
        <v>664</v>
      </c>
      <c r="L24" s="96"/>
      <c r="M24" s="97" t="s">
        <v>661</v>
      </c>
      <c r="N24" s="95" t="s">
        <v>647</v>
      </c>
      <c r="O24" s="95"/>
      <c r="IL24" s="99"/>
      <c r="IM24" s="1"/>
      <c r="IN24" s="1"/>
      <c r="IO24" s="1"/>
      <c r="IP24" s="1"/>
      <c r="IQ24" s="1"/>
      <c r="IR24" s="1"/>
      <c r="IS24" s="1"/>
      <c r="IT24" s="1"/>
    </row>
    <row r="25" spans="1:254" s="105" customFormat="1" ht="12" customHeight="1" x14ac:dyDescent="0.15">
      <c r="A25" s="21" t="s">
        <v>445</v>
      </c>
      <c r="B25" s="16" t="str">
        <f>キャラシート!C35&amp;"+"&amp;キャラシート!D35&amp;"D6"</f>
        <v>7+1D6</v>
      </c>
      <c r="C25" s="935"/>
      <c r="D25" s="20" t="s">
        <v>446</v>
      </c>
      <c r="E25" s="17" t="str">
        <f>キャラシート!G35&amp;"D6"&amp;"+"&amp;キャラシート!H35</f>
        <v>0D6+0</v>
      </c>
      <c r="F25" s="936"/>
      <c r="G25" s="930" t="s">
        <v>665</v>
      </c>
      <c r="H25" s="930"/>
      <c r="I25" s="100"/>
      <c r="J25" s="101"/>
      <c r="K25" s="101"/>
      <c r="L25" s="102"/>
      <c r="M25" s="103" t="s">
        <v>666</v>
      </c>
      <c r="N25" s="104" t="s">
        <v>647</v>
      </c>
      <c r="O25" s="104"/>
      <c r="IL25" s="106"/>
      <c r="IM25" s="1"/>
      <c r="IN25" s="1"/>
      <c r="IO25" s="1"/>
      <c r="IP25" s="1"/>
      <c r="IQ25" s="1"/>
      <c r="IR25" s="1"/>
      <c r="IS25" s="1"/>
      <c r="IT25" s="1"/>
    </row>
    <row r="26" spans="1:254" s="105" customFormat="1" ht="12.95" customHeight="1" x14ac:dyDescent="0.15">
      <c r="A26" s="21" t="s">
        <v>293</v>
      </c>
      <c r="B26" s="104">
        <f>キャラシート!D23</f>
        <v>2</v>
      </c>
      <c r="C26" s="929" t="str">
        <f>IF(G18="増強型",IF(50&gt;F20,"+0",IF(60&gt;F20,"+1",IF(70&gt;F20,"+2",IF(F20&gt;=70,"+3")))),"活性補正")</f>
        <v>活性補正</v>
      </c>
      <c r="D26" s="20" t="s">
        <v>667</v>
      </c>
      <c r="E26" s="104">
        <f>キャラシート!H25</f>
        <v>4</v>
      </c>
      <c r="F26" s="18"/>
      <c r="G26" s="930" t="s">
        <v>668</v>
      </c>
      <c r="H26" s="930"/>
      <c r="I26" s="107" t="s">
        <v>669</v>
      </c>
      <c r="J26" s="104">
        <f>キャラシート!D19</f>
        <v>18</v>
      </c>
      <c r="K26" s="104" t="s">
        <v>670</v>
      </c>
      <c r="L26" s="108"/>
      <c r="M26" s="103" t="s">
        <v>1159</v>
      </c>
      <c r="N26" s="104" t="s">
        <v>647</v>
      </c>
      <c r="O26" s="104"/>
      <c r="IL26" s="106"/>
      <c r="IM26" s="1"/>
      <c r="IN26" s="1"/>
      <c r="IO26" s="1"/>
      <c r="IP26" s="1"/>
      <c r="IQ26" s="1"/>
      <c r="IR26" s="1"/>
      <c r="IS26" s="1"/>
      <c r="IT26" s="1"/>
    </row>
    <row r="27" spans="1:254" s="114" customFormat="1" ht="12.95" customHeight="1" thickBot="1" x14ac:dyDescent="0.2">
      <c r="A27" s="21" t="s">
        <v>444</v>
      </c>
      <c r="B27" s="104">
        <f>キャラシート!D25</f>
        <v>2</v>
      </c>
      <c r="C27" s="929"/>
      <c r="D27" s="20" t="s">
        <v>449</v>
      </c>
      <c r="E27" s="104">
        <f>キャラシート!H27</f>
        <v>2</v>
      </c>
      <c r="F27" s="109" t="str">
        <f>IF(G18="覚醒型",IF(50&gt;F20,"+0",IF(60&gt;F20,"+1",IF(70&gt;F20,"+2",IF(F20&gt;=70,"+3")))),"活性補正")</f>
        <v>活性補正</v>
      </c>
      <c r="G27" s="931" t="s">
        <v>671</v>
      </c>
      <c r="H27" s="931"/>
      <c r="I27" s="110" t="s">
        <v>672</v>
      </c>
      <c r="J27" s="31">
        <f>キャラシート!D21</f>
        <v>16</v>
      </c>
      <c r="K27" s="111" t="s">
        <v>673</v>
      </c>
      <c r="L27" s="112">
        <f>VLOOKUP(キャラシート!P3,リスト!C13:D19,2,FALSE)</f>
        <v>0</v>
      </c>
      <c r="M27" s="113" t="s">
        <v>661</v>
      </c>
      <c r="N27" s="111" t="s">
        <v>647</v>
      </c>
      <c r="O27" s="111"/>
      <c r="IL27" s="115"/>
      <c r="IM27" s="38"/>
      <c r="IN27" s="38"/>
      <c r="IO27" s="38"/>
      <c r="IP27" s="38"/>
      <c r="IQ27" s="38"/>
      <c r="IR27" s="38"/>
      <c r="IS27" s="38"/>
      <c r="IT27" s="38"/>
    </row>
    <row r="28" spans="1:254" s="120" customFormat="1" ht="12.95" customHeight="1" x14ac:dyDescent="0.15">
      <c r="A28" s="90" t="s">
        <v>674</v>
      </c>
      <c r="B28" s="46" t="s">
        <v>675</v>
      </c>
      <c r="C28" s="46" t="s">
        <v>676</v>
      </c>
      <c r="D28" s="46" t="s">
        <v>674</v>
      </c>
      <c r="E28" s="46" t="s">
        <v>675</v>
      </c>
      <c r="F28" s="116" t="s">
        <v>676</v>
      </c>
      <c r="G28" s="978" t="s">
        <v>677</v>
      </c>
      <c r="H28" s="978"/>
      <c r="I28" s="117" t="s">
        <v>4</v>
      </c>
      <c r="J28" s="118">
        <v>1</v>
      </c>
      <c r="K28" s="118" t="s">
        <v>678</v>
      </c>
      <c r="L28" s="119">
        <v>1</v>
      </c>
      <c r="M28" s="117" t="s">
        <v>661</v>
      </c>
      <c r="N28" s="118" t="s">
        <v>647</v>
      </c>
      <c r="O28" s="118"/>
      <c r="IL28" s="121"/>
      <c r="IM28" s="39"/>
      <c r="IN28" s="39"/>
      <c r="IO28" s="39"/>
      <c r="IP28" s="39"/>
      <c r="IQ28" s="39"/>
      <c r="IR28" s="39"/>
      <c r="IS28" s="39"/>
      <c r="IT28" s="39"/>
    </row>
    <row r="29" spans="1:254" s="128" customFormat="1" ht="12" customHeight="1" thickBot="1" x14ac:dyDescent="0.2">
      <c r="A29" s="19" t="s">
        <v>33</v>
      </c>
      <c r="B29" s="122">
        <f>キャラシート!P15+キャラシート!Q15</f>
        <v>3</v>
      </c>
      <c r="C29" s="123">
        <f t="shared" ref="C29:C34" si="0">B29+IF(A29=$G$31,$H$31,0)+IF(A29=$G$32,$H$32,0)+$H$34</f>
        <v>3</v>
      </c>
      <c r="D29" s="20" t="s">
        <v>240</v>
      </c>
      <c r="E29" s="122">
        <f>キャラシート!P21+キャラシート!Q21</f>
        <v>3</v>
      </c>
      <c r="F29" s="124">
        <f t="shared" ref="F29:F34" si="1">E29+IF(D29=$G$31,$H$31,0)+IF(D29="$G$32",$H$32,0)+$H$34</f>
        <v>3</v>
      </c>
      <c r="G29" s="978" t="s">
        <v>679</v>
      </c>
      <c r="H29" s="978"/>
      <c r="I29" s="125" t="s">
        <v>15</v>
      </c>
      <c r="J29" s="126">
        <v>1</v>
      </c>
      <c r="K29" s="126" t="s">
        <v>678</v>
      </c>
      <c r="L29" s="127">
        <v>1</v>
      </c>
      <c r="M29" s="125" t="s">
        <v>661</v>
      </c>
      <c r="N29" s="126" t="s">
        <v>647</v>
      </c>
      <c r="O29" s="126"/>
      <c r="IL29" s="129"/>
      <c r="IM29" s="40"/>
      <c r="IN29" s="40"/>
      <c r="IO29" s="40"/>
      <c r="IP29" s="40"/>
      <c r="IQ29" s="40"/>
      <c r="IR29" s="40"/>
      <c r="IS29" s="40"/>
      <c r="IT29" s="40"/>
    </row>
    <row r="30" spans="1:254" s="1" customFormat="1" ht="12" customHeight="1" x14ac:dyDescent="0.15">
      <c r="A30" s="19" t="s">
        <v>87</v>
      </c>
      <c r="B30" s="122">
        <f>キャラシート!P16+キャラシート!Q16</f>
        <v>3</v>
      </c>
      <c r="C30" s="123">
        <f t="shared" si="0"/>
        <v>3</v>
      </c>
      <c r="D30" s="20" t="s">
        <v>264</v>
      </c>
      <c r="E30" s="122">
        <f>キャラシート!P22+キャラシート!Q22</f>
        <v>3</v>
      </c>
      <c r="F30" s="124">
        <f t="shared" si="1"/>
        <v>3</v>
      </c>
      <c r="G30" s="979" t="s">
        <v>680</v>
      </c>
      <c r="H30" s="979"/>
      <c r="I30" s="974" t="s">
        <v>681</v>
      </c>
      <c r="J30" s="974"/>
      <c r="K30" s="974"/>
      <c r="L30" s="974"/>
      <c r="M30"/>
      <c r="N30"/>
      <c r="O30"/>
      <c r="P30"/>
      <c r="Q30"/>
      <c r="R30"/>
    </row>
    <row r="31" spans="1:254" ht="14.1" customHeight="1" thickBot="1" x14ac:dyDescent="0.2">
      <c r="A31" s="19" t="s">
        <v>125</v>
      </c>
      <c r="B31" s="122">
        <f>キャラシート!P17+キャラシート!Q17</f>
        <v>3</v>
      </c>
      <c r="C31" s="123">
        <f t="shared" si="0"/>
        <v>3</v>
      </c>
      <c r="D31" s="20" t="s">
        <v>283</v>
      </c>
      <c r="E31" s="122">
        <f>キャラシート!P23+キャラシート!Q23</f>
        <v>3</v>
      </c>
      <c r="F31" s="124">
        <f t="shared" si="1"/>
        <v>3</v>
      </c>
      <c r="G31" s="130" t="str">
        <f>キャラシート!P13</f>
        <v>-</v>
      </c>
      <c r="H31" s="131" t="str">
        <f>IF(G20="エキスパート","+4","0")</f>
        <v>0</v>
      </c>
      <c r="I31" s="975" t="s">
        <v>682</v>
      </c>
      <c r="J31" s="975"/>
      <c r="K31" s="975"/>
      <c r="L31" s="975"/>
    </row>
    <row r="32" spans="1:254" ht="14.1" customHeight="1" thickBot="1" x14ac:dyDescent="0.2">
      <c r="A32" s="19" t="s">
        <v>154</v>
      </c>
      <c r="B32" s="122">
        <f>キャラシート!P18+キャラシート!Q18</f>
        <v>3</v>
      </c>
      <c r="C32" s="123">
        <f t="shared" si="0"/>
        <v>3</v>
      </c>
      <c r="D32" s="20" t="s">
        <v>302</v>
      </c>
      <c r="E32" s="122">
        <f>キャラシート!P24+キャラシート!Q24</f>
        <v>3</v>
      </c>
      <c r="F32" s="124">
        <f t="shared" si="1"/>
        <v>3</v>
      </c>
      <c r="G32" s="130" t="str">
        <f>キャラシート!Q13</f>
        <v>-</v>
      </c>
      <c r="H32" s="132" t="str">
        <f>IF(G20="エキスパート","+4","0")</f>
        <v>0</v>
      </c>
      <c r="I32" s="976" t="str">
        <f>"HP"&amp;A20&amp;"/"&amp;"PP"&amp;C20&amp;"/暴走"&amp;F20&amp;"%/"&amp;D22&amp;"D/総消費"&amp;C22&amp;"pp"&amp;IF(J28="－","","　"&amp;G20&amp;"@"&amp;L28)&amp;IF(J29="－","","　"&amp;G22&amp;"@"&amp;L29)</f>
        <v>HP12/PP18/暴走16%/0D/総消費0pp　－@1　－@1</v>
      </c>
      <c r="J32" s="976"/>
      <c r="K32" s="976"/>
      <c r="L32" s="976"/>
    </row>
    <row r="33" spans="1:254" ht="14.1" customHeight="1" x14ac:dyDescent="0.15">
      <c r="A33" s="21" t="s">
        <v>185</v>
      </c>
      <c r="B33" s="122">
        <f>キャラシート!P19+キャラシート!Q19</f>
        <v>3</v>
      </c>
      <c r="C33" s="123">
        <f t="shared" si="0"/>
        <v>3</v>
      </c>
      <c r="D33" s="20" t="s">
        <v>324</v>
      </c>
      <c r="E33" s="122">
        <f>キャラシート!P25+キャラシート!Q25</f>
        <v>3</v>
      </c>
      <c r="F33" s="124">
        <f t="shared" si="1"/>
        <v>3</v>
      </c>
      <c r="G33" s="977" t="s">
        <v>683</v>
      </c>
      <c r="H33" s="977"/>
    </row>
    <row r="34" spans="1:254" ht="14.1" customHeight="1" thickBot="1" x14ac:dyDescent="0.2">
      <c r="A34" s="22" t="s">
        <v>213</v>
      </c>
      <c r="B34" s="133">
        <f>キャラシート!P20+キャラシート!Q20</f>
        <v>3</v>
      </c>
      <c r="C34" s="134">
        <f t="shared" si="0"/>
        <v>3</v>
      </c>
      <c r="D34" s="23" t="s">
        <v>248</v>
      </c>
      <c r="E34" s="133">
        <f>キャラシート!P26+キャラシート!Q26</f>
        <v>3</v>
      </c>
      <c r="F34" s="135">
        <f t="shared" si="1"/>
        <v>3</v>
      </c>
      <c r="G34" s="136" t="str">
        <f>IF(G18="感覚型",IF(50&gt;F20,"+0",IF(60&gt;F20,"+1",IF(70&gt;F20,"+2",IF(F20&gt;=70,"+3")))),"活性補正")</f>
        <v>活性補正</v>
      </c>
      <c r="H34" s="137" t="str">
        <f>IF(G34="活性補正","0",IF(G34="+1","1",IF(G34="+2","2",IF(G34="+3","3","0"))))</f>
        <v>0</v>
      </c>
    </row>
    <row r="35" spans="1:254" ht="14.1" hidden="1" customHeight="1" x14ac:dyDescent="0.15"/>
    <row r="36" spans="1:254" s="84" customFormat="1" ht="12.95" hidden="1" customHeight="1" thickBot="1" x14ac:dyDescent="0.2">
      <c r="A36" s="968" t="s">
        <v>435</v>
      </c>
      <c r="B36" s="968"/>
      <c r="C36" s="968"/>
      <c r="D36" s="968"/>
      <c r="E36" s="969" t="s">
        <v>684</v>
      </c>
      <c r="F36" s="970" t="str">
        <f>クリーチャー!F19</f>
        <v>1D6</v>
      </c>
      <c r="G36" s="971" t="s">
        <v>685</v>
      </c>
      <c r="H36" s="971"/>
      <c r="I36" s="971"/>
      <c r="J36" s="971"/>
      <c r="K36" s="971"/>
      <c r="L36" s="971"/>
      <c r="M36" s="960" t="s">
        <v>646</v>
      </c>
      <c r="N36" s="951" t="s">
        <v>647</v>
      </c>
      <c r="O36" s="951"/>
      <c r="P36" s="951"/>
      <c r="Q36" s="951"/>
      <c r="R36" s="951"/>
      <c r="S36" s="951"/>
      <c r="T36" s="951"/>
      <c r="U36" s="951"/>
      <c r="V36" s="951"/>
      <c r="W36" s="951"/>
      <c r="X36" s="951"/>
      <c r="Y36" s="951"/>
      <c r="Z36" s="951"/>
      <c r="AA36" s="951"/>
      <c r="AB36" s="951"/>
      <c r="AC36" s="951"/>
      <c r="AD36" s="951"/>
      <c r="AE36" s="951"/>
      <c r="AF36" s="951"/>
      <c r="AG36" s="951"/>
      <c r="AH36" s="951"/>
      <c r="AI36" s="951"/>
      <c r="AJ36" s="951"/>
      <c r="AK36" s="951"/>
      <c r="AL36" s="951"/>
      <c r="AM36" s="951"/>
      <c r="AN36" s="951"/>
      <c r="AO36" s="951"/>
      <c r="AP36" s="951"/>
      <c r="AQ36" s="951"/>
      <c r="AR36" s="951"/>
      <c r="AS36" s="951"/>
      <c r="AT36" s="951"/>
      <c r="AU36" s="951"/>
      <c r="AV36" s="951"/>
      <c r="AW36" s="951"/>
      <c r="AX36" s="951"/>
      <c r="AY36" s="951"/>
      <c r="AZ36" s="951"/>
      <c r="BA36" s="951"/>
      <c r="BB36" s="951"/>
      <c r="BC36" s="951"/>
      <c r="BD36" s="951"/>
      <c r="BE36" s="951"/>
      <c r="BF36" s="951"/>
      <c r="BG36" s="951"/>
      <c r="BH36" s="951"/>
      <c r="BI36" s="951"/>
      <c r="BJ36" s="951"/>
      <c r="BK36" s="951"/>
      <c r="BL36" s="951"/>
      <c r="BM36" s="951"/>
      <c r="BN36" s="951"/>
      <c r="BO36" s="951"/>
      <c r="BP36" s="951"/>
      <c r="BQ36" s="951"/>
      <c r="BR36" s="951"/>
      <c r="BS36" s="951"/>
      <c r="BT36" s="951"/>
      <c r="BU36" s="951"/>
      <c r="BV36" s="951"/>
      <c r="BW36" s="951"/>
      <c r="BX36" s="951"/>
      <c r="BY36" s="951"/>
      <c r="BZ36" s="951"/>
      <c r="CA36" s="951"/>
      <c r="CB36" s="951"/>
      <c r="CC36" s="951"/>
      <c r="CD36" s="951"/>
      <c r="CE36" s="951"/>
      <c r="CF36" s="951"/>
      <c r="CG36" s="951"/>
      <c r="CH36" s="951"/>
      <c r="CI36" s="951"/>
      <c r="CJ36" s="951"/>
      <c r="CK36" s="951"/>
      <c r="CL36" s="951"/>
      <c r="CM36" s="951"/>
      <c r="CN36" s="951"/>
      <c r="CO36" s="951"/>
      <c r="CP36" s="951"/>
      <c r="CQ36" s="951"/>
      <c r="CR36" s="951"/>
      <c r="CS36" s="951"/>
      <c r="CT36" s="951"/>
      <c r="CU36" s="951"/>
      <c r="CV36" s="951"/>
      <c r="CW36" s="951"/>
      <c r="CX36" s="951"/>
      <c r="CY36" s="951"/>
      <c r="CZ36" s="951"/>
      <c r="DA36" s="951"/>
      <c r="DB36" s="951"/>
      <c r="DC36" s="951"/>
      <c r="DD36" s="951"/>
      <c r="DE36" s="951"/>
      <c r="DF36" s="951"/>
      <c r="DG36" s="951"/>
      <c r="DH36" s="951"/>
      <c r="DI36" s="951"/>
      <c r="DJ36" s="951"/>
      <c r="DK36" s="951"/>
      <c r="DL36" s="951"/>
      <c r="DM36" s="951"/>
      <c r="DN36" s="951"/>
      <c r="DO36" s="951"/>
      <c r="DP36" s="951"/>
      <c r="DQ36" s="951"/>
      <c r="DR36" s="951"/>
      <c r="DS36" s="951"/>
      <c r="DT36" s="951"/>
      <c r="DU36" s="951"/>
      <c r="DV36" s="951"/>
      <c r="DW36" s="951"/>
      <c r="DX36" s="951"/>
      <c r="DY36" s="951"/>
      <c r="DZ36" s="951"/>
      <c r="EA36" s="951"/>
      <c r="EB36" s="951"/>
      <c r="EC36" s="951"/>
      <c r="ED36" s="951"/>
      <c r="EE36" s="951"/>
      <c r="EF36" s="951"/>
      <c r="EG36" s="951"/>
      <c r="EH36" s="951"/>
      <c r="EI36" s="951"/>
      <c r="EJ36" s="951"/>
      <c r="EK36" s="951"/>
      <c r="EL36" s="951"/>
      <c r="EM36" s="951"/>
      <c r="EN36" s="951"/>
      <c r="EO36" s="951"/>
      <c r="EP36" s="951"/>
      <c r="EQ36" s="951"/>
      <c r="ER36" s="951"/>
      <c r="ES36" s="951"/>
      <c r="ET36" s="951"/>
      <c r="EU36" s="951"/>
      <c r="EV36" s="951"/>
      <c r="EW36" s="951"/>
      <c r="EX36" s="951"/>
      <c r="EY36" s="951"/>
      <c r="EZ36" s="951"/>
      <c r="FA36" s="951"/>
      <c r="FB36" s="951"/>
      <c r="FC36" s="951"/>
      <c r="FD36" s="951"/>
      <c r="FE36" s="951"/>
      <c r="FF36" s="951"/>
      <c r="FG36" s="951"/>
      <c r="FH36" s="951"/>
      <c r="FI36" s="951"/>
      <c r="FJ36" s="951"/>
      <c r="FK36" s="951"/>
      <c r="FL36" s="951"/>
      <c r="FM36" s="951"/>
      <c r="FN36" s="951"/>
      <c r="FO36" s="951"/>
      <c r="FP36" s="951"/>
      <c r="FQ36" s="951"/>
      <c r="FR36" s="951"/>
      <c r="FS36" s="951"/>
      <c r="FT36" s="951"/>
      <c r="FU36" s="951"/>
      <c r="FV36" s="951"/>
      <c r="FW36" s="951"/>
      <c r="FX36" s="951"/>
      <c r="FY36" s="951"/>
      <c r="FZ36" s="951"/>
      <c r="GA36" s="951"/>
      <c r="GB36" s="951"/>
      <c r="GC36" s="951"/>
      <c r="GD36" s="951"/>
      <c r="GE36" s="951"/>
      <c r="GF36" s="951"/>
      <c r="GG36" s="951"/>
      <c r="GH36" s="951"/>
      <c r="GI36" s="951"/>
      <c r="GJ36" s="951"/>
      <c r="GK36" s="951"/>
      <c r="GL36" s="951"/>
      <c r="GM36" s="951"/>
      <c r="GN36" s="951"/>
      <c r="GO36" s="951"/>
      <c r="GP36" s="951"/>
      <c r="GQ36" s="951"/>
      <c r="GR36" s="951"/>
      <c r="GS36" s="951"/>
      <c r="GT36" s="951"/>
      <c r="GU36" s="951"/>
      <c r="GV36" s="951"/>
      <c r="GW36" s="951"/>
      <c r="GX36" s="951"/>
      <c r="GY36" s="951"/>
      <c r="GZ36" s="951"/>
      <c r="HA36" s="951"/>
      <c r="HB36" s="951"/>
      <c r="HC36" s="951"/>
      <c r="HD36" s="951"/>
      <c r="HE36" s="951"/>
      <c r="HF36" s="951"/>
      <c r="HG36" s="951"/>
      <c r="HH36" s="951"/>
      <c r="HI36" s="951"/>
      <c r="HJ36" s="951"/>
      <c r="HK36" s="951"/>
      <c r="HL36" s="951"/>
      <c r="HM36" s="951"/>
      <c r="HN36" s="951"/>
      <c r="HO36" s="951"/>
      <c r="HP36" s="951"/>
      <c r="HQ36" s="951"/>
      <c r="HR36" s="951"/>
      <c r="HS36" s="951"/>
      <c r="HT36" s="951"/>
      <c r="HU36" s="951"/>
      <c r="HV36" s="951"/>
      <c r="HW36" s="951"/>
      <c r="HX36" s="951"/>
      <c r="HY36" s="951"/>
      <c r="HZ36" s="951"/>
      <c r="IA36" s="951"/>
      <c r="IB36" s="951"/>
      <c r="IC36" s="951"/>
      <c r="ID36" s="951"/>
      <c r="IE36" s="951"/>
      <c r="IF36" s="951"/>
      <c r="IG36" s="951"/>
      <c r="IH36" s="951"/>
      <c r="II36" s="951"/>
      <c r="IJ36" s="951"/>
      <c r="IK36" s="951"/>
      <c r="IL36" s="950"/>
      <c r="IM36" s="1"/>
      <c r="IN36" s="1"/>
      <c r="IO36" s="1"/>
      <c r="IP36" s="1"/>
      <c r="IQ36" s="1"/>
      <c r="IR36" s="1"/>
      <c r="IS36" s="1"/>
      <c r="IT36" s="1"/>
    </row>
    <row r="37" spans="1:254" s="84" customFormat="1" ht="12.95" hidden="1" customHeight="1" thickBot="1" x14ac:dyDescent="0.2">
      <c r="A37" s="963">
        <f>クリーチャー!D2</f>
        <v>0</v>
      </c>
      <c r="B37" s="963"/>
      <c r="C37" s="963"/>
      <c r="D37" s="963"/>
      <c r="E37" s="969"/>
      <c r="F37" s="970"/>
      <c r="G37" s="24" t="s">
        <v>33</v>
      </c>
      <c r="H37" s="138" t="s">
        <v>292</v>
      </c>
      <c r="I37" s="32" t="s">
        <v>125</v>
      </c>
      <c r="J37" s="138" t="s">
        <v>292</v>
      </c>
      <c r="K37" s="33" t="s">
        <v>185</v>
      </c>
      <c r="L37" s="138" t="s">
        <v>292</v>
      </c>
      <c r="M37" s="960"/>
      <c r="N37" s="951"/>
      <c r="O37" s="951"/>
      <c r="P37" s="951"/>
      <c r="Q37" s="951"/>
      <c r="R37" s="951"/>
      <c r="S37" s="951"/>
      <c r="T37" s="951"/>
      <c r="U37" s="951"/>
      <c r="V37" s="951"/>
      <c r="W37" s="951"/>
      <c r="X37" s="951"/>
      <c r="Y37" s="951"/>
      <c r="Z37" s="951"/>
      <c r="AA37" s="951"/>
      <c r="AB37" s="951"/>
      <c r="AC37" s="951"/>
      <c r="AD37" s="951"/>
      <c r="AE37" s="951"/>
      <c r="AF37" s="951"/>
      <c r="AG37" s="951"/>
      <c r="AH37" s="951"/>
      <c r="AI37" s="951"/>
      <c r="AJ37" s="951"/>
      <c r="AK37" s="951"/>
      <c r="AL37" s="951"/>
      <c r="AM37" s="951"/>
      <c r="AN37" s="951"/>
      <c r="AO37" s="951"/>
      <c r="AP37" s="951"/>
      <c r="AQ37" s="951"/>
      <c r="AR37" s="951"/>
      <c r="AS37" s="951"/>
      <c r="AT37" s="951"/>
      <c r="AU37" s="951"/>
      <c r="AV37" s="951"/>
      <c r="AW37" s="951"/>
      <c r="AX37" s="951"/>
      <c r="AY37" s="951"/>
      <c r="AZ37" s="951"/>
      <c r="BA37" s="951"/>
      <c r="BB37" s="951"/>
      <c r="BC37" s="951"/>
      <c r="BD37" s="951"/>
      <c r="BE37" s="951"/>
      <c r="BF37" s="951"/>
      <c r="BG37" s="951"/>
      <c r="BH37" s="951"/>
      <c r="BI37" s="951"/>
      <c r="BJ37" s="951"/>
      <c r="BK37" s="951"/>
      <c r="BL37" s="951"/>
      <c r="BM37" s="951"/>
      <c r="BN37" s="951"/>
      <c r="BO37" s="951"/>
      <c r="BP37" s="951"/>
      <c r="BQ37" s="951"/>
      <c r="BR37" s="951"/>
      <c r="BS37" s="951"/>
      <c r="BT37" s="951"/>
      <c r="BU37" s="951"/>
      <c r="BV37" s="951"/>
      <c r="BW37" s="951"/>
      <c r="BX37" s="951"/>
      <c r="BY37" s="951"/>
      <c r="BZ37" s="951"/>
      <c r="CA37" s="951"/>
      <c r="CB37" s="951"/>
      <c r="CC37" s="951"/>
      <c r="CD37" s="951"/>
      <c r="CE37" s="951"/>
      <c r="CF37" s="951"/>
      <c r="CG37" s="951"/>
      <c r="CH37" s="951"/>
      <c r="CI37" s="951"/>
      <c r="CJ37" s="951"/>
      <c r="CK37" s="951"/>
      <c r="CL37" s="951"/>
      <c r="CM37" s="951"/>
      <c r="CN37" s="951"/>
      <c r="CO37" s="951"/>
      <c r="CP37" s="951"/>
      <c r="CQ37" s="951"/>
      <c r="CR37" s="951"/>
      <c r="CS37" s="951"/>
      <c r="CT37" s="951"/>
      <c r="CU37" s="951"/>
      <c r="CV37" s="951"/>
      <c r="CW37" s="951"/>
      <c r="CX37" s="951"/>
      <c r="CY37" s="951"/>
      <c r="CZ37" s="951"/>
      <c r="DA37" s="951"/>
      <c r="DB37" s="951"/>
      <c r="DC37" s="951"/>
      <c r="DD37" s="951"/>
      <c r="DE37" s="951"/>
      <c r="DF37" s="951"/>
      <c r="DG37" s="951"/>
      <c r="DH37" s="951"/>
      <c r="DI37" s="951"/>
      <c r="DJ37" s="951"/>
      <c r="DK37" s="951"/>
      <c r="DL37" s="951"/>
      <c r="DM37" s="951"/>
      <c r="DN37" s="951"/>
      <c r="DO37" s="951"/>
      <c r="DP37" s="951"/>
      <c r="DQ37" s="951"/>
      <c r="DR37" s="951"/>
      <c r="DS37" s="951"/>
      <c r="DT37" s="951"/>
      <c r="DU37" s="951"/>
      <c r="DV37" s="951"/>
      <c r="DW37" s="951"/>
      <c r="DX37" s="951"/>
      <c r="DY37" s="951"/>
      <c r="DZ37" s="951"/>
      <c r="EA37" s="951"/>
      <c r="EB37" s="951"/>
      <c r="EC37" s="951"/>
      <c r="ED37" s="951"/>
      <c r="EE37" s="951"/>
      <c r="EF37" s="951"/>
      <c r="EG37" s="951"/>
      <c r="EH37" s="951"/>
      <c r="EI37" s="951"/>
      <c r="EJ37" s="951"/>
      <c r="EK37" s="951"/>
      <c r="EL37" s="951"/>
      <c r="EM37" s="951"/>
      <c r="EN37" s="951"/>
      <c r="EO37" s="951"/>
      <c r="EP37" s="951"/>
      <c r="EQ37" s="951"/>
      <c r="ER37" s="951"/>
      <c r="ES37" s="951"/>
      <c r="ET37" s="951"/>
      <c r="EU37" s="951"/>
      <c r="EV37" s="951"/>
      <c r="EW37" s="951"/>
      <c r="EX37" s="951"/>
      <c r="EY37" s="951"/>
      <c r="EZ37" s="951"/>
      <c r="FA37" s="951"/>
      <c r="FB37" s="951"/>
      <c r="FC37" s="951"/>
      <c r="FD37" s="951"/>
      <c r="FE37" s="951"/>
      <c r="FF37" s="951"/>
      <c r="FG37" s="951"/>
      <c r="FH37" s="951"/>
      <c r="FI37" s="951"/>
      <c r="FJ37" s="951"/>
      <c r="FK37" s="951"/>
      <c r="FL37" s="951"/>
      <c r="FM37" s="951"/>
      <c r="FN37" s="951"/>
      <c r="FO37" s="951"/>
      <c r="FP37" s="951"/>
      <c r="FQ37" s="951"/>
      <c r="FR37" s="951"/>
      <c r="FS37" s="951"/>
      <c r="FT37" s="951"/>
      <c r="FU37" s="951"/>
      <c r="FV37" s="951"/>
      <c r="FW37" s="951"/>
      <c r="FX37" s="951"/>
      <c r="FY37" s="951"/>
      <c r="FZ37" s="951"/>
      <c r="GA37" s="951"/>
      <c r="GB37" s="951"/>
      <c r="GC37" s="951"/>
      <c r="GD37" s="951"/>
      <c r="GE37" s="951"/>
      <c r="GF37" s="951"/>
      <c r="GG37" s="951"/>
      <c r="GH37" s="951"/>
      <c r="GI37" s="951"/>
      <c r="GJ37" s="951"/>
      <c r="GK37" s="951"/>
      <c r="GL37" s="951"/>
      <c r="GM37" s="951"/>
      <c r="GN37" s="951"/>
      <c r="GO37" s="951"/>
      <c r="GP37" s="951"/>
      <c r="GQ37" s="951"/>
      <c r="GR37" s="951"/>
      <c r="GS37" s="951"/>
      <c r="GT37" s="951"/>
      <c r="GU37" s="951"/>
      <c r="GV37" s="951"/>
      <c r="GW37" s="951"/>
      <c r="GX37" s="951"/>
      <c r="GY37" s="951"/>
      <c r="GZ37" s="951"/>
      <c r="HA37" s="951"/>
      <c r="HB37" s="951"/>
      <c r="HC37" s="951"/>
      <c r="HD37" s="951"/>
      <c r="HE37" s="951"/>
      <c r="HF37" s="951"/>
      <c r="HG37" s="951"/>
      <c r="HH37" s="951"/>
      <c r="HI37" s="951"/>
      <c r="HJ37" s="951"/>
      <c r="HK37" s="951"/>
      <c r="HL37" s="951"/>
      <c r="HM37" s="951"/>
      <c r="HN37" s="951"/>
      <c r="HO37" s="951"/>
      <c r="HP37" s="951"/>
      <c r="HQ37" s="951"/>
      <c r="HR37" s="951"/>
      <c r="HS37" s="951"/>
      <c r="HT37" s="951"/>
      <c r="HU37" s="951"/>
      <c r="HV37" s="951"/>
      <c r="HW37" s="951"/>
      <c r="HX37" s="951"/>
      <c r="HY37" s="951"/>
      <c r="HZ37" s="951"/>
      <c r="IA37" s="951"/>
      <c r="IB37" s="951"/>
      <c r="IC37" s="951"/>
      <c r="ID37" s="951"/>
      <c r="IE37" s="951"/>
      <c r="IF37" s="951"/>
      <c r="IG37" s="951"/>
      <c r="IH37" s="951"/>
      <c r="II37" s="951"/>
      <c r="IJ37" s="951"/>
      <c r="IK37" s="951"/>
      <c r="IL37" s="951"/>
      <c r="IM37" s="1"/>
      <c r="IN37" s="1"/>
      <c r="IO37" s="1"/>
      <c r="IP37" s="1"/>
      <c r="IQ37" s="1"/>
      <c r="IR37" s="1"/>
      <c r="IS37" s="1"/>
      <c r="IT37" s="1"/>
    </row>
    <row r="38" spans="1:254" s="84" customFormat="1" ht="12.95" hidden="1" customHeight="1" thickBot="1" x14ac:dyDescent="0.2">
      <c r="A38" s="963"/>
      <c r="B38" s="963"/>
      <c r="C38" s="963"/>
      <c r="D38" s="963"/>
      <c r="E38" s="964" t="s">
        <v>686</v>
      </c>
      <c r="F38" s="965" t="str">
        <f>クリーチャー!G19</f>
        <v>1D6</v>
      </c>
      <c r="G38" s="25" t="s">
        <v>87</v>
      </c>
      <c r="H38" s="138" t="s">
        <v>292</v>
      </c>
      <c r="I38" s="34" t="s">
        <v>154</v>
      </c>
      <c r="J38" s="138" t="s">
        <v>292</v>
      </c>
      <c r="K38" s="35" t="s">
        <v>213</v>
      </c>
      <c r="L38" s="138" t="s">
        <v>292</v>
      </c>
      <c r="M38" s="960"/>
      <c r="N38" s="951"/>
      <c r="O38" s="951"/>
      <c r="P38" s="951"/>
      <c r="Q38" s="951"/>
      <c r="R38" s="951"/>
      <c r="S38" s="951"/>
      <c r="T38" s="951"/>
      <c r="U38" s="951"/>
      <c r="V38" s="951"/>
      <c r="W38" s="951"/>
      <c r="X38" s="951"/>
      <c r="Y38" s="951"/>
      <c r="Z38" s="951"/>
      <c r="AA38" s="951"/>
      <c r="AB38" s="951"/>
      <c r="AC38" s="951"/>
      <c r="AD38" s="951"/>
      <c r="AE38" s="951"/>
      <c r="AF38" s="951"/>
      <c r="AG38" s="951"/>
      <c r="AH38" s="951"/>
      <c r="AI38" s="951"/>
      <c r="AJ38" s="951"/>
      <c r="AK38" s="951"/>
      <c r="AL38" s="951"/>
      <c r="AM38" s="951"/>
      <c r="AN38" s="951"/>
      <c r="AO38" s="951"/>
      <c r="AP38" s="951"/>
      <c r="AQ38" s="951"/>
      <c r="AR38" s="951"/>
      <c r="AS38" s="951"/>
      <c r="AT38" s="951"/>
      <c r="AU38" s="951"/>
      <c r="AV38" s="951"/>
      <c r="AW38" s="951"/>
      <c r="AX38" s="951"/>
      <c r="AY38" s="951"/>
      <c r="AZ38" s="951"/>
      <c r="BA38" s="951"/>
      <c r="BB38" s="951"/>
      <c r="BC38" s="951"/>
      <c r="BD38" s="951"/>
      <c r="BE38" s="951"/>
      <c r="BF38" s="951"/>
      <c r="BG38" s="951"/>
      <c r="BH38" s="951"/>
      <c r="BI38" s="951"/>
      <c r="BJ38" s="951"/>
      <c r="BK38" s="951"/>
      <c r="BL38" s="951"/>
      <c r="BM38" s="951"/>
      <c r="BN38" s="951"/>
      <c r="BO38" s="951"/>
      <c r="BP38" s="951"/>
      <c r="BQ38" s="951"/>
      <c r="BR38" s="951"/>
      <c r="BS38" s="951"/>
      <c r="BT38" s="951"/>
      <c r="BU38" s="951"/>
      <c r="BV38" s="951"/>
      <c r="BW38" s="951"/>
      <c r="BX38" s="951"/>
      <c r="BY38" s="951"/>
      <c r="BZ38" s="951"/>
      <c r="CA38" s="951"/>
      <c r="CB38" s="951"/>
      <c r="CC38" s="951"/>
      <c r="CD38" s="951"/>
      <c r="CE38" s="951"/>
      <c r="CF38" s="951"/>
      <c r="CG38" s="951"/>
      <c r="CH38" s="951"/>
      <c r="CI38" s="951"/>
      <c r="CJ38" s="951"/>
      <c r="CK38" s="951"/>
      <c r="CL38" s="951"/>
      <c r="CM38" s="951"/>
      <c r="CN38" s="951"/>
      <c r="CO38" s="951"/>
      <c r="CP38" s="951"/>
      <c r="CQ38" s="951"/>
      <c r="CR38" s="951"/>
      <c r="CS38" s="951"/>
      <c r="CT38" s="951"/>
      <c r="CU38" s="951"/>
      <c r="CV38" s="951"/>
      <c r="CW38" s="951"/>
      <c r="CX38" s="951"/>
      <c r="CY38" s="951"/>
      <c r="CZ38" s="951"/>
      <c r="DA38" s="951"/>
      <c r="DB38" s="951"/>
      <c r="DC38" s="951"/>
      <c r="DD38" s="951"/>
      <c r="DE38" s="951"/>
      <c r="DF38" s="951"/>
      <c r="DG38" s="951"/>
      <c r="DH38" s="951"/>
      <c r="DI38" s="951"/>
      <c r="DJ38" s="951"/>
      <c r="DK38" s="951"/>
      <c r="DL38" s="951"/>
      <c r="DM38" s="951"/>
      <c r="DN38" s="951"/>
      <c r="DO38" s="951"/>
      <c r="DP38" s="951"/>
      <c r="DQ38" s="951"/>
      <c r="DR38" s="951"/>
      <c r="DS38" s="951"/>
      <c r="DT38" s="951"/>
      <c r="DU38" s="951"/>
      <c r="DV38" s="951"/>
      <c r="DW38" s="951"/>
      <c r="DX38" s="951"/>
      <c r="DY38" s="951"/>
      <c r="DZ38" s="951"/>
      <c r="EA38" s="951"/>
      <c r="EB38" s="951"/>
      <c r="EC38" s="951"/>
      <c r="ED38" s="951"/>
      <c r="EE38" s="951"/>
      <c r="EF38" s="951"/>
      <c r="EG38" s="951"/>
      <c r="EH38" s="951"/>
      <c r="EI38" s="951"/>
      <c r="EJ38" s="951"/>
      <c r="EK38" s="951"/>
      <c r="EL38" s="951"/>
      <c r="EM38" s="951"/>
      <c r="EN38" s="951"/>
      <c r="EO38" s="951"/>
      <c r="EP38" s="951"/>
      <c r="EQ38" s="951"/>
      <c r="ER38" s="951"/>
      <c r="ES38" s="951"/>
      <c r="ET38" s="951"/>
      <c r="EU38" s="951"/>
      <c r="EV38" s="951"/>
      <c r="EW38" s="951"/>
      <c r="EX38" s="951"/>
      <c r="EY38" s="951"/>
      <c r="EZ38" s="951"/>
      <c r="FA38" s="951"/>
      <c r="FB38" s="951"/>
      <c r="FC38" s="951"/>
      <c r="FD38" s="951"/>
      <c r="FE38" s="951"/>
      <c r="FF38" s="951"/>
      <c r="FG38" s="951"/>
      <c r="FH38" s="951"/>
      <c r="FI38" s="951"/>
      <c r="FJ38" s="951"/>
      <c r="FK38" s="951"/>
      <c r="FL38" s="951"/>
      <c r="FM38" s="951"/>
      <c r="FN38" s="951"/>
      <c r="FO38" s="951"/>
      <c r="FP38" s="951"/>
      <c r="FQ38" s="951"/>
      <c r="FR38" s="951"/>
      <c r="FS38" s="951"/>
      <c r="FT38" s="951"/>
      <c r="FU38" s="951"/>
      <c r="FV38" s="951"/>
      <c r="FW38" s="951"/>
      <c r="FX38" s="951"/>
      <c r="FY38" s="951"/>
      <c r="FZ38" s="951"/>
      <c r="GA38" s="951"/>
      <c r="GB38" s="951"/>
      <c r="GC38" s="951"/>
      <c r="GD38" s="951"/>
      <c r="GE38" s="951"/>
      <c r="GF38" s="951"/>
      <c r="GG38" s="951"/>
      <c r="GH38" s="951"/>
      <c r="GI38" s="951"/>
      <c r="GJ38" s="951"/>
      <c r="GK38" s="951"/>
      <c r="GL38" s="951"/>
      <c r="GM38" s="951"/>
      <c r="GN38" s="951"/>
      <c r="GO38" s="951"/>
      <c r="GP38" s="951"/>
      <c r="GQ38" s="951"/>
      <c r="GR38" s="951"/>
      <c r="GS38" s="951"/>
      <c r="GT38" s="951"/>
      <c r="GU38" s="951"/>
      <c r="GV38" s="951"/>
      <c r="GW38" s="951"/>
      <c r="GX38" s="951"/>
      <c r="GY38" s="951"/>
      <c r="GZ38" s="951"/>
      <c r="HA38" s="951"/>
      <c r="HB38" s="951"/>
      <c r="HC38" s="951"/>
      <c r="HD38" s="951"/>
      <c r="HE38" s="951"/>
      <c r="HF38" s="951"/>
      <c r="HG38" s="951"/>
      <c r="HH38" s="951"/>
      <c r="HI38" s="951"/>
      <c r="HJ38" s="951"/>
      <c r="HK38" s="951"/>
      <c r="HL38" s="951"/>
      <c r="HM38" s="951"/>
      <c r="HN38" s="951"/>
      <c r="HO38" s="951"/>
      <c r="HP38" s="951"/>
      <c r="HQ38" s="951"/>
      <c r="HR38" s="951"/>
      <c r="HS38" s="951"/>
      <c r="HT38" s="951"/>
      <c r="HU38" s="951"/>
      <c r="HV38" s="951"/>
      <c r="HW38" s="951"/>
      <c r="HX38" s="951"/>
      <c r="HY38" s="951"/>
      <c r="HZ38" s="951"/>
      <c r="IA38" s="951"/>
      <c r="IB38" s="951"/>
      <c r="IC38" s="951"/>
      <c r="ID38" s="951"/>
      <c r="IE38" s="951"/>
      <c r="IF38" s="951"/>
      <c r="IG38" s="951"/>
      <c r="IH38" s="951"/>
      <c r="II38" s="951"/>
      <c r="IJ38" s="951"/>
      <c r="IK38" s="951"/>
      <c r="IL38" s="951"/>
      <c r="IM38" s="1"/>
      <c r="IN38" s="1"/>
      <c r="IO38" s="1"/>
      <c r="IP38" s="1"/>
      <c r="IQ38" s="1"/>
      <c r="IR38" s="1"/>
      <c r="IS38" s="1"/>
      <c r="IT38" s="1"/>
    </row>
    <row r="39" spans="1:254" s="84" customFormat="1" ht="12.95" hidden="1" customHeight="1" thickBot="1" x14ac:dyDescent="0.2">
      <c r="A39" s="963"/>
      <c r="B39" s="963"/>
      <c r="C39" s="963"/>
      <c r="D39" s="963"/>
      <c r="E39" s="964"/>
      <c r="F39" s="965"/>
      <c r="G39" s="26" t="s">
        <v>240</v>
      </c>
      <c r="H39" s="138" t="s">
        <v>292</v>
      </c>
      <c r="I39" s="35" t="s">
        <v>283</v>
      </c>
      <c r="J39" s="138" t="s">
        <v>292</v>
      </c>
      <c r="K39" s="35" t="s">
        <v>324</v>
      </c>
      <c r="L39" s="138" t="s">
        <v>292</v>
      </c>
      <c r="M39" s="960"/>
      <c r="N39" s="960"/>
      <c r="O39" s="951"/>
      <c r="P39" s="951"/>
      <c r="Q39" s="951"/>
      <c r="R39" s="951"/>
      <c r="S39" s="951"/>
      <c r="T39" s="951"/>
      <c r="U39" s="951"/>
      <c r="V39" s="951"/>
      <c r="W39" s="951"/>
      <c r="X39" s="951"/>
      <c r="Y39" s="951"/>
      <c r="Z39" s="951"/>
      <c r="AA39" s="951"/>
      <c r="AB39" s="951"/>
      <c r="AC39" s="951"/>
      <c r="AD39" s="951"/>
      <c r="AE39" s="951"/>
      <c r="AF39" s="951"/>
      <c r="AG39" s="951"/>
      <c r="AH39" s="951"/>
      <c r="AI39" s="951"/>
      <c r="AJ39" s="951"/>
      <c r="AK39" s="951"/>
      <c r="AL39" s="951"/>
      <c r="AM39" s="951"/>
      <c r="AN39" s="951"/>
      <c r="AO39" s="951"/>
      <c r="AP39" s="951"/>
      <c r="AQ39" s="951"/>
      <c r="AR39" s="951"/>
      <c r="AS39" s="951"/>
      <c r="AT39" s="951"/>
      <c r="AU39" s="951"/>
      <c r="AV39" s="951"/>
      <c r="AW39" s="951"/>
      <c r="AX39" s="951"/>
      <c r="AY39" s="951"/>
      <c r="AZ39" s="951"/>
      <c r="BA39" s="951"/>
      <c r="BB39" s="951"/>
      <c r="BC39" s="951"/>
      <c r="BD39" s="951"/>
      <c r="BE39" s="951"/>
      <c r="BF39" s="951"/>
      <c r="BG39" s="951"/>
      <c r="BH39" s="951"/>
      <c r="BI39" s="951"/>
      <c r="BJ39" s="951"/>
      <c r="BK39" s="951"/>
      <c r="BL39" s="951"/>
      <c r="BM39" s="951"/>
      <c r="BN39" s="951"/>
      <c r="BO39" s="951"/>
      <c r="BP39" s="951"/>
      <c r="BQ39" s="951"/>
      <c r="BR39" s="951"/>
      <c r="BS39" s="951"/>
      <c r="BT39" s="951"/>
      <c r="BU39" s="951"/>
      <c r="BV39" s="951"/>
      <c r="BW39" s="951"/>
      <c r="BX39" s="951"/>
      <c r="BY39" s="951"/>
      <c r="BZ39" s="951"/>
      <c r="CA39" s="951"/>
      <c r="CB39" s="951"/>
      <c r="CC39" s="951"/>
      <c r="CD39" s="951"/>
      <c r="CE39" s="951"/>
      <c r="CF39" s="951"/>
      <c r="CG39" s="951"/>
      <c r="CH39" s="951"/>
      <c r="CI39" s="951"/>
      <c r="CJ39" s="951"/>
      <c r="CK39" s="951"/>
      <c r="CL39" s="951"/>
      <c r="CM39" s="951"/>
      <c r="CN39" s="951"/>
      <c r="CO39" s="951"/>
      <c r="CP39" s="951"/>
      <c r="CQ39" s="951"/>
      <c r="CR39" s="951"/>
      <c r="CS39" s="951"/>
      <c r="CT39" s="951"/>
      <c r="CU39" s="951"/>
      <c r="CV39" s="951"/>
      <c r="CW39" s="951"/>
      <c r="CX39" s="951"/>
      <c r="CY39" s="951"/>
      <c r="CZ39" s="951"/>
      <c r="DA39" s="951"/>
      <c r="DB39" s="951"/>
      <c r="DC39" s="951"/>
      <c r="DD39" s="951"/>
      <c r="DE39" s="951"/>
      <c r="DF39" s="951"/>
      <c r="DG39" s="951"/>
      <c r="DH39" s="951"/>
      <c r="DI39" s="951"/>
      <c r="DJ39" s="951"/>
      <c r="DK39" s="951"/>
      <c r="DL39" s="951"/>
      <c r="DM39" s="951"/>
      <c r="DN39" s="951"/>
      <c r="DO39" s="951"/>
      <c r="DP39" s="951"/>
      <c r="DQ39" s="951"/>
      <c r="DR39" s="951"/>
      <c r="DS39" s="951"/>
      <c r="DT39" s="951"/>
      <c r="DU39" s="951"/>
      <c r="DV39" s="951"/>
      <c r="DW39" s="951"/>
      <c r="DX39" s="951"/>
      <c r="DY39" s="951"/>
      <c r="DZ39" s="951"/>
      <c r="EA39" s="951"/>
      <c r="EB39" s="951"/>
      <c r="EC39" s="951"/>
      <c r="ED39" s="951"/>
      <c r="EE39" s="951"/>
      <c r="EF39" s="951"/>
      <c r="EG39" s="951"/>
      <c r="EH39" s="951"/>
      <c r="EI39" s="951"/>
      <c r="EJ39" s="951"/>
      <c r="EK39" s="951"/>
      <c r="EL39" s="951"/>
      <c r="EM39" s="951"/>
      <c r="EN39" s="951"/>
      <c r="EO39" s="951"/>
      <c r="EP39" s="951"/>
      <c r="EQ39" s="951"/>
      <c r="ER39" s="951"/>
      <c r="ES39" s="951"/>
      <c r="ET39" s="951"/>
      <c r="EU39" s="951"/>
      <c r="EV39" s="951"/>
      <c r="EW39" s="951"/>
      <c r="EX39" s="951"/>
      <c r="EY39" s="951"/>
      <c r="EZ39" s="951"/>
      <c r="FA39" s="951"/>
      <c r="FB39" s="951"/>
      <c r="FC39" s="951"/>
      <c r="FD39" s="951"/>
      <c r="FE39" s="951"/>
      <c r="FF39" s="951"/>
      <c r="FG39" s="951"/>
      <c r="FH39" s="951"/>
      <c r="FI39" s="951"/>
      <c r="FJ39" s="951"/>
      <c r="FK39" s="951"/>
      <c r="FL39" s="951"/>
      <c r="FM39" s="951"/>
      <c r="FN39" s="951"/>
      <c r="FO39" s="951"/>
      <c r="FP39" s="951"/>
      <c r="FQ39" s="951"/>
      <c r="FR39" s="951"/>
      <c r="FS39" s="951"/>
      <c r="FT39" s="951"/>
      <c r="FU39" s="951"/>
      <c r="FV39" s="951"/>
      <c r="FW39" s="951"/>
      <c r="FX39" s="951"/>
      <c r="FY39" s="951"/>
      <c r="FZ39" s="951"/>
      <c r="GA39" s="951"/>
      <c r="GB39" s="951"/>
      <c r="GC39" s="951"/>
      <c r="GD39" s="951"/>
      <c r="GE39" s="951"/>
      <c r="GF39" s="951"/>
      <c r="GG39" s="951"/>
      <c r="GH39" s="951"/>
      <c r="GI39" s="951"/>
      <c r="GJ39" s="951"/>
      <c r="GK39" s="951"/>
      <c r="GL39" s="951"/>
      <c r="GM39" s="951"/>
      <c r="GN39" s="951"/>
      <c r="GO39" s="951"/>
      <c r="GP39" s="951"/>
      <c r="GQ39" s="951"/>
      <c r="GR39" s="951"/>
      <c r="GS39" s="951"/>
      <c r="GT39" s="951"/>
      <c r="GU39" s="951"/>
      <c r="GV39" s="951"/>
      <c r="GW39" s="951"/>
      <c r="GX39" s="951"/>
      <c r="GY39" s="951"/>
      <c r="GZ39" s="951"/>
      <c r="HA39" s="951"/>
      <c r="HB39" s="951"/>
      <c r="HC39" s="951"/>
      <c r="HD39" s="951"/>
      <c r="HE39" s="951"/>
      <c r="HF39" s="951"/>
      <c r="HG39" s="951"/>
      <c r="HH39" s="951"/>
      <c r="HI39" s="951"/>
      <c r="HJ39" s="951"/>
      <c r="HK39" s="951"/>
      <c r="HL39" s="951"/>
      <c r="HM39" s="951"/>
      <c r="HN39" s="951"/>
      <c r="HO39" s="951"/>
      <c r="HP39" s="951"/>
      <c r="HQ39" s="951"/>
      <c r="HR39" s="951"/>
      <c r="HS39" s="951"/>
      <c r="HT39" s="951"/>
      <c r="HU39" s="951"/>
      <c r="HV39" s="951"/>
      <c r="HW39" s="951"/>
      <c r="HX39" s="951"/>
      <c r="HY39" s="951"/>
      <c r="HZ39" s="951"/>
      <c r="IA39" s="951"/>
      <c r="IB39" s="951"/>
      <c r="IC39" s="951"/>
      <c r="ID39" s="951"/>
      <c r="IE39" s="951"/>
      <c r="IF39" s="951"/>
      <c r="IG39" s="951"/>
      <c r="IH39" s="951"/>
      <c r="II39" s="951"/>
      <c r="IJ39" s="951"/>
      <c r="IK39" s="951"/>
      <c r="IL39" s="951"/>
      <c r="IM39" s="1"/>
      <c r="IN39" s="1"/>
      <c r="IO39" s="1"/>
      <c r="IP39" s="1"/>
      <c r="IQ39" s="1"/>
      <c r="IR39" s="1"/>
      <c r="IS39" s="1"/>
      <c r="IT39" s="1"/>
    </row>
    <row r="40" spans="1:254" s="84" customFormat="1" ht="12" hidden="1" customHeight="1" thickBot="1" x14ac:dyDescent="0.2">
      <c r="A40" s="966" t="s">
        <v>653</v>
      </c>
      <c r="B40" s="966"/>
      <c r="C40" s="967" t="s">
        <v>447</v>
      </c>
      <c r="D40" s="972">
        <f>クリーチャー!C16+クリーチャー!D16</f>
        <v>0</v>
      </c>
      <c r="E40" s="967" t="s">
        <v>687</v>
      </c>
      <c r="F40" s="973">
        <f>クリーチャー!H5</f>
        <v>4</v>
      </c>
      <c r="G40" s="27" t="s">
        <v>264</v>
      </c>
      <c r="H40" s="138" t="s">
        <v>292</v>
      </c>
      <c r="I40" s="36" t="s">
        <v>302</v>
      </c>
      <c r="J40" s="138" t="s">
        <v>292</v>
      </c>
      <c r="K40" s="36" t="s">
        <v>248</v>
      </c>
      <c r="L40" s="138" t="s">
        <v>292</v>
      </c>
      <c r="M40" s="960"/>
      <c r="N40" s="960"/>
      <c r="O40" s="951"/>
      <c r="P40" s="951"/>
      <c r="Q40" s="951"/>
      <c r="R40" s="951"/>
      <c r="S40" s="951"/>
      <c r="T40" s="951"/>
      <c r="U40" s="951"/>
      <c r="V40" s="951"/>
      <c r="W40" s="951"/>
      <c r="X40" s="951"/>
      <c r="Y40" s="951"/>
      <c r="Z40" s="951"/>
      <c r="AA40" s="951"/>
      <c r="AB40" s="951"/>
      <c r="AC40" s="951"/>
      <c r="AD40" s="951"/>
      <c r="AE40" s="951"/>
      <c r="AF40" s="951"/>
      <c r="AG40" s="951"/>
      <c r="AH40" s="951"/>
      <c r="AI40" s="951"/>
      <c r="AJ40" s="951"/>
      <c r="AK40" s="951"/>
      <c r="AL40" s="951"/>
      <c r="AM40" s="951"/>
      <c r="AN40" s="951"/>
      <c r="AO40" s="951"/>
      <c r="AP40" s="951"/>
      <c r="AQ40" s="951"/>
      <c r="AR40" s="951"/>
      <c r="AS40" s="951"/>
      <c r="AT40" s="951"/>
      <c r="AU40" s="951"/>
      <c r="AV40" s="951"/>
      <c r="AW40" s="951"/>
      <c r="AX40" s="951"/>
      <c r="AY40" s="951"/>
      <c r="AZ40" s="951"/>
      <c r="BA40" s="951"/>
      <c r="BB40" s="951"/>
      <c r="BC40" s="951"/>
      <c r="BD40" s="951"/>
      <c r="BE40" s="951"/>
      <c r="BF40" s="951"/>
      <c r="BG40" s="951"/>
      <c r="BH40" s="951"/>
      <c r="BI40" s="951"/>
      <c r="BJ40" s="951"/>
      <c r="BK40" s="951"/>
      <c r="BL40" s="951"/>
      <c r="BM40" s="951"/>
      <c r="BN40" s="951"/>
      <c r="BO40" s="951"/>
      <c r="BP40" s="951"/>
      <c r="BQ40" s="951"/>
      <c r="BR40" s="951"/>
      <c r="BS40" s="951"/>
      <c r="BT40" s="951"/>
      <c r="BU40" s="951"/>
      <c r="BV40" s="951"/>
      <c r="BW40" s="951"/>
      <c r="BX40" s="951"/>
      <c r="BY40" s="951"/>
      <c r="BZ40" s="951"/>
      <c r="CA40" s="951"/>
      <c r="CB40" s="951"/>
      <c r="CC40" s="951"/>
      <c r="CD40" s="951"/>
      <c r="CE40" s="951"/>
      <c r="CF40" s="951"/>
      <c r="CG40" s="951"/>
      <c r="CH40" s="951"/>
      <c r="CI40" s="951"/>
      <c r="CJ40" s="951"/>
      <c r="CK40" s="951"/>
      <c r="CL40" s="951"/>
      <c r="CM40" s="951"/>
      <c r="CN40" s="951"/>
      <c r="CO40" s="951"/>
      <c r="CP40" s="951"/>
      <c r="CQ40" s="951"/>
      <c r="CR40" s="951"/>
      <c r="CS40" s="951"/>
      <c r="CT40" s="951"/>
      <c r="CU40" s="951"/>
      <c r="CV40" s="951"/>
      <c r="CW40" s="951"/>
      <c r="CX40" s="951"/>
      <c r="CY40" s="951"/>
      <c r="CZ40" s="951"/>
      <c r="DA40" s="951"/>
      <c r="DB40" s="951"/>
      <c r="DC40" s="951"/>
      <c r="DD40" s="951"/>
      <c r="DE40" s="951"/>
      <c r="DF40" s="951"/>
      <c r="DG40" s="951"/>
      <c r="DH40" s="951"/>
      <c r="DI40" s="951"/>
      <c r="DJ40" s="951"/>
      <c r="DK40" s="951"/>
      <c r="DL40" s="951"/>
      <c r="DM40" s="951"/>
      <c r="DN40" s="951"/>
      <c r="DO40" s="951"/>
      <c r="DP40" s="951"/>
      <c r="DQ40" s="951"/>
      <c r="DR40" s="951"/>
      <c r="DS40" s="951"/>
      <c r="DT40" s="951"/>
      <c r="DU40" s="951"/>
      <c r="DV40" s="951"/>
      <c r="DW40" s="951"/>
      <c r="DX40" s="951"/>
      <c r="DY40" s="951"/>
      <c r="DZ40" s="951"/>
      <c r="EA40" s="951"/>
      <c r="EB40" s="951"/>
      <c r="EC40" s="951"/>
      <c r="ED40" s="951"/>
      <c r="EE40" s="951"/>
      <c r="EF40" s="951"/>
      <c r="EG40" s="951"/>
      <c r="EH40" s="951"/>
      <c r="EI40" s="951"/>
      <c r="EJ40" s="951"/>
      <c r="EK40" s="951"/>
      <c r="EL40" s="951"/>
      <c r="EM40" s="951"/>
      <c r="EN40" s="951"/>
      <c r="EO40" s="951"/>
      <c r="EP40" s="951"/>
      <c r="EQ40" s="951"/>
      <c r="ER40" s="951"/>
      <c r="ES40" s="951"/>
      <c r="ET40" s="951"/>
      <c r="EU40" s="951"/>
      <c r="EV40" s="951"/>
      <c r="EW40" s="951"/>
      <c r="EX40" s="951"/>
      <c r="EY40" s="951"/>
      <c r="EZ40" s="951"/>
      <c r="FA40" s="951"/>
      <c r="FB40" s="951"/>
      <c r="FC40" s="951"/>
      <c r="FD40" s="951"/>
      <c r="FE40" s="951"/>
      <c r="FF40" s="951"/>
      <c r="FG40" s="951"/>
      <c r="FH40" s="951"/>
      <c r="FI40" s="951"/>
      <c r="FJ40" s="951"/>
      <c r="FK40" s="951"/>
      <c r="FL40" s="951"/>
      <c r="FM40" s="951"/>
      <c r="FN40" s="951"/>
      <c r="FO40" s="951"/>
      <c r="FP40" s="951"/>
      <c r="FQ40" s="951"/>
      <c r="FR40" s="951"/>
      <c r="FS40" s="951"/>
      <c r="FT40" s="951"/>
      <c r="FU40" s="951"/>
      <c r="FV40" s="951"/>
      <c r="FW40" s="951"/>
      <c r="FX40" s="951"/>
      <c r="FY40" s="951"/>
      <c r="FZ40" s="951"/>
      <c r="GA40" s="951"/>
      <c r="GB40" s="951"/>
      <c r="GC40" s="951"/>
      <c r="GD40" s="951"/>
      <c r="GE40" s="951"/>
      <c r="GF40" s="951"/>
      <c r="GG40" s="951"/>
      <c r="GH40" s="951"/>
      <c r="GI40" s="951"/>
      <c r="GJ40" s="951"/>
      <c r="GK40" s="951"/>
      <c r="GL40" s="951"/>
      <c r="GM40" s="951"/>
      <c r="GN40" s="951"/>
      <c r="GO40" s="951"/>
      <c r="GP40" s="951"/>
      <c r="GQ40" s="951"/>
      <c r="GR40" s="951"/>
      <c r="GS40" s="951"/>
      <c r="GT40" s="951"/>
      <c r="GU40" s="951"/>
      <c r="GV40" s="951"/>
      <c r="GW40" s="951"/>
      <c r="GX40" s="951"/>
      <c r="GY40" s="951"/>
      <c r="GZ40" s="951"/>
      <c r="HA40" s="951"/>
      <c r="HB40" s="951"/>
      <c r="HC40" s="951"/>
      <c r="HD40" s="951"/>
      <c r="HE40" s="951"/>
      <c r="HF40" s="951"/>
      <c r="HG40" s="951"/>
      <c r="HH40" s="951"/>
      <c r="HI40" s="951"/>
      <c r="HJ40" s="951"/>
      <c r="HK40" s="951"/>
      <c r="HL40" s="951"/>
      <c r="HM40" s="951"/>
      <c r="HN40" s="951"/>
      <c r="HO40" s="951"/>
      <c r="HP40" s="951"/>
      <c r="HQ40" s="951"/>
      <c r="HR40" s="951"/>
      <c r="HS40" s="951"/>
      <c r="HT40" s="951"/>
      <c r="HU40" s="951"/>
      <c r="HV40" s="951"/>
      <c r="HW40" s="951"/>
      <c r="HX40" s="951"/>
      <c r="HY40" s="951"/>
      <c r="HZ40" s="951"/>
      <c r="IA40" s="951"/>
      <c r="IB40" s="951"/>
      <c r="IC40" s="951"/>
      <c r="ID40" s="951"/>
      <c r="IE40" s="951"/>
      <c r="IF40" s="951"/>
      <c r="IG40" s="951"/>
      <c r="IH40" s="951"/>
      <c r="II40" s="951"/>
      <c r="IJ40" s="951"/>
      <c r="IK40" s="951"/>
      <c r="IL40" s="951"/>
      <c r="IM40" s="1"/>
      <c r="IN40" s="1"/>
      <c r="IO40" s="1"/>
      <c r="IP40" s="1"/>
      <c r="IQ40" s="1"/>
      <c r="IR40" s="1"/>
      <c r="IS40" s="1"/>
      <c r="IT40" s="1"/>
    </row>
    <row r="41" spans="1:254" s="84" customFormat="1" ht="12.95" hidden="1" customHeight="1" thickBot="1" x14ac:dyDescent="0.2">
      <c r="A41" s="85">
        <f>B41+SUM(O42:IL42)</f>
        <v>0</v>
      </c>
      <c r="B41" s="9">
        <f>J42</f>
        <v>0</v>
      </c>
      <c r="C41" s="967"/>
      <c r="D41" s="972"/>
      <c r="E41" s="967"/>
      <c r="F41" s="973"/>
      <c r="G41" s="28"/>
      <c r="H41" s="28"/>
      <c r="I41" s="28"/>
      <c r="J41" s="28"/>
      <c r="K41" s="28"/>
      <c r="L41" s="37"/>
      <c r="M41" s="960"/>
      <c r="N41" s="960"/>
      <c r="O41" s="951"/>
      <c r="P41" s="951"/>
      <c r="Q41" s="951"/>
      <c r="R41" s="951"/>
      <c r="S41" s="951"/>
      <c r="T41" s="951"/>
      <c r="U41" s="951"/>
      <c r="V41" s="951"/>
      <c r="W41" s="951"/>
      <c r="X41" s="951"/>
      <c r="Y41" s="951"/>
      <c r="Z41" s="951"/>
      <c r="AA41" s="951"/>
      <c r="AB41" s="951"/>
      <c r="AC41" s="951"/>
      <c r="AD41" s="951"/>
      <c r="AE41" s="951"/>
      <c r="AF41" s="951"/>
      <c r="AG41" s="951"/>
      <c r="AH41" s="951"/>
      <c r="AI41" s="951"/>
      <c r="AJ41" s="951"/>
      <c r="AK41" s="951"/>
      <c r="AL41" s="951"/>
      <c r="AM41" s="951"/>
      <c r="AN41" s="951"/>
      <c r="AO41" s="951"/>
      <c r="AP41" s="951"/>
      <c r="AQ41" s="951"/>
      <c r="AR41" s="951"/>
      <c r="AS41" s="951"/>
      <c r="AT41" s="951"/>
      <c r="AU41" s="951"/>
      <c r="AV41" s="951"/>
      <c r="AW41" s="951"/>
      <c r="AX41" s="951"/>
      <c r="AY41" s="951"/>
      <c r="AZ41" s="951"/>
      <c r="BA41" s="951"/>
      <c r="BB41" s="951"/>
      <c r="BC41" s="951"/>
      <c r="BD41" s="951"/>
      <c r="BE41" s="951"/>
      <c r="BF41" s="951"/>
      <c r="BG41" s="951"/>
      <c r="BH41" s="951"/>
      <c r="BI41" s="951"/>
      <c r="BJ41" s="951"/>
      <c r="BK41" s="951"/>
      <c r="BL41" s="951"/>
      <c r="BM41" s="951"/>
      <c r="BN41" s="951"/>
      <c r="BO41" s="951"/>
      <c r="BP41" s="951"/>
      <c r="BQ41" s="951"/>
      <c r="BR41" s="951"/>
      <c r="BS41" s="951"/>
      <c r="BT41" s="951"/>
      <c r="BU41" s="951"/>
      <c r="BV41" s="951"/>
      <c r="BW41" s="951"/>
      <c r="BX41" s="951"/>
      <c r="BY41" s="951"/>
      <c r="BZ41" s="951"/>
      <c r="CA41" s="951"/>
      <c r="CB41" s="951"/>
      <c r="CC41" s="951"/>
      <c r="CD41" s="951"/>
      <c r="CE41" s="951"/>
      <c r="CF41" s="951"/>
      <c r="CG41" s="951"/>
      <c r="CH41" s="951"/>
      <c r="CI41" s="951"/>
      <c r="CJ41" s="951"/>
      <c r="CK41" s="951"/>
      <c r="CL41" s="951"/>
      <c r="CM41" s="951"/>
      <c r="CN41" s="951"/>
      <c r="CO41" s="951"/>
      <c r="CP41" s="951"/>
      <c r="CQ41" s="951"/>
      <c r="CR41" s="951"/>
      <c r="CS41" s="951"/>
      <c r="CT41" s="951"/>
      <c r="CU41" s="951"/>
      <c r="CV41" s="951"/>
      <c r="CW41" s="951"/>
      <c r="CX41" s="951"/>
      <c r="CY41" s="951"/>
      <c r="CZ41" s="951"/>
      <c r="DA41" s="951"/>
      <c r="DB41" s="951"/>
      <c r="DC41" s="951"/>
      <c r="DD41" s="951"/>
      <c r="DE41" s="951"/>
      <c r="DF41" s="951"/>
      <c r="DG41" s="951"/>
      <c r="DH41" s="951"/>
      <c r="DI41" s="951"/>
      <c r="DJ41" s="951"/>
      <c r="DK41" s="951"/>
      <c r="DL41" s="951"/>
      <c r="DM41" s="951"/>
      <c r="DN41" s="951"/>
      <c r="DO41" s="951"/>
      <c r="DP41" s="951"/>
      <c r="DQ41" s="951"/>
      <c r="DR41" s="951"/>
      <c r="DS41" s="951"/>
      <c r="DT41" s="951"/>
      <c r="DU41" s="951"/>
      <c r="DV41" s="951"/>
      <c r="DW41" s="951"/>
      <c r="DX41" s="951"/>
      <c r="DY41" s="951"/>
      <c r="DZ41" s="951"/>
      <c r="EA41" s="951"/>
      <c r="EB41" s="951"/>
      <c r="EC41" s="951"/>
      <c r="ED41" s="951"/>
      <c r="EE41" s="951"/>
      <c r="EF41" s="951"/>
      <c r="EG41" s="951"/>
      <c r="EH41" s="951"/>
      <c r="EI41" s="951"/>
      <c r="EJ41" s="951"/>
      <c r="EK41" s="951"/>
      <c r="EL41" s="951"/>
      <c r="EM41" s="951"/>
      <c r="EN41" s="951"/>
      <c r="EO41" s="951"/>
      <c r="EP41" s="951"/>
      <c r="EQ41" s="951"/>
      <c r="ER41" s="951"/>
      <c r="ES41" s="951"/>
      <c r="ET41" s="951"/>
      <c r="EU41" s="951"/>
      <c r="EV41" s="951"/>
      <c r="EW41" s="951"/>
      <c r="EX41" s="951"/>
      <c r="EY41" s="951"/>
      <c r="EZ41" s="951"/>
      <c r="FA41" s="951"/>
      <c r="FB41" s="951"/>
      <c r="FC41" s="951"/>
      <c r="FD41" s="951"/>
      <c r="FE41" s="951"/>
      <c r="FF41" s="951"/>
      <c r="FG41" s="951"/>
      <c r="FH41" s="951"/>
      <c r="FI41" s="951"/>
      <c r="FJ41" s="951"/>
      <c r="FK41" s="951"/>
      <c r="FL41" s="951"/>
      <c r="FM41" s="951"/>
      <c r="FN41" s="951"/>
      <c r="FO41" s="951"/>
      <c r="FP41" s="951"/>
      <c r="FQ41" s="951"/>
      <c r="FR41" s="951"/>
      <c r="FS41" s="951"/>
      <c r="FT41" s="951"/>
      <c r="FU41" s="951"/>
      <c r="FV41" s="951"/>
      <c r="FW41" s="951"/>
      <c r="FX41" s="951"/>
      <c r="FY41" s="951"/>
      <c r="FZ41" s="951"/>
      <c r="GA41" s="951"/>
      <c r="GB41" s="951"/>
      <c r="GC41" s="951"/>
      <c r="GD41" s="951"/>
      <c r="GE41" s="951"/>
      <c r="GF41" s="951"/>
      <c r="GG41" s="951"/>
      <c r="GH41" s="951"/>
      <c r="GI41" s="951"/>
      <c r="GJ41" s="951"/>
      <c r="GK41" s="951"/>
      <c r="GL41" s="951"/>
      <c r="GM41" s="951"/>
      <c r="GN41" s="951"/>
      <c r="GO41" s="951"/>
      <c r="GP41" s="951"/>
      <c r="GQ41" s="951"/>
      <c r="GR41" s="951"/>
      <c r="GS41" s="951"/>
      <c r="GT41" s="951"/>
      <c r="GU41" s="951"/>
      <c r="GV41" s="951"/>
      <c r="GW41" s="951"/>
      <c r="GX41" s="951"/>
      <c r="GY41" s="951"/>
      <c r="GZ41" s="951"/>
      <c r="HA41" s="951"/>
      <c r="HB41" s="951"/>
      <c r="HC41" s="951"/>
      <c r="HD41" s="951"/>
      <c r="HE41" s="951"/>
      <c r="HF41" s="951"/>
      <c r="HG41" s="951"/>
      <c r="HH41" s="951"/>
      <c r="HI41" s="951"/>
      <c r="HJ41" s="951"/>
      <c r="HK41" s="951"/>
      <c r="HL41" s="951"/>
      <c r="HM41" s="951"/>
      <c r="HN41" s="951"/>
      <c r="HO41" s="951"/>
      <c r="HP41" s="951"/>
      <c r="HQ41" s="951"/>
      <c r="HR41" s="951"/>
      <c r="HS41" s="951"/>
      <c r="HT41" s="951"/>
      <c r="HU41" s="951"/>
      <c r="HV41" s="951"/>
      <c r="HW41" s="951"/>
      <c r="HX41" s="951"/>
      <c r="HY41" s="951"/>
      <c r="HZ41" s="951"/>
      <c r="IA41" s="951"/>
      <c r="IB41" s="951"/>
      <c r="IC41" s="951"/>
      <c r="ID41" s="951"/>
      <c r="IE41" s="951"/>
      <c r="IF41" s="951"/>
      <c r="IG41" s="951"/>
      <c r="IH41" s="951"/>
      <c r="II41" s="951"/>
      <c r="IJ41" s="951"/>
      <c r="IK41" s="951"/>
      <c r="IL41" s="951"/>
      <c r="IM41" s="1"/>
      <c r="IN41" s="1"/>
      <c r="IO41" s="1"/>
      <c r="IP41" s="1"/>
      <c r="IQ41" s="1"/>
      <c r="IR41" s="1"/>
      <c r="IS41" s="1"/>
      <c r="IT41" s="1"/>
    </row>
    <row r="42" spans="1:254" s="98" customFormat="1" ht="12.95" hidden="1" customHeight="1" x14ac:dyDescent="0.15">
      <c r="A42" s="139" t="s">
        <v>442</v>
      </c>
      <c r="B42" s="140">
        <f>クリーチャー!C12+クリーチャー!D12</f>
        <v>0</v>
      </c>
      <c r="C42" s="141" t="s">
        <v>445</v>
      </c>
      <c r="D42" s="142">
        <f>クリーチャー!C13+クリーチャー!D13</f>
        <v>0</v>
      </c>
      <c r="E42" s="143" t="s">
        <v>439</v>
      </c>
      <c r="F42" s="144">
        <f>クリーチャー!C11+クリーチャー!D11</f>
        <v>0</v>
      </c>
      <c r="G42" s="939" t="s">
        <v>662</v>
      </c>
      <c r="H42" s="939"/>
      <c r="I42" s="94" t="s">
        <v>663</v>
      </c>
      <c r="J42" s="95">
        <f>クリーチャー!C10</f>
        <v>0</v>
      </c>
      <c r="K42" s="145"/>
      <c r="L42" s="146"/>
      <c r="M42" s="97" t="s">
        <v>661</v>
      </c>
      <c r="N42" s="95" t="s">
        <v>647</v>
      </c>
      <c r="O42" s="95"/>
      <c r="IL42" s="99"/>
      <c r="IM42" s="1"/>
      <c r="IN42" s="1"/>
      <c r="IO42" s="1"/>
      <c r="IP42" s="1"/>
      <c r="IQ42" s="1"/>
      <c r="IR42" s="1"/>
      <c r="IS42" s="1"/>
      <c r="IT42" s="1"/>
    </row>
    <row r="43" spans="1:254" s="1" customFormat="1" ht="12" hidden="1" customHeight="1" thickBot="1" x14ac:dyDescent="0.2">
      <c r="A43" s="22" t="s">
        <v>293</v>
      </c>
      <c r="B43" s="147">
        <f>クリーチャー!C14+クリーチャー!D14</f>
        <v>0</v>
      </c>
      <c r="C43" s="23" t="s">
        <v>444</v>
      </c>
      <c r="D43" s="148">
        <f>クリーチャー!C15+クリーチャー!D15</f>
        <v>0</v>
      </c>
      <c r="E43" s="29"/>
      <c r="F43" s="29"/>
      <c r="G43" s="23" t="s">
        <v>437</v>
      </c>
      <c r="H43" s="30" t="str">
        <f>クリーチャー!B19&amp;"D6+"&amp;クリーチャー!C19+クリーチャー!D19</f>
        <v>0D6+0</v>
      </c>
      <c r="I43" s="23" t="s">
        <v>667</v>
      </c>
      <c r="J43" s="147">
        <f>クリーチャー!C23</f>
        <v>4</v>
      </c>
      <c r="K43" s="23" t="s">
        <v>449</v>
      </c>
      <c r="L43" s="149">
        <f>クリーチャー!F23</f>
        <v>2</v>
      </c>
    </row>
    <row r="44" spans="1:254" ht="14.1" hidden="1" customHeight="1" x14ac:dyDescent="0.15"/>
    <row r="45" spans="1:254" s="84" customFormat="1" ht="12.95" hidden="1" customHeight="1" thickBot="1" x14ac:dyDescent="0.2">
      <c r="A45" s="968" t="s">
        <v>435</v>
      </c>
      <c r="B45" s="968"/>
      <c r="C45" s="968"/>
      <c r="D45" s="968"/>
      <c r="E45" s="969" t="s">
        <v>684</v>
      </c>
      <c r="F45" s="970" t="str">
        <f>クリーチャー_2!F19</f>
        <v>1D6</v>
      </c>
      <c r="G45" s="971" t="s">
        <v>685</v>
      </c>
      <c r="H45" s="971"/>
      <c r="I45" s="971"/>
      <c r="J45" s="971"/>
      <c r="K45" s="971"/>
      <c r="L45" s="971"/>
      <c r="M45" s="960" t="s">
        <v>646</v>
      </c>
      <c r="N45" s="951" t="s">
        <v>647</v>
      </c>
      <c r="O45" s="951"/>
      <c r="P45" s="951"/>
      <c r="Q45" s="951"/>
      <c r="R45" s="951"/>
      <c r="S45" s="951"/>
      <c r="T45" s="951"/>
      <c r="U45" s="951"/>
      <c r="V45" s="951"/>
      <c r="W45" s="951"/>
      <c r="X45" s="951"/>
      <c r="Y45" s="951"/>
      <c r="Z45" s="951"/>
      <c r="AA45" s="951"/>
      <c r="AB45" s="951"/>
      <c r="AC45" s="951"/>
      <c r="AD45" s="951"/>
      <c r="AE45" s="951"/>
      <c r="AF45" s="951"/>
      <c r="AG45" s="951"/>
      <c r="AH45" s="951"/>
      <c r="AI45" s="951"/>
      <c r="AJ45" s="951"/>
      <c r="AK45" s="951"/>
      <c r="AL45" s="951"/>
      <c r="AM45" s="951"/>
      <c r="AN45" s="951"/>
      <c r="AO45" s="951"/>
      <c r="AP45" s="951"/>
      <c r="AQ45" s="951"/>
      <c r="AR45" s="951"/>
      <c r="AS45" s="951"/>
      <c r="AT45" s="951"/>
      <c r="AU45" s="951"/>
      <c r="AV45" s="951"/>
      <c r="AW45" s="951"/>
      <c r="AX45" s="951"/>
      <c r="AY45" s="951"/>
      <c r="AZ45" s="951"/>
      <c r="BA45" s="951"/>
      <c r="BB45" s="951"/>
      <c r="BC45" s="951"/>
      <c r="BD45" s="951"/>
      <c r="BE45" s="951"/>
      <c r="BF45" s="951"/>
      <c r="BG45" s="951"/>
      <c r="BH45" s="951"/>
      <c r="BI45" s="951"/>
      <c r="BJ45" s="951"/>
      <c r="BK45" s="951"/>
      <c r="BL45" s="951"/>
      <c r="BM45" s="951"/>
      <c r="BN45" s="951"/>
      <c r="BO45" s="951"/>
      <c r="BP45" s="951"/>
      <c r="BQ45" s="951"/>
      <c r="BR45" s="951"/>
      <c r="BS45" s="951"/>
      <c r="BT45" s="951"/>
      <c r="BU45" s="951"/>
      <c r="BV45" s="951"/>
      <c r="BW45" s="951"/>
      <c r="BX45" s="951"/>
      <c r="BY45" s="951"/>
      <c r="BZ45" s="951"/>
      <c r="CA45" s="951"/>
      <c r="CB45" s="951"/>
      <c r="CC45" s="951"/>
      <c r="CD45" s="951"/>
      <c r="CE45" s="951"/>
      <c r="CF45" s="951"/>
      <c r="CG45" s="951"/>
      <c r="CH45" s="951"/>
      <c r="CI45" s="951"/>
      <c r="CJ45" s="951"/>
      <c r="CK45" s="951"/>
      <c r="CL45" s="951"/>
      <c r="CM45" s="951"/>
      <c r="CN45" s="951"/>
      <c r="CO45" s="951"/>
      <c r="CP45" s="951"/>
      <c r="CQ45" s="951"/>
      <c r="CR45" s="951"/>
      <c r="CS45" s="951"/>
      <c r="CT45" s="951"/>
      <c r="CU45" s="951"/>
      <c r="CV45" s="951"/>
      <c r="CW45" s="951"/>
      <c r="CX45" s="951"/>
      <c r="CY45" s="951"/>
      <c r="CZ45" s="951"/>
      <c r="DA45" s="951"/>
      <c r="DB45" s="951"/>
      <c r="DC45" s="951"/>
      <c r="DD45" s="951"/>
      <c r="DE45" s="951"/>
      <c r="DF45" s="951"/>
      <c r="DG45" s="951"/>
      <c r="DH45" s="951"/>
      <c r="DI45" s="951"/>
      <c r="DJ45" s="951"/>
      <c r="DK45" s="951"/>
      <c r="DL45" s="951"/>
      <c r="DM45" s="951"/>
      <c r="DN45" s="951"/>
      <c r="DO45" s="951"/>
      <c r="DP45" s="951"/>
      <c r="DQ45" s="951"/>
      <c r="DR45" s="951"/>
      <c r="DS45" s="951"/>
      <c r="DT45" s="951"/>
      <c r="DU45" s="951"/>
      <c r="DV45" s="951"/>
      <c r="DW45" s="951"/>
      <c r="DX45" s="951"/>
      <c r="DY45" s="951"/>
      <c r="DZ45" s="951"/>
      <c r="EA45" s="951"/>
      <c r="EB45" s="951"/>
      <c r="EC45" s="951"/>
      <c r="ED45" s="951"/>
      <c r="EE45" s="951"/>
      <c r="EF45" s="951"/>
      <c r="EG45" s="951"/>
      <c r="EH45" s="951"/>
      <c r="EI45" s="951"/>
      <c r="EJ45" s="951"/>
      <c r="EK45" s="951"/>
      <c r="EL45" s="951"/>
      <c r="EM45" s="951"/>
      <c r="EN45" s="951"/>
      <c r="EO45" s="951"/>
      <c r="EP45" s="951"/>
      <c r="EQ45" s="951"/>
      <c r="ER45" s="951"/>
      <c r="ES45" s="951"/>
      <c r="ET45" s="951"/>
      <c r="EU45" s="951"/>
      <c r="EV45" s="951"/>
      <c r="EW45" s="951"/>
      <c r="EX45" s="951"/>
      <c r="EY45" s="951"/>
      <c r="EZ45" s="951"/>
      <c r="FA45" s="951"/>
      <c r="FB45" s="951"/>
      <c r="FC45" s="951"/>
      <c r="FD45" s="951"/>
      <c r="FE45" s="951"/>
      <c r="FF45" s="951"/>
      <c r="FG45" s="951"/>
      <c r="FH45" s="951"/>
      <c r="FI45" s="951"/>
      <c r="FJ45" s="951"/>
      <c r="FK45" s="951"/>
      <c r="FL45" s="951"/>
      <c r="FM45" s="951"/>
      <c r="FN45" s="951"/>
      <c r="FO45" s="951"/>
      <c r="FP45" s="951"/>
      <c r="FQ45" s="951"/>
      <c r="FR45" s="951"/>
      <c r="FS45" s="951"/>
      <c r="FT45" s="951"/>
      <c r="FU45" s="951"/>
      <c r="FV45" s="951"/>
      <c r="FW45" s="951"/>
      <c r="FX45" s="951"/>
      <c r="FY45" s="951"/>
      <c r="FZ45" s="951"/>
      <c r="GA45" s="951"/>
      <c r="GB45" s="951"/>
      <c r="GC45" s="951"/>
      <c r="GD45" s="951"/>
      <c r="GE45" s="951"/>
      <c r="GF45" s="951"/>
      <c r="GG45" s="951"/>
      <c r="GH45" s="951"/>
      <c r="GI45" s="951"/>
      <c r="GJ45" s="951"/>
      <c r="GK45" s="951"/>
      <c r="GL45" s="951"/>
      <c r="GM45" s="951"/>
      <c r="GN45" s="951"/>
      <c r="GO45" s="951"/>
      <c r="GP45" s="951"/>
      <c r="GQ45" s="951"/>
      <c r="GR45" s="951"/>
      <c r="GS45" s="951"/>
      <c r="GT45" s="951"/>
      <c r="GU45" s="951"/>
      <c r="GV45" s="951"/>
      <c r="GW45" s="951"/>
      <c r="GX45" s="951"/>
      <c r="GY45" s="951"/>
      <c r="GZ45" s="951"/>
      <c r="HA45" s="951"/>
      <c r="HB45" s="951"/>
      <c r="HC45" s="951"/>
      <c r="HD45" s="951"/>
      <c r="HE45" s="951"/>
      <c r="HF45" s="951"/>
      <c r="HG45" s="951"/>
      <c r="HH45" s="951"/>
      <c r="HI45" s="951"/>
      <c r="HJ45" s="951"/>
      <c r="HK45" s="951"/>
      <c r="HL45" s="951"/>
      <c r="HM45" s="951"/>
      <c r="HN45" s="951"/>
      <c r="HO45" s="951"/>
      <c r="HP45" s="951"/>
      <c r="HQ45" s="951"/>
      <c r="HR45" s="951"/>
      <c r="HS45" s="951"/>
      <c r="HT45" s="951"/>
      <c r="HU45" s="951"/>
      <c r="HV45" s="951"/>
      <c r="HW45" s="951"/>
      <c r="HX45" s="951"/>
      <c r="HY45" s="951"/>
      <c r="HZ45" s="951"/>
      <c r="IA45" s="951"/>
      <c r="IB45" s="951"/>
      <c r="IC45" s="951"/>
      <c r="ID45" s="951"/>
      <c r="IE45" s="951"/>
      <c r="IF45" s="951"/>
      <c r="IG45" s="951"/>
      <c r="IH45" s="951"/>
      <c r="II45" s="951"/>
      <c r="IJ45" s="951"/>
      <c r="IK45" s="951"/>
      <c r="IL45" s="950"/>
      <c r="IM45" s="1"/>
      <c r="IN45" s="1"/>
      <c r="IO45" s="1"/>
      <c r="IP45" s="1"/>
      <c r="IQ45" s="1"/>
      <c r="IR45" s="1"/>
      <c r="IS45" s="1"/>
      <c r="IT45" s="1"/>
    </row>
    <row r="46" spans="1:254" s="84" customFormat="1" ht="12.95" hidden="1" customHeight="1" thickBot="1" x14ac:dyDescent="0.2">
      <c r="A46" s="963">
        <f>クリーチャー_2!D2</f>
        <v>0</v>
      </c>
      <c r="B46" s="963"/>
      <c r="C46" s="963"/>
      <c r="D46" s="963"/>
      <c r="E46" s="969"/>
      <c r="F46" s="970"/>
      <c r="G46" s="24" t="s">
        <v>33</v>
      </c>
      <c r="H46" s="138" t="s">
        <v>292</v>
      </c>
      <c r="I46" s="32" t="s">
        <v>125</v>
      </c>
      <c r="J46" s="138" t="s">
        <v>292</v>
      </c>
      <c r="K46" s="33" t="s">
        <v>185</v>
      </c>
      <c r="L46" s="138" t="s">
        <v>292</v>
      </c>
      <c r="M46" s="960"/>
      <c r="N46" s="951"/>
      <c r="O46" s="951"/>
      <c r="P46" s="951"/>
      <c r="Q46" s="951"/>
      <c r="R46" s="951"/>
      <c r="S46" s="951"/>
      <c r="T46" s="951"/>
      <c r="U46" s="951"/>
      <c r="V46" s="951"/>
      <c r="W46" s="951"/>
      <c r="X46" s="951"/>
      <c r="Y46" s="951"/>
      <c r="Z46" s="951"/>
      <c r="AA46" s="951"/>
      <c r="AB46" s="951"/>
      <c r="AC46" s="951"/>
      <c r="AD46" s="951"/>
      <c r="AE46" s="951"/>
      <c r="AF46" s="951"/>
      <c r="AG46" s="951"/>
      <c r="AH46" s="951"/>
      <c r="AI46" s="951"/>
      <c r="AJ46" s="951"/>
      <c r="AK46" s="951"/>
      <c r="AL46" s="951"/>
      <c r="AM46" s="951"/>
      <c r="AN46" s="951"/>
      <c r="AO46" s="951"/>
      <c r="AP46" s="951"/>
      <c r="AQ46" s="951"/>
      <c r="AR46" s="951"/>
      <c r="AS46" s="951"/>
      <c r="AT46" s="951"/>
      <c r="AU46" s="951"/>
      <c r="AV46" s="951"/>
      <c r="AW46" s="951"/>
      <c r="AX46" s="951"/>
      <c r="AY46" s="951"/>
      <c r="AZ46" s="951"/>
      <c r="BA46" s="951"/>
      <c r="BB46" s="951"/>
      <c r="BC46" s="951"/>
      <c r="BD46" s="951"/>
      <c r="BE46" s="951"/>
      <c r="BF46" s="951"/>
      <c r="BG46" s="951"/>
      <c r="BH46" s="951"/>
      <c r="BI46" s="951"/>
      <c r="BJ46" s="951"/>
      <c r="BK46" s="951"/>
      <c r="BL46" s="951"/>
      <c r="BM46" s="951"/>
      <c r="BN46" s="951"/>
      <c r="BO46" s="951"/>
      <c r="BP46" s="951"/>
      <c r="BQ46" s="951"/>
      <c r="BR46" s="951"/>
      <c r="BS46" s="951"/>
      <c r="BT46" s="951"/>
      <c r="BU46" s="951"/>
      <c r="BV46" s="951"/>
      <c r="BW46" s="951"/>
      <c r="BX46" s="951"/>
      <c r="BY46" s="951"/>
      <c r="BZ46" s="951"/>
      <c r="CA46" s="951"/>
      <c r="CB46" s="951"/>
      <c r="CC46" s="951"/>
      <c r="CD46" s="951"/>
      <c r="CE46" s="951"/>
      <c r="CF46" s="951"/>
      <c r="CG46" s="951"/>
      <c r="CH46" s="951"/>
      <c r="CI46" s="951"/>
      <c r="CJ46" s="951"/>
      <c r="CK46" s="951"/>
      <c r="CL46" s="951"/>
      <c r="CM46" s="951"/>
      <c r="CN46" s="951"/>
      <c r="CO46" s="951"/>
      <c r="CP46" s="951"/>
      <c r="CQ46" s="951"/>
      <c r="CR46" s="951"/>
      <c r="CS46" s="951"/>
      <c r="CT46" s="951"/>
      <c r="CU46" s="951"/>
      <c r="CV46" s="951"/>
      <c r="CW46" s="951"/>
      <c r="CX46" s="951"/>
      <c r="CY46" s="951"/>
      <c r="CZ46" s="951"/>
      <c r="DA46" s="951"/>
      <c r="DB46" s="951"/>
      <c r="DC46" s="951"/>
      <c r="DD46" s="951"/>
      <c r="DE46" s="951"/>
      <c r="DF46" s="951"/>
      <c r="DG46" s="951"/>
      <c r="DH46" s="951"/>
      <c r="DI46" s="951"/>
      <c r="DJ46" s="951"/>
      <c r="DK46" s="951"/>
      <c r="DL46" s="951"/>
      <c r="DM46" s="951"/>
      <c r="DN46" s="951"/>
      <c r="DO46" s="951"/>
      <c r="DP46" s="951"/>
      <c r="DQ46" s="951"/>
      <c r="DR46" s="951"/>
      <c r="DS46" s="951"/>
      <c r="DT46" s="951"/>
      <c r="DU46" s="951"/>
      <c r="DV46" s="951"/>
      <c r="DW46" s="951"/>
      <c r="DX46" s="951"/>
      <c r="DY46" s="951"/>
      <c r="DZ46" s="951"/>
      <c r="EA46" s="951"/>
      <c r="EB46" s="951"/>
      <c r="EC46" s="951"/>
      <c r="ED46" s="951"/>
      <c r="EE46" s="951"/>
      <c r="EF46" s="951"/>
      <c r="EG46" s="951"/>
      <c r="EH46" s="951"/>
      <c r="EI46" s="951"/>
      <c r="EJ46" s="951"/>
      <c r="EK46" s="951"/>
      <c r="EL46" s="951"/>
      <c r="EM46" s="951"/>
      <c r="EN46" s="951"/>
      <c r="EO46" s="951"/>
      <c r="EP46" s="951"/>
      <c r="EQ46" s="951"/>
      <c r="ER46" s="951"/>
      <c r="ES46" s="951"/>
      <c r="ET46" s="951"/>
      <c r="EU46" s="951"/>
      <c r="EV46" s="951"/>
      <c r="EW46" s="951"/>
      <c r="EX46" s="951"/>
      <c r="EY46" s="951"/>
      <c r="EZ46" s="951"/>
      <c r="FA46" s="951"/>
      <c r="FB46" s="951"/>
      <c r="FC46" s="951"/>
      <c r="FD46" s="951"/>
      <c r="FE46" s="951"/>
      <c r="FF46" s="951"/>
      <c r="FG46" s="951"/>
      <c r="FH46" s="951"/>
      <c r="FI46" s="951"/>
      <c r="FJ46" s="951"/>
      <c r="FK46" s="951"/>
      <c r="FL46" s="951"/>
      <c r="FM46" s="951"/>
      <c r="FN46" s="951"/>
      <c r="FO46" s="951"/>
      <c r="FP46" s="951"/>
      <c r="FQ46" s="951"/>
      <c r="FR46" s="951"/>
      <c r="FS46" s="951"/>
      <c r="FT46" s="951"/>
      <c r="FU46" s="951"/>
      <c r="FV46" s="951"/>
      <c r="FW46" s="951"/>
      <c r="FX46" s="951"/>
      <c r="FY46" s="951"/>
      <c r="FZ46" s="951"/>
      <c r="GA46" s="951"/>
      <c r="GB46" s="951"/>
      <c r="GC46" s="951"/>
      <c r="GD46" s="951"/>
      <c r="GE46" s="951"/>
      <c r="GF46" s="951"/>
      <c r="GG46" s="951"/>
      <c r="GH46" s="951"/>
      <c r="GI46" s="951"/>
      <c r="GJ46" s="951"/>
      <c r="GK46" s="951"/>
      <c r="GL46" s="951"/>
      <c r="GM46" s="951"/>
      <c r="GN46" s="951"/>
      <c r="GO46" s="951"/>
      <c r="GP46" s="951"/>
      <c r="GQ46" s="951"/>
      <c r="GR46" s="951"/>
      <c r="GS46" s="951"/>
      <c r="GT46" s="951"/>
      <c r="GU46" s="951"/>
      <c r="GV46" s="951"/>
      <c r="GW46" s="951"/>
      <c r="GX46" s="951"/>
      <c r="GY46" s="951"/>
      <c r="GZ46" s="951"/>
      <c r="HA46" s="951"/>
      <c r="HB46" s="951"/>
      <c r="HC46" s="951"/>
      <c r="HD46" s="951"/>
      <c r="HE46" s="951"/>
      <c r="HF46" s="951"/>
      <c r="HG46" s="951"/>
      <c r="HH46" s="951"/>
      <c r="HI46" s="951"/>
      <c r="HJ46" s="951"/>
      <c r="HK46" s="951"/>
      <c r="HL46" s="951"/>
      <c r="HM46" s="951"/>
      <c r="HN46" s="951"/>
      <c r="HO46" s="951"/>
      <c r="HP46" s="951"/>
      <c r="HQ46" s="951"/>
      <c r="HR46" s="951"/>
      <c r="HS46" s="951"/>
      <c r="HT46" s="951"/>
      <c r="HU46" s="951"/>
      <c r="HV46" s="951"/>
      <c r="HW46" s="951"/>
      <c r="HX46" s="951"/>
      <c r="HY46" s="951"/>
      <c r="HZ46" s="951"/>
      <c r="IA46" s="951"/>
      <c r="IB46" s="951"/>
      <c r="IC46" s="951"/>
      <c r="ID46" s="951"/>
      <c r="IE46" s="951"/>
      <c r="IF46" s="951"/>
      <c r="IG46" s="951"/>
      <c r="IH46" s="951"/>
      <c r="II46" s="951"/>
      <c r="IJ46" s="951"/>
      <c r="IK46" s="951"/>
      <c r="IL46" s="951"/>
      <c r="IM46" s="1"/>
      <c r="IN46" s="1"/>
      <c r="IO46" s="1"/>
      <c r="IP46" s="1"/>
      <c r="IQ46" s="1"/>
      <c r="IR46" s="1"/>
      <c r="IS46" s="1"/>
      <c r="IT46" s="1"/>
    </row>
    <row r="47" spans="1:254" s="84" customFormat="1" ht="12.95" hidden="1" customHeight="1" thickBot="1" x14ac:dyDescent="0.2">
      <c r="A47" s="963"/>
      <c r="B47" s="963"/>
      <c r="C47" s="963"/>
      <c r="D47" s="963"/>
      <c r="E47" s="964" t="s">
        <v>686</v>
      </c>
      <c r="F47" s="965" t="str">
        <f>クリーチャー_2!G19</f>
        <v>1D6</v>
      </c>
      <c r="G47" s="25" t="s">
        <v>87</v>
      </c>
      <c r="H47" s="138" t="s">
        <v>292</v>
      </c>
      <c r="I47" s="34" t="s">
        <v>154</v>
      </c>
      <c r="J47" s="138" t="s">
        <v>292</v>
      </c>
      <c r="K47" s="35" t="s">
        <v>213</v>
      </c>
      <c r="L47" s="138" t="s">
        <v>292</v>
      </c>
      <c r="M47" s="960"/>
      <c r="N47" s="951"/>
      <c r="O47" s="951"/>
      <c r="P47" s="951"/>
      <c r="Q47" s="951"/>
      <c r="R47" s="951"/>
      <c r="S47" s="951"/>
      <c r="T47" s="951"/>
      <c r="U47" s="951"/>
      <c r="V47" s="951"/>
      <c r="W47" s="951"/>
      <c r="X47" s="951"/>
      <c r="Y47" s="951"/>
      <c r="Z47" s="951"/>
      <c r="AA47" s="951"/>
      <c r="AB47" s="951"/>
      <c r="AC47" s="951"/>
      <c r="AD47" s="951"/>
      <c r="AE47" s="951"/>
      <c r="AF47" s="951"/>
      <c r="AG47" s="951"/>
      <c r="AH47" s="951"/>
      <c r="AI47" s="951"/>
      <c r="AJ47" s="951"/>
      <c r="AK47" s="951"/>
      <c r="AL47" s="951"/>
      <c r="AM47" s="951"/>
      <c r="AN47" s="951"/>
      <c r="AO47" s="951"/>
      <c r="AP47" s="951"/>
      <c r="AQ47" s="951"/>
      <c r="AR47" s="951"/>
      <c r="AS47" s="951"/>
      <c r="AT47" s="951"/>
      <c r="AU47" s="951"/>
      <c r="AV47" s="951"/>
      <c r="AW47" s="951"/>
      <c r="AX47" s="951"/>
      <c r="AY47" s="951"/>
      <c r="AZ47" s="951"/>
      <c r="BA47" s="951"/>
      <c r="BB47" s="951"/>
      <c r="BC47" s="951"/>
      <c r="BD47" s="951"/>
      <c r="BE47" s="951"/>
      <c r="BF47" s="951"/>
      <c r="BG47" s="951"/>
      <c r="BH47" s="951"/>
      <c r="BI47" s="951"/>
      <c r="BJ47" s="951"/>
      <c r="BK47" s="951"/>
      <c r="BL47" s="951"/>
      <c r="BM47" s="951"/>
      <c r="BN47" s="951"/>
      <c r="BO47" s="951"/>
      <c r="BP47" s="951"/>
      <c r="BQ47" s="951"/>
      <c r="BR47" s="951"/>
      <c r="BS47" s="951"/>
      <c r="BT47" s="951"/>
      <c r="BU47" s="951"/>
      <c r="BV47" s="951"/>
      <c r="BW47" s="951"/>
      <c r="BX47" s="951"/>
      <c r="BY47" s="951"/>
      <c r="BZ47" s="951"/>
      <c r="CA47" s="951"/>
      <c r="CB47" s="951"/>
      <c r="CC47" s="951"/>
      <c r="CD47" s="951"/>
      <c r="CE47" s="951"/>
      <c r="CF47" s="951"/>
      <c r="CG47" s="951"/>
      <c r="CH47" s="951"/>
      <c r="CI47" s="951"/>
      <c r="CJ47" s="951"/>
      <c r="CK47" s="951"/>
      <c r="CL47" s="951"/>
      <c r="CM47" s="951"/>
      <c r="CN47" s="951"/>
      <c r="CO47" s="951"/>
      <c r="CP47" s="951"/>
      <c r="CQ47" s="951"/>
      <c r="CR47" s="951"/>
      <c r="CS47" s="951"/>
      <c r="CT47" s="951"/>
      <c r="CU47" s="951"/>
      <c r="CV47" s="951"/>
      <c r="CW47" s="951"/>
      <c r="CX47" s="951"/>
      <c r="CY47" s="951"/>
      <c r="CZ47" s="951"/>
      <c r="DA47" s="951"/>
      <c r="DB47" s="951"/>
      <c r="DC47" s="951"/>
      <c r="DD47" s="951"/>
      <c r="DE47" s="951"/>
      <c r="DF47" s="951"/>
      <c r="DG47" s="951"/>
      <c r="DH47" s="951"/>
      <c r="DI47" s="951"/>
      <c r="DJ47" s="951"/>
      <c r="DK47" s="951"/>
      <c r="DL47" s="951"/>
      <c r="DM47" s="951"/>
      <c r="DN47" s="951"/>
      <c r="DO47" s="951"/>
      <c r="DP47" s="951"/>
      <c r="DQ47" s="951"/>
      <c r="DR47" s="951"/>
      <c r="DS47" s="951"/>
      <c r="DT47" s="951"/>
      <c r="DU47" s="951"/>
      <c r="DV47" s="951"/>
      <c r="DW47" s="951"/>
      <c r="DX47" s="951"/>
      <c r="DY47" s="951"/>
      <c r="DZ47" s="951"/>
      <c r="EA47" s="951"/>
      <c r="EB47" s="951"/>
      <c r="EC47" s="951"/>
      <c r="ED47" s="951"/>
      <c r="EE47" s="951"/>
      <c r="EF47" s="951"/>
      <c r="EG47" s="951"/>
      <c r="EH47" s="951"/>
      <c r="EI47" s="951"/>
      <c r="EJ47" s="951"/>
      <c r="EK47" s="951"/>
      <c r="EL47" s="951"/>
      <c r="EM47" s="951"/>
      <c r="EN47" s="951"/>
      <c r="EO47" s="951"/>
      <c r="EP47" s="951"/>
      <c r="EQ47" s="951"/>
      <c r="ER47" s="951"/>
      <c r="ES47" s="951"/>
      <c r="ET47" s="951"/>
      <c r="EU47" s="951"/>
      <c r="EV47" s="951"/>
      <c r="EW47" s="951"/>
      <c r="EX47" s="951"/>
      <c r="EY47" s="951"/>
      <c r="EZ47" s="951"/>
      <c r="FA47" s="951"/>
      <c r="FB47" s="951"/>
      <c r="FC47" s="951"/>
      <c r="FD47" s="951"/>
      <c r="FE47" s="951"/>
      <c r="FF47" s="951"/>
      <c r="FG47" s="951"/>
      <c r="FH47" s="951"/>
      <c r="FI47" s="951"/>
      <c r="FJ47" s="951"/>
      <c r="FK47" s="951"/>
      <c r="FL47" s="951"/>
      <c r="FM47" s="951"/>
      <c r="FN47" s="951"/>
      <c r="FO47" s="951"/>
      <c r="FP47" s="951"/>
      <c r="FQ47" s="951"/>
      <c r="FR47" s="951"/>
      <c r="FS47" s="951"/>
      <c r="FT47" s="951"/>
      <c r="FU47" s="951"/>
      <c r="FV47" s="951"/>
      <c r="FW47" s="951"/>
      <c r="FX47" s="951"/>
      <c r="FY47" s="951"/>
      <c r="FZ47" s="951"/>
      <c r="GA47" s="951"/>
      <c r="GB47" s="951"/>
      <c r="GC47" s="951"/>
      <c r="GD47" s="951"/>
      <c r="GE47" s="951"/>
      <c r="GF47" s="951"/>
      <c r="GG47" s="951"/>
      <c r="GH47" s="951"/>
      <c r="GI47" s="951"/>
      <c r="GJ47" s="951"/>
      <c r="GK47" s="951"/>
      <c r="GL47" s="951"/>
      <c r="GM47" s="951"/>
      <c r="GN47" s="951"/>
      <c r="GO47" s="951"/>
      <c r="GP47" s="951"/>
      <c r="GQ47" s="951"/>
      <c r="GR47" s="951"/>
      <c r="GS47" s="951"/>
      <c r="GT47" s="951"/>
      <c r="GU47" s="951"/>
      <c r="GV47" s="951"/>
      <c r="GW47" s="951"/>
      <c r="GX47" s="951"/>
      <c r="GY47" s="951"/>
      <c r="GZ47" s="951"/>
      <c r="HA47" s="951"/>
      <c r="HB47" s="951"/>
      <c r="HC47" s="951"/>
      <c r="HD47" s="951"/>
      <c r="HE47" s="951"/>
      <c r="HF47" s="951"/>
      <c r="HG47" s="951"/>
      <c r="HH47" s="951"/>
      <c r="HI47" s="951"/>
      <c r="HJ47" s="951"/>
      <c r="HK47" s="951"/>
      <c r="HL47" s="951"/>
      <c r="HM47" s="951"/>
      <c r="HN47" s="951"/>
      <c r="HO47" s="951"/>
      <c r="HP47" s="951"/>
      <c r="HQ47" s="951"/>
      <c r="HR47" s="951"/>
      <c r="HS47" s="951"/>
      <c r="HT47" s="951"/>
      <c r="HU47" s="951"/>
      <c r="HV47" s="951"/>
      <c r="HW47" s="951"/>
      <c r="HX47" s="951"/>
      <c r="HY47" s="951"/>
      <c r="HZ47" s="951"/>
      <c r="IA47" s="951"/>
      <c r="IB47" s="951"/>
      <c r="IC47" s="951"/>
      <c r="ID47" s="951"/>
      <c r="IE47" s="951"/>
      <c r="IF47" s="951"/>
      <c r="IG47" s="951"/>
      <c r="IH47" s="951"/>
      <c r="II47" s="951"/>
      <c r="IJ47" s="951"/>
      <c r="IK47" s="951"/>
      <c r="IL47" s="951"/>
      <c r="IM47" s="1"/>
      <c r="IN47" s="1"/>
      <c r="IO47" s="1"/>
      <c r="IP47" s="1"/>
      <c r="IQ47" s="1"/>
      <c r="IR47" s="1"/>
      <c r="IS47" s="1"/>
      <c r="IT47" s="1"/>
    </row>
    <row r="48" spans="1:254" s="84" customFormat="1" ht="12.95" hidden="1" customHeight="1" thickBot="1" x14ac:dyDescent="0.2">
      <c r="A48" s="963"/>
      <c r="B48" s="963"/>
      <c r="C48" s="963"/>
      <c r="D48" s="963"/>
      <c r="E48" s="964"/>
      <c r="F48" s="965"/>
      <c r="G48" s="26" t="s">
        <v>240</v>
      </c>
      <c r="H48" s="138" t="s">
        <v>292</v>
      </c>
      <c r="I48" s="35" t="s">
        <v>283</v>
      </c>
      <c r="J48" s="138" t="s">
        <v>292</v>
      </c>
      <c r="K48" s="35" t="s">
        <v>324</v>
      </c>
      <c r="L48" s="138" t="s">
        <v>292</v>
      </c>
      <c r="M48" s="960"/>
      <c r="N48" s="960"/>
      <c r="O48" s="951"/>
      <c r="P48" s="951"/>
      <c r="Q48" s="951"/>
      <c r="R48" s="951"/>
      <c r="S48" s="951"/>
      <c r="T48" s="951"/>
      <c r="U48" s="951"/>
      <c r="V48" s="951"/>
      <c r="W48" s="951"/>
      <c r="X48" s="951"/>
      <c r="Y48" s="951"/>
      <c r="Z48" s="951"/>
      <c r="AA48" s="951"/>
      <c r="AB48" s="951"/>
      <c r="AC48" s="951"/>
      <c r="AD48" s="951"/>
      <c r="AE48" s="951"/>
      <c r="AF48" s="951"/>
      <c r="AG48" s="951"/>
      <c r="AH48" s="951"/>
      <c r="AI48" s="951"/>
      <c r="AJ48" s="951"/>
      <c r="AK48" s="951"/>
      <c r="AL48" s="951"/>
      <c r="AM48" s="951"/>
      <c r="AN48" s="951"/>
      <c r="AO48" s="951"/>
      <c r="AP48" s="951"/>
      <c r="AQ48" s="951"/>
      <c r="AR48" s="951"/>
      <c r="AS48" s="951"/>
      <c r="AT48" s="951"/>
      <c r="AU48" s="951"/>
      <c r="AV48" s="951"/>
      <c r="AW48" s="951"/>
      <c r="AX48" s="951"/>
      <c r="AY48" s="951"/>
      <c r="AZ48" s="951"/>
      <c r="BA48" s="951"/>
      <c r="BB48" s="951"/>
      <c r="BC48" s="951"/>
      <c r="BD48" s="951"/>
      <c r="BE48" s="951"/>
      <c r="BF48" s="951"/>
      <c r="BG48" s="951"/>
      <c r="BH48" s="951"/>
      <c r="BI48" s="951"/>
      <c r="BJ48" s="951"/>
      <c r="BK48" s="951"/>
      <c r="BL48" s="951"/>
      <c r="BM48" s="951"/>
      <c r="BN48" s="951"/>
      <c r="BO48" s="951"/>
      <c r="BP48" s="951"/>
      <c r="BQ48" s="951"/>
      <c r="BR48" s="951"/>
      <c r="BS48" s="951"/>
      <c r="BT48" s="951"/>
      <c r="BU48" s="951"/>
      <c r="BV48" s="951"/>
      <c r="BW48" s="951"/>
      <c r="BX48" s="951"/>
      <c r="BY48" s="951"/>
      <c r="BZ48" s="951"/>
      <c r="CA48" s="951"/>
      <c r="CB48" s="951"/>
      <c r="CC48" s="951"/>
      <c r="CD48" s="951"/>
      <c r="CE48" s="951"/>
      <c r="CF48" s="951"/>
      <c r="CG48" s="951"/>
      <c r="CH48" s="951"/>
      <c r="CI48" s="951"/>
      <c r="CJ48" s="951"/>
      <c r="CK48" s="951"/>
      <c r="CL48" s="951"/>
      <c r="CM48" s="951"/>
      <c r="CN48" s="951"/>
      <c r="CO48" s="951"/>
      <c r="CP48" s="951"/>
      <c r="CQ48" s="951"/>
      <c r="CR48" s="951"/>
      <c r="CS48" s="951"/>
      <c r="CT48" s="951"/>
      <c r="CU48" s="951"/>
      <c r="CV48" s="951"/>
      <c r="CW48" s="951"/>
      <c r="CX48" s="951"/>
      <c r="CY48" s="951"/>
      <c r="CZ48" s="951"/>
      <c r="DA48" s="951"/>
      <c r="DB48" s="951"/>
      <c r="DC48" s="951"/>
      <c r="DD48" s="951"/>
      <c r="DE48" s="951"/>
      <c r="DF48" s="951"/>
      <c r="DG48" s="951"/>
      <c r="DH48" s="951"/>
      <c r="DI48" s="951"/>
      <c r="DJ48" s="951"/>
      <c r="DK48" s="951"/>
      <c r="DL48" s="951"/>
      <c r="DM48" s="951"/>
      <c r="DN48" s="951"/>
      <c r="DO48" s="951"/>
      <c r="DP48" s="951"/>
      <c r="DQ48" s="951"/>
      <c r="DR48" s="951"/>
      <c r="DS48" s="951"/>
      <c r="DT48" s="951"/>
      <c r="DU48" s="951"/>
      <c r="DV48" s="951"/>
      <c r="DW48" s="951"/>
      <c r="DX48" s="951"/>
      <c r="DY48" s="951"/>
      <c r="DZ48" s="951"/>
      <c r="EA48" s="951"/>
      <c r="EB48" s="951"/>
      <c r="EC48" s="951"/>
      <c r="ED48" s="951"/>
      <c r="EE48" s="951"/>
      <c r="EF48" s="951"/>
      <c r="EG48" s="951"/>
      <c r="EH48" s="951"/>
      <c r="EI48" s="951"/>
      <c r="EJ48" s="951"/>
      <c r="EK48" s="951"/>
      <c r="EL48" s="951"/>
      <c r="EM48" s="951"/>
      <c r="EN48" s="951"/>
      <c r="EO48" s="951"/>
      <c r="EP48" s="951"/>
      <c r="EQ48" s="951"/>
      <c r="ER48" s="951"/>
      <c r="ES48" s="951"/>
      <c r="ET48" s="951"/>
      <c r="EU48" s="951"/>
      <c r="EV48" s="951"/>
      <c r="EW48" s="951"/>
      <c r="EX48" s="951"/>
      <c r="EY48" s="951"/>
      <c r="EZ48" s="951"/>
      <c r="FA48" s="951"/>
      <c r="FB48" s="951"/>
      <c r="FC48" s="951"/>
      <c r="FD48" s="951"/>
      <c r="FE48" s="951"/>
      <c r="FF48" s="951"/>
      <c r="FG48" s="951"/>
      <c r="FH48" s="951"/>
      <c r="FI48" s="951"/>
      <c r="FJ48" s="951"/>
      <c r="FK48" s="951"/>
      <c r="FL48" s="951"/>
      <c r="FM48" s="951"/>
      <c r="FN48" s="951"/>
      <c r="FO48" s="951"/>
      <c r="FP48" s="951"/>
      <c r="FQ48" s="951"/>
      <c r="FR48" s="951"/>
      <c r="FS48" s="951"/>
      <c r="FT48" s="951"/>
      <c r="FU48" s="951"/>
      <c r="FV48" s="951"/>
      <c r="FW48" s="951"/>
      <c r="FX48" s="951"/>
      <c r="FY48" s="951"/>
      <c r="FZ48" s="951"/>
      <c r="GA48" s="951"/>
      <c r="GB48" s="951"/>
      <c r="GC48" s="951"/>
      <c r="GD48" s="951"/>
      <c r="GE48" s="951"/>
      <c r="GF48" s="951"/>
      <c r="GG48" s="951"/>
      <c r="GH48" s="951"/>
      <c r="GI48" s="951"/>
      <c r="GJ48" s="951"/>
      <c r="GK48" s="951"/>
      <c r="GL48" s="951"/>
      <c r="GM48" s="951"/>
      <c r="GN48" s="951"/>
      <c r="GO48" s="951"/>
      <c r="GP48" s="951"/>
      <c r="GQ48" s="951"/>
      <c r="GR48" s="951"/>
      <c r="GS48" s="951"/>
      <c r="GT48" s="951"/>
      <c r="GU48" s="951"/>
      <c r="GV48" s="951"/>
      <c r="GW48" s="951"/>
      <c r="GX48" s="951"/>
      <c r="GY48" s="951"/>
      <c r="GZ48" s="951"/>
      <c r="HA48" s="951"/>
      <c r="HB48" s="951"/>
      <c r="HC48" s="951"/>
      <c r="HD48" s="951"/>
      <c r="HE48" s="951"/>
      <c r="HF48" s="951"/>
      <c r="HG48" s="951"/>
      <c r="HH48" s="951"/>
      <c r="HI48" s="951"/>
      <c r="HJ48" s="951"/>
      <c r="HK48" s="951"/>
      <c r="HL48" s="951"/>
      <c r="HM48" s="951"/>
      <c r="HN48" s="951"/>
      <c r="HO48" s="951"/>
      <c r="HP48" s="951"/>
      <c r="HQ48" s="951"/>
      <c r="HR48" s="951"/>
      <c r="HS48" s="951"/>
      <c r="HT48" s="951"/>
      <c r="HU48" s="951"/>
      <c r="HV48" s="951"/>
      <c r="HW48" s="951"/>
      <c r="HX48" s="951"/>
      <c r="HY48" s="951"/>
      <c r="HZ48" s="951"/>
      <c r="IA48" s="951"/>
      <c r="IB48" s="951"/>
      <c r="IC48" s="951"/>
      <c r="ID48" s="951"/>
      <c r="IE48" s="951"/>
      <c r="IF48" s="951"/>
      <c r="IG48" s="951"/>
      <c r="IH48" s="951"/>
      <c r="II48" s="951"/>
      <c r="IJ48" s="951"/>
      <c r="IK48" s="951"/>
      <c r="IL48" s="951"/>
      <c r="IM48" s="1"/>
      <c r="IN48" s="1"/>
      <c r="IO48" s="1"/>
      <c r="IP48" s="1"/>
      <c r="IQ48" s="1"/>
      <c r="IR48" s="1"/>
      <c r="IS48" s="1"/>
      <c r="IT48" s="1"/>
    </row>
    <row r="49" spans="1:254" s="84" customFormat="1" ht="12" hidden="1" customHeight="1" thickBot="1" x14ac:dyDescent="0.2">
      <c r="A49" s="966" t="s">
        <v>653</v>
      </c>
      <c r="B49" s="966"/>
      <c r="C49" s="967" t="s">
        <v>447</v>
      </c>
      <c r="D49" s="972">
        <f>クリーチャー_2!C16+クリーチャー_2!D16</f>
        <v>0</v>
      </c>
      <c r="E49" s="967" t="s">
        <v>687</v>
      </c>
      <c r="F49" s="973">
        <f>クリーチャー_2!H5</f>
        <v>4</v>
      </c>
      <c r="G49" s="27" t="s">
        <v>264</v>
      </c>
      <c r="H49" s="138" t="s">
        <v>292</v>
      </c>
      <c r="I49" s="36" t="s">
        <v>302</v>
      </c>
      <c r="J49" s="138" t="s">
        <v>292</v>
      </c>
      <c r="K49" s="36" t="s">
        <v>248</v>
      </c>
      <c r="L49" s="138" t="s">
        <v>292</v>
      </c>
      <c r="M49" s="960"/>
      <c r="N49" s="960"/>
      <c r="O49" s="951"/>
      <c r="P49" s="951"/>
      <c r="Q49" s="951"/>
      <c r="R49" s="951"/>
      <c r="S49" s="951"/>
      <c r="T49" s="951"/>
      <c r="U49" s="951"/>
      <c r="V49" s="951"/>
      <c r="W49" s="951"/>
      <c r="X49" s="951"/>
      <c r="Y49" s="951"/>
      <c r="Z49" s="951"/>
      <c r="AA49" s="951"/>
      <c r="AB49" s="951"/>
      <c r="AC49" s="951"/>
      <c r="AD49" s="951"/>
      <c r="AE49" s="951"/>
      <c r="AF49" s="951"/>
      <c r="AG49" s="951"/>
      <c r="AH49" s="951"/>
      <c r="AI49" s="951"/>
      <c r="AJ49" s="951"/>
      <c r="AK49" s="951"/>
      <c r="AL49" s="951"/>
      <c r="AM49" s="951"/>
      <c r="AN49" s="951"/>
      <c r="AO49" s="951"/>
      <c r="AP49" s="951"/>
      <c r="AQ49" s="951"/>
      <c r="AR49" s="951"/>
      <c r="AS49" s="951"/>
      <c r="AT49" s="951"/>
      <c r="AU49" s="951"/>
      <c r="AV49" s="951"/>
      <c r="AW49" s="951"/>
      <c r="AX49" s="951"/>
      <c r="AY49" s="951"/>
      <c r="AZ49" s="951"/>
      <c r="BA49" s="951"/>
      <c r="BB49" s="951"/>
      <c r="BC49" s="951"/>
      <c r="BD49" s="951"/>
      <c r="BE49" s="951"/>
      <c r="BF49" s="951"/>
      <c r="BG49" s="951"/>
      <c r="BH49" s="951"/>
      <c r="BI49" s="951"/>
      <c r="BJ49" s="951"/>
      <c r="BK49" s="951"/>
      <c r="BL49" s="951"/>
      <c r="BM49" s="951"/>
      <c r="BN49" s="951"/>
      <c r="BO49" s="951"/>
      <c r="BP49" s="951"/>
      <c r="BQ49" s="951"/>
      <c r="BR49" s="951"/>
      <c r="BS49" s="951"/>
      <c r="BT49" s="951"/>
      <c r="BU49" s="951"/>
      <c r="BV49" s="951"/>
      <c r="BW49" s="951"/>
      <c r="BX49" s="951"/>
      <c r="BY49" s="951"/>
      <c r="BZ49" s="951"/>
      <c r="CA49" s="951"/>
      <c r="CB49" s="951"/>
      <c r="CC49" s="951"/>
      <c r="CD49" s="951"/>
      <c r="CE49" s="951"/>
      <c r="CF49" s="951"/>
      <c r="CG49" s="951"/>
      <c r="CH49" s="951"/>
      <c r="CI49" s="951"/>
      <c r="CJ49" s="951"/>
      <c r="CK49" s="951"/>
      <c r="CL49" s="951"/>
      <c r="CM49" s="951"/>
      <c r="CN49" s="951"/>
      <c r="CO49" s="951"/>
      <c r="CP49" s="951"/>
      <c r="CQ49" s="951"/>
      <c r="CR49" s="951"/>
      <c r="CS49" s="951"/>
      <c r="CT49" s="951"/>
      <c r="CU49" s="951"/>
      <c r="CV49" s="951"/>
      <c r="CW49" s="951"/>
      <c r="CX49" s="951"/>
      <c r="CY49" s="951"/>
      <c r="CZ49" s="951"/>
      <c r="DA49" s="951"/>
      <c r="DB49" s="951"/>
      <c r="DC49" s="951"/>
      <c r="DD49" s="951"/>
      <c r="DE49" s="951"/>
      <c r="DF49" s="951"/>
      <c r="DG49" s="951"/>
      <c r="DH49" s="951"/>
      <c r="DI49" s="951"/>
      <c r="DJ49" s="951"/>
      <c r="DK49" s="951"/>
      <c r="DL49" s="951"/>
      <c r="DM49" s="951"/>
      <c r="DN49" s="951"/>
      <c r="DO49" s="951"/>
      <c r="DP49" s="951"/>
      <c r="DQ49" s="951"/>
      <c r="DR49" s="951"/>
      <c r="DS49" s="951"/>
      <c r="DT49" s="951"/>
      <c r="DU49" s="951"/>
      <c r="DV49" s="951"/>
      <c r="DW49" s="951"/>
      <c r="DX49" s="951"/>
      <c r="DY49" s="951"/>
      <c r="DZ49" s="951"/>
      <c r="EA49" s="951"/>
      <c r="EB49" s="951"/>
      <c r="EC49" s="951"/>
      <c r="ED49" s="951"/>
      <c r="EE49" s="951"/>
      <c r="EF49" s="951"/>
      <c r="EG49" s="951"/>
      <c r="EH49" s="951"/>
      <c r="EI49" s="951"/>
      <c r="EJ49" s="951"/>
      <c r="EK49" s="951"/>
      <c r="EL49" s="951"/>
      <c r="EM49" s="951"/>
      <c r="EN49" s="951"/>
      <c r="EO49" s="951"/>
      <c r="EP49" s="951"/>
      <c r="EQ49" s="951"/>
      <c r="ER49" s="951"/>
      <c r="ES49" s="951"/>
      <c r="ET49" s="951"/>
      <c r="EU49" s="951"/>
      <c r="EV49" s="951"/>
      <c r="EW49" s="951"/>
      <c r="EX49" s="951"/>
      <c r="EY49" s="951"/>
      <c r="EZ49" s="951"/>
      <c r="FA49" s="951"/>
      <c r="FB49" s="951"/>
      <c r="FC49" s="951"/>
      <c r="FD49" s="951"/>
      <c r="FE49" s="951"/>
      <c r="FF49" s="951"/>
      <c r="FG49" s="951"/>
      <c r="FH49" s="951"/>
      <c r="FI49" s="951"/>
      <c r="FJ49" s="951"/>
      <c r="FK49" s="951"/>
      <c r="FL49" s="951"/>
      <c r="FM49" s="951"/>
      <c r="FN49" s="951"/>
      <c r="FO49" s="951"/>
      <c r="FP49" s="951"/>
      <c r="FQ49" s="951"/>
      <c r="FR49" s="951"/>
      <c r="FS49" s="951"/>
      <c r="FT49" s="951"/>
      <c r="FU49" s="951"/>
      <c r="FV49" s="951"/>
      <c r="FW49" s="951"/>
      <c r="FX49" s="951"/>
      <c r="FY49" s="951"/>
      <c r="FZ49" s="951"/>
      <c r="GA49" s="951"/>
      <c r="GB49" s="951"/>
      <c r="GC49" s="951"/>
      <c r="GD49" s="951"/>
      <c r="GE49" s="951"/>
      <c r="GF49" s="951"/>
      <c r="GG49" s="951"/>
      <c r="GH49" s="951"/>
      <c r="GI49" s="951"/>
      <c r="GJ49" s="951"/>
      <c r="GK49" s="951"/>
      <c r="GL49" s="951"/>
      <c r="GM49" s="951"/>
      <c r="GN49" s="951"/>
      <c r="GO49" s="951"/>
      <c r="GP49" s="951"/>
      <c r="GQ49" s="951"/>
      <c r="GR49" s="951"/>
      <c r="GS49" s="951"/>
      <c r="GT49" s="951"/>
      <c r="GU49" s="951"/>
      <c r="GV49" s="951"/>
      <c r="GW49" s="951"/>
      <c r="GX49" s="951"/>
      <c r="GY49" s="951"/>
      <c r="GZ49" s="951"/>
      <c r="HA49" s="951"/>
      <c r="HB49" s="951"/>
      <c r="HC49" s="951"/>
      <c r="HD49" s="951"/>
      <c r="HE49" s="951"/>
      <c r="HF49" s="951"/>
      <c r="HG49" s="951"/>
      <c r="HH49" s="951"/>
      <c r="HI49" s="951"/>
      <c r="HJ49" s="951"/>
      <c r="HK49" s="951"/>
      <c r="HL49" s="951"/>
      <c r="HM49" s="951"/>
      <c r="HN49" s="951"/>
      <c r="HO49" s="951"/>
      <c r="HP49" s="951"/>
      <c r="HQ49" s="951"/>
      <c r="HR49" s="951"/>
      <c r="HS49" s="951"/>
      <c r="HT49" s="951"/>
      <c r="HU49" s="951"/>
      <c r="HV49" s="951"/>
      <c r="HW49" s="951"/>
      <c r="HX49" s="951"/>
      <c r="HY49" s="951"/>
      <c r="HZ49" s="951"/>
      <c r="IA49" s="951"/>
      <c r="IB49" s="951"/>
      <c r="IC49" s="951"/>
      <c r="ID49" s="951"/>
      <c r="IE49" s="951"/>
      <c r="IF49" s="951"/>
      <c r="IG49" s="951"/>
      <c r="IH49" s="951"/>
      <c r="II49" s="951"/>
      <c r="IJ49" s="951"/>
      <c r="IK49" s="951"/>
      <c r="IL49" s="951"/>
      <c r="IM49" s="1"/>
      <c r="IN49" s="1"/>
      <c r="IO49" s="1"/>
      <c r="IP49" s="1"/>
      <c r="IQ49" s="1"/>
      <c r="IR49" s="1"/>
      <c r="IS49" s="1"/>
      <c r="IT49" s="1"/>
    </row>
    <row r="50" spans="1:254" s="84" customFormat="1" ht="12.95" hidden="1" customHeight="1" thickBot="1" x14ac:dyDescent="0.2">
      <c r="A50" s="85">
        <f>B50+SUM(O51:IL51)</f>
        <v>0</v>
      </c>
      <c r="B50" s="9">
        <f>J51</f>
        <v>0</v>
      </c>
      <c r="C50" s="967"/>
      <c r="D50" s="972"/>
      <c r="E50" s="967"/>
      <c r="F50" s="973"/>
      <c r="G50" s="28"/>
      <c r="H50" s="28"/>
      <c r="I50" s="28"/>
      <c r="J50" s="28"/>
      <c r="K50" s="28"/>
      <c r="L50" s="37"/>
      <c r="M50" s="960"/>
      <c r="N50" s="960"/>
      <c r="O50" s="951"/>
      <c r="P50" s="951"/>
      <c r="Q50" s="951"/>
      <c r="R50" s="951"/>
      <c r="S50" s="951"/>
      <c r="T50" s="951"/>
      <c r="U50" s="951"/>
      <c r="V50" s="951"/>
      <c r="W50" s="951"/>
      <c r="X50" s="951"/>
      <c r="Y50" s="951"/>
      <c r="Z50" s="951"/>
      <c r="AA50" s="951"/>
      <c r="AB50" s="951"/>
      <c r="AC50" s="951"/>
      <c r="AD50" s="951"/>
      <c r="AE50" s="951"/>
      <c r="AF50" s="951"/>
      <c r="AG50" s="951"/>
      <c r="AH50" s="951"/>
      <c r="AI50" s="951"/>
      <c r="AJ50" s="951"/>
      <c r="AK50" s="951"/>
      <c r="AL50" s="951"/>
      <c r="AM50" s="951"/>
      <c r="AN50" s="951"/>
      <c r="AO50" s="951"/>
      <c r="AP50" s="951"/>
      <c r="AQ50" s="951"/>
      <c r="AR50" s="951"/>
      <c r="AS50" s="951"/>
      <c r="AT50" s="951"/>
      <c r="AU50" s="951"/>
      <c r="AV50" s="951"/>
      <c r="AW50" s="951"/>
      <c r="AX50" s="951"/>
      <c r="AY50" s="951"/>
      <c r="AZ50" s="951"/>
      <c r="BA50" s="951"/>
      <c r="BB50" s="951"/>
      <c r="BC50" s="951"/>
      <c r="BD50" s="951"/>
      <c r="BE50" s="951"/>
      <c r="BF50" s="951"/>
      <c r="BG50" s="951"/>
      <c r="BH50" s="951"/>
      <c r="BI50" s="951"/>
      <c r="BJ50" s="951"/>
      <c r="BK50" s="951"/>
      <c r="BL50" s="951"/>
      <c r="BM50" s="951"/>
      <c r="BN50" s="951"/>
      <c r="BO50" s="951"/>
      <c r="BP50" s="951"/>
      <c r="BQ50" s="951"/>
      <c r="BR50" s="951"/>
      <c r="BS50" s="951"/>
      <c r="BT50" s="951"/>
      <c r="BU50" s="951"/>
      <c r="BV50" s="951"/>
      <c r="BW50" s="951"/>
      <c r="BX50" s="951"/>
      <c r="BY50" s="951"/>
      <c r="BZ50" s="951"/>
      <c r="CA50" s="951"/>
      <c r="CB50" s="951"/>
      <c r="CC50" s="951"/>
      <c r="CD50" s="951"/>
      <c r="CE50" s="951"/>
      <c r="CF50" s="951"/>
      <c r="CG50" s="951"/>
      <c r="CH50" s="951"/>
      <c r="CI50" s="951"/>
      <c r="CJ50" s="951"/>
      <c r="CK50" s="951"/>
      <c r="CL50" s="951"/>
      <c r="CM50" s="951"/>
      <c r="CN50" s="951"/>
      <c r="CO50" s="951"/>
      <c r="CP50" s="951"/>
      <c r="CQ50" s="951"/>
      <c r="CR50" s="951"/>
      <c r="CS50" s="951"/>
      <c r="CT50" s="951"/>
      <c r="CU50" s="951"/>
      <c r="CV50" s="951"/>
      <c r="CW50" s="951"/>
      <c r="CX50" s="951"/>
      <c r="CY50" s="951"/>
      <c r="CZ50" s="951"/>
      <c r="DA50" s="951"/>
      <c r="DB50" s="951"/>
      <c r="DC50" s="951"/>
      <c r="DD50" s="951"/>
      <c r="DE50" s="951"/>
      <c r="DF50" s="951"/>
      <c r="DG50" s="951"/>
      <c r="DH50" s="951"/>
      <c r="DI50" s="951"/>
      <c r="DJ50" s="951"/>
      <c r="DK50" s="951"/>
      <c r="DL50" s="951"/>
      <c r="DM50" s="951"/>
      <c r="DN50" s="951"/>
      <c r="DO50" s="951"/>
      <c r="DP50" s="951"/>
      <c r="DQ50" s="951"/>
      <c r="DR50" s="951"/>
      <c r="DS50" s="951"/>
      <c r="DT50" s="951"/>
      <c r="DU50" s="951"/>
      <c r="DV50" s="951"/>
      <c r="DW50" s="951"/>
      <c r="DX50" s="951"/>
      <c r="DY50" s="951"/>
      <c r="DZ50" s="951"/>
      <c r="EA50" s="951"/>
      <c r="EB50" s="951"/>
      <c r="EC50" s="951"/>
      <c r="ED50" s="951"/>
      <c r="EE50" s="951"/>
      <c r="EF50" s="951"/>
      <c r="EG50" s="951"/>
      <c r="EH50" s="951"/>
      <c r="EI50" s="951"/>
      <c r="EJ50" s="951"/>
      <c r="EK50" s="951"/>
      <c r="EL50" s="951"/>
      <c r="EM50" s="951"/>
      <c r="EN50" s="951"/>
      <c r="EO50" s="951"/>
      <c r="EP50" s="951"/>
      <c r="EQ50" s="951"/>
      <c r="ER50" s="951"/>
      <c r="ES50" s="951"/>
      <c r="ET50" s="951"/>
      <c r="EU50" s="951"/>
      <c r="EV50" s="951"/>
      <c r="EW50" s="951"/>
      <c r="EX50" s="951"/>
      <c r="EY50" s="951"/>
      <c r="EZ50" s="951"/>
      <c r="FA50" s="951"/>
      <c r="FB50" s="951"/>
      <c r="FC50" s="951"/>
      <c r="FD50" s="951"/>
      <c r="FE50" s="951"/>
      <c r="FF50" s="951"/>
      <c r="FG50" s="951"/>
      <c r="FH50" s="951"/>
      <c r="FI50" s="951"/>
      <c r="FJ50" s="951"/>
      <c r="FK50" s="951"/>
      <c r="FL50" s="951"/>
      <c r="FM50" s="951"/>
      <c r="FN50" s="951"/>
      <c r="FO50" s="951"/>
      <c r="FP50" s="951"/>
      <c r="FQ50" s="951"/>
      <c r="FR50" s="951"/>
      <c r="FS50" s="951"/>
      <c r="FT50" s="951"/>
      <c r="FU50" s="951"/>
      <c r="FV50" s="951"/>
      <c r="FW50" s="951"/>
      <c r="FX50" s="951"/>
      <c r="FY50" s="951"/>
      <c r="FZ50" s="951"/>
      <c r="GA50" s="951"/>
      <c r="GB50" s="951"/>
      <c r="GC50" s="951"/>
      <c r="GD50" s="951"/>
      <c r="GE50" s="951"/>
      <c r="GF50" s="951"/>
      <c r="GG50" s="951"/>
      <c r="GH50" s="951"/>
      <c r="GI50" s="951"/>
      <c r="GJ50" s="951"/>
      <c r="GK50" s="951"/>
      <c r="GL50" s="951"/>
      <c r="GM50" s="951"/>
      <c r="GN50" s="951"/>
      <c r="GO50" s="951"/>
      <c r="GP50" s="951"/>
      <c r="GQ50" s="951"/>
      <c r="GR50" s="951"/>
      <c r="GS50" s="951"/>
      <c r="GT50" s="951"/>
      <c r="GU50" s="951"/>
      <c r="GV50" s="951"/>
      <c r="GW50" s="951"/>
      <c r="GX50" s="951"/>
      <c r="GY50" s="951"/>
      <c r="GZ50" s="951"/>
      <c r="HA50" s="951"/>
      <c r="HB50" s="951"/>
      <c r="HC50" s="951"/>
      <c r="HD50" s="951"/>
      <c r="HE50" s="951"/>
      <c r="HF50" s="951"/>
      <c r="HG50" s="951"/>
      <c r="HH50" s="951"/>
      <c r="HI50" s="951"/>
      <c r="HJ50" s="951"/>
      <c r="HK50" s="951"/>
      <c r="HL50" s="951"/>
      <c r="HM50" s="951"/>
      <c r="HN50" s="951"/>
      <c r="HO50" s="951"/>
      <c r="HP50" s="951"/>
      <c r="HQ50" s="951"/>
      <c r="HR50" s="951"/>
      <c r="HS50" s="951"/>
      <c r="HT50" s="951"/>
      <c r="HU50" s="951"/>
      <c r="HV50" s="951"/>
      <c r="HW50" s="951"/>
      <c r="HX50" s="951"/>
      <c r="HY50" s="951"/>
      <c r="HZ50" s="951"/>
      <c r="IA50" s="951"/>
      <c r="IB50" s="951"/>
      <c r="IC50" s="951"/>
      <c r="ID50" s="951"/>
      <c r="IE50" s="951"/>
      <c r="IF50" s="951"/>
      <c r="IG50" s="951"/>
      <c r="IH50" s="951"/>
      <c r="II50" s="951"/>
      <c r="IJ50" s="951"/>
      <c r="IK50" s="951"/>
      <c r="IL50" s="951"/>
      <c r="IM50" s="1"/>
      <c r="IN50" s="1"/>
      <c r="IO50" s="1"/>
      <c r="IP50" s="1"/>
      <c r="IQ50" s="1"/>
      <c r="IR50" s="1"/>
      <c r="IS50" s="1"/>
      <c r="IT50" s="1"/>
    </row>
    <row r="51" spans="1:254" s="98" customFormat="1" ht="12.95" hidden="1" customHeight="1" x14ac:dyDescent="0.15">
      <c r="A51" s="139" t="s">
        <v>442</v>
      </c>
      <c r="B51" s="140">
        <f>クリーチャー_2!C12+クリーチャー!D12</f>
        <v>0</v>
      </c>
      <c r="C51" s="141" t="s">
        <v>445</v>
      </c>
      <c r="D51" s="142">
        <f>クリーチャー_2!C13+クリーチャー_2!D13</f>
        <v>0</v>
      </c>
      <c r="E51" s="143" t="s">
        <v>439</v>
      </c>
      <c r="F51" s="144">
        <f>クリーチャー_2!C11+クリーチャー_2!D11</f>
        <v>0</v>
      </c>
      <c r="G51" s="939" t="s">
        <v>662</v>
      </c>
      <c r="H51" s="939"/>
      <c r="I51" s="94" t="s">
        <v>663</v>
      </c>
      <c r="J51" s="95">
        <f>クリーチャー_2!D5</f>
        <v>0</v>
      </c>
      <c r="K51" s="145"/>
      <c r="L51" s="146"/>
      <c r="M51" s="97" t="s">
        <v>661</v>
      </c>
      <c r="N51" s="95" t="s">
        <v>647</v>
      </c>
      <c r="O51" s="95"/>
      <c r="IL51" s="99"/>
      <c r="IM51" s="1"/>
      <c r="IN51" s="1"/>
      <c r="IO51" s="1"/>
      <c r="IP51" s="1"/>
      <c r="IQ51" s="1"/>
      <c r="IR51" s="1"/>
      <c r="IS51" s="1"/>
      <c r="IT51" s="1"/>
    </row>
    <row r="52" spans="1:254" s="1" customFormat="1" ht="12" hidden="1" customHeight="1" thickBot="1" x14ac:dyDescent="0.2">
      <c r="A52" s="22" t="s">
        <v>293</v>
      </c>
      <c r="B52" s="147">
        <f>クリーチャー_2!C14+クリーチャー_2!D14</f>
        <v>0</v>
      </c>
      <c r="C52" s="23" t="s">
        <v>444</v>
      </c>
      <c r="D52" s="148">
        <f>クリーチャー_2!C15+クリーチャー_2!D15</f>
        <v>0</v>
      </c>
      <c r="E52" s="29"/>
      <c r="F52" s="29"/>
      <c r="G52" s="23" t="s">
        <v>437</v>
      </c>
      <c r="H52" s="30" t="str">
        <f>クリーチャー_2!B19&amp;"D6+"&amp;クリーチャー_2!C19+クリーチャー_2!D19</f>
        <v>0D6+0</v>
      </c>
      <c r="I52" s="23" t="s">
        <v>667</v>
      </c>
      <c r="J52" s="147">
        <f>クリーチャー!C32</f>
        <v>0</v>
      </c>
      <c r="K52" s="23" t="s">
        <v>449</v>
      </c>
      <c r="L52" s="149">
        <f>クリーチャー!F32</f>
        <v>0</v>
      </c>
    </row>
    <row r="53" spans="1:254" ht="14.1" hidden="1" customHeight="1" x14ac:dyDescent="0.15"/>
    <row r="54" spans="1:254" s="84" customFormat="1" ht="12.95" hidden="1" customHeight="1" thickBot="1" x14ac:dyDescent="0.2">
      <c r="A54" s="968" t="s">
        <v>435</v>
      </c>
      <c r="B54" s="968"/>
      <c r="C54" s="968"/>
      <c r="D54" s="968"/>
      <c r="E54" s="969" t="s">
        <v>684</v>
      </c>
      <c r="F54" s="970" t="str">
        <f>クリーチャー_3!F19</f>
        <v>1D6</v>
      </c>
      <c r="G54" s="971" t="s">
        <v>685</v>
      </c>
      <c r="H54" s="971"/>
      <c r="I54" s="971"/>
      <c r="J54" s="971"/>
      <c r="K54" s="971"/>
      <c r="L54" s="971"/>
      <c r="M54" s="960" t="s">
        <v>646</v>
      </c>
      <c r="N54" s="951" t="s">
        <v>647</v>
      </c>
      <c r="O54" s="951"/>
      <c r="P54" s="951"/>
      <c r="Q54" s="951"/>
      <c r="R54" s="951"/>
      <c r="S54" s="951"/>
      <c r="T54" s="951"/>
      <c r="U54" s="951"/>
      <c r="V54" s="951"/>
      <c r="W54" s="951"/>
      <c r="X54" s="951"/>
      <c r="Y54" s="951"/>
      <c r="Z54" s="951"/>
      <c r="AA54" s="951"/>
      <c r="AB54" s="951"/>
      <c r="AC54" s="951"/>
      <c r="AD54" s="951"/>
      <c r="AE54" s="951"/>
      <c r="AF54" s="951"/>
      <c r="AG54" s="951"/>
      <c r="AH54" s="951"/>
      <c r="AI54" s="951"/>
      <c r="AJ54" s="951"/>
      <c r="AK54" s="951"/>
      <c r="AL54" s="951"/>
      <c r="AM54" s="951"/>
      <c r="AN54" s="951"/>
      <c r="AO54" s="951"/>
      <c r="AP54" s="951"/>
      <c r="AQ54" s="951"/>
      <c r="AR54" s="951"/>
      <c r="AS54" s="951"/>
      <c r="AT54" s="951"/>
      <c r="AU54" s="951"/>
      <c r="AV54" s="951"/>
      <c r="AW54" s="951"/>
      <c r="AX54" s="951"/>
      <c r="AY54" s="951"/>
      <c r="AZ54" s="951"/>
      <c r="BA54" s="951"/>
      <c r="BB54" s="951"/>
      <c r="BC54" s="951"/>
      <c r="BD54" s="951"/>
      <c r="BE54" s="951"/>
      <c r="BF54" s="951"/>
      <c r="BG54" s="951"/>
      <c r="BH54" s="951"/>
      <c r="BI54" s="951"/>
      <c r="BJ54" s="951"/>
      <c r="BK54" s="951"/>
      <c r="BL54" s="951"/>
      <c r="BM54" s="951"/>
      <c r="BN54" s="951"/>
      <c r="BO54" s="951"/>
      <c r="BP54" s="951"/>
      <c r="BQ54" s="951"/>
      <c r="BR54" s="951"/>
      <c r="BS54" s="951"/>
      <c r="BT54" s="951"/>
      <c r="BU54" s="951"/>
      <c r="BV54" s="951"/>
      <c r="BW54" s="951"/>
      <c r="BX54" s="951"/>
      <c r="BY54" s="951"/>
      <c r="BZ54" s="951"/>
      <c r="CA54" s="951"/>
      <c r="CB54" s="951"/>
      <c r="CC54" s="951"/>
      <c r="CD54" s="951"/>
      <c r="CE54" s="951"/>
      <c r="CF54" s="951"/>
      <c r="CG54" s="951"/>
      <c r="CH54" s="951"/>
      <c r="CI54" s="951"/>
      <c r="CJ54" s="951"/>
      <c r="CK54" s="951"/>
      <c r="CL54" s="951"/>
      <c r="CM54" s="951"/>
      <c r="CN54" s="951"/>
      <c r="CO54" s="951"/>
      <c r="CP54" s="951"/>
      <c r="CQ54" s="951"/>
      <c r="CR54" s="951"/>
      <c r="CS54" s="951"/>
      <c r="CT54" s="951"/>
      <c r="CU54" s="951"/>
      <c r="CV54" s="951"/>
      <c r="CW54" s="951"/>
      <c r="CX54" s="951"/>
      <c r="CY54" s="951"/>
      <c r="CZ54" s="951"/>
      <c r="DA54" s="951"/>
      <c r="DB54" s="951"/>
      <c r="DC54" s="951"/>
      <c r="DD54" s="951"/>
      <c r="DE54" s="951"/>
      <c r="DF54" s="951"/>
      <c r="DG54" s="951"/>
      <c r="DH54" s="951"/>
      <c r="DI54" s="951"/>
      <c r="DJ54" s="951"/>
      <c r="DK54" s="951"/>
      <c r="DL54" s="951"/>
      <c r="DM54" s="951"/>
      <c r="DN54" s="951"/>
      <c r="DO54" s="951"/>
      <c r="DP54" s="951"/>
      <c r="DQ54" s="951"/>
      <c r="DR54" s="951"/>
      <c r="DS54" s="951"/>
      <c r="DT54" s="951"/>
      <c r="DU54" s="951"/>
      <c r="DV54" s="951"/>
      <c r="DW54" s="951"/>
      <c r="DX54" s="951"/>
      <c r="DY54" s="951"/>
      <c r="DZ54" s="951"/>
      <c r="EA54" s="951"/>
      <c r="EB54" s="951"/>
      <c r="EC54" s="951"/>
      <c r="ED54" s="951"/>
      <c r="EE54" s="951"/>
      <c r="EF54" s="951"/>
      <c r="EG54" s="951"/>
      <c r="EH54" s="951"/>
      <c r="EI54" s="951"/>
      <c r="EJ54" s="951"/>
      <c r="EK54" s="951"/>
      <c r="EL54" s="951"/>
      <c r="EM54" s="951"/>
      <c r="EN54" s="951"/>
      <c r="EO54" s="951"/>
      <c r="EP54" s="951"/>
      <c r="EQ54" s="951"/>
      <c r="ER54" s="951"/>
      <c r="ES54" s="951"/>
      <c r="ET54" s="951"/>
      <c r="EU54" s="951"/>
      <c r="EV54" s="951"/>
      <c r="EW54" s="951"/>
      <c r="EX54" s="951"/>
      <c r="EY54" s="951"/>
      <c r="EZ54" s="951"/>
      <c r="FA54" s="951"/>
      <c r="FB54" s="951"/>
      <c r="FC54" s="951"/>
      <c r="FD54" s="951"/>
      <c r="FE54" s="951"/>
      <c r="FF54" s="951"/>
      <c r="FG54" s="951"/>
      <c r="FH54" s="951"/>
      <c r="FI54" s="951"/>
      <c r="FJ54" s="951"/>
      <c r="FK54" s="951"/>
      <c r="FL54" s="951"/>
      <c r="FM54" s="951"/>
      <c r="FN54" s="951"/>
      <c r="FO54" s="951"/>
      <c r="FP54" s="951"/>
      <c r="FQ54" s="951"/>
      <c r="FR54" s="951"/>
      <c r="FS54" s="951"/>
      <c r="FT54" s="951"/>
      <c r="FU54" s="951"/>
      <c r="FV54" s="951"/>
      <c r="FW54" s="951"/>
      <c r="FX54" s="951"/>
      <c r="FY54" s="951"/>
      <c r="FZ54" s="951"/>
      <c r="GA54" s="951"/>
      <c r="GB54" s="951"/>
      <c r="GC54" s="951"/>
      <c r="GD54" s="951"/>
      <c r="GE54" s="951"/>
      <c r="GF54" s="951"/>
      <c r="GG54" s="951"/>
      <c r="GH54" s="951"/>
      <c r="GI54" s="951"/>
      <c r="GJ54" s="951"/>
      <c r="GK54" s="951"/>
      <c r="GL54" s="951"/>
      <c r="GM54" s="951"/>
      <c r="GN54" s="951"/>
      <c r="GO54" s="951"/>
      <c r="GP54" s="951"/>
      <c r="GQ54" s="951"/>
      <c r="GR54" s="951"/>
      <c r="GS54" s="951"/>
      <c r="GT54" s="951"/>
      <c r="GU54" s="951"/>
      <c r="GV54" s="951"/>
      <c r="GW54" s="951"/>
      <c r="GX54" s="951"/>
      <c r="GY54" s="951"/>
      <c r="GZ54" s="951"/>
      <c r="HA54" s="951"/>
      <c r="HB54" s="951"/>
      <c r="HC54" s="951"/>
      <c r="HD54" s="951"/>
      <c r="HE54" s="951"/>
      <c r="HF54" s="951"/>
      <c r="HG54" s="951"/>
      <c r="HH54" s="951"/>
      <c r="HI54" s="951"/>
      <c r="HJ54" s="951"/>
      <c r="HK54" s="951"/>
      <c r="HL54" s="951"/>
      <c r="HM54" s="951"/>
      <c r="HN54" s="951"/>
      <c r="HO54" s="951"/>
      <c r="HP54" s="951"/>
      <c r="HQ54" s="951"/>
      <c r="HR54" s="951"/>
      <c r="HS54" s="951"/>
      <c r="HT54" s="951"/>
      <c r="HU54" s="951"/>
      <c r="HV54" s="951"/>
      <c r="HW54" s="951"/>
      <c r="HX54" s="951"/>
      <c r="HY54" s="951"/>
      <c r="HZ54" s="951"/>
      <c r="IA54" s="951"/>
      <c r="IB54" s="951"/>
      <c r="IC54" s="951"/>
      <c r="ID54" s="951"/>
      <c r="IE54" s="951"/>
      <c r="IF54" s="951"/>
      <c r="IG54" s="951"/>
      <c r="IH54" s="951"/>
      <c r="II54" s="951"/>
      <c r="IJ54" s="951"/>
      <c r="IK54" s="951"/>
      <c r="IL54" s="950"/>
      <c r="IM54" s="1"/>
      <c r="IN54" s="1"/>
      <c r="IO54" s="1"/>
      <c r="IP54" s="1"/>
      <c r="IQ54" s="1"/>
      <c r="IR54" s="1"/>
      <c r="IS54" s="1"/>
      <c r="IT54" s="1"/>
    </row>
    <row r="55" spans="1:254" s="84" customFormat="1" ht="12.95" hidden="1" customHeight="1" thickBot="1" x14ac:dyDescent="0.2">
      <c r="A55" s="963">
        <f>クリーチャー_3!D2</f>
        <v>0</v>
      </c>
      <c r="B55" s="963"/>
      <c r="C55" s="963"/>
      <c r="D55" s="963"/>
      <c r="E55" s="969"/>
      <c r="F55" s="970"/>
      <c r="G55" s="24" t="s">
        <v>33</v>
      </c>
      <c r="H55" s="138" t="s">
        <v>292</v>
      </c>
      <c r="I55" s="32" t="s">
        <v>125</v>
      </c>
      <c r="J55" s="138" t="s">
        <v>292</v>
      </c>
      <c r="K55" s="33" t="s">
        <v>185</v>
      </c>
      <c r="L55" s="138" t="s">
        <v>292</v>
      </c>
      <c r="M55" s="960"/>
      <c r="N55" s="951"/>
      <c r="O55" s="951"/>
      <c r="P55" s="951"/>
      <c r="Q55" s="951"/>
      <c r="R55" s="951"/>
      <c r="S55" s="951"/>
      <c r="T55" s="951"/>
      <c r="U55" s="951"/>
      <c r="V55" s="951"/>
      <c r="W55" s="951"/>
      <c r="X55" s="951"/>
      <c r="Y55" s="951"/>
      <c r="Z55" s="951"/>
      <c r="AA55" s="951"/>
      <c r="AB55" s="951"/>
      <c r="AC55" s="951"/>
      <c r="AD55" s="951"/>
      <c r="AE55" s="951"/>
      <c r="AF55" s="951"/>
      <c r="AG55" s="951"/>
      <c r="AH55" s="951"/>
      <c r="AI55" s="951"/>
      <c r="AJ55" s="951"/>
      <c r="AK55" s="951"/>
      <c r="AL55" s="951"/>
      <c r="AM55" s="951"/>
      <c r="AN55" s="951"/>
      <c r="AO55" s="951"/>
      <c r="AP55" s="951"/>
      <c r="AQ55" s="951"/>
      <c r="AR55" s="951"/>
      <c r="AS55" s="951"/>
      <c r="AT55" s="951"/>
      <c r="AU55" s="951"/>
      <c r="AV55" s="951"/>
      <c r="AW55" s="951"/>
      <c r="AX55" s="951"/>
      <c r="AY55" s="951"/>
      <c r="AZ55" s="951"/>
      <c r="BA55" s="951"/>
      <c r="BB55" s="951"/>
      <c r="BC55" s="951"/>
      <c r="BD55" s="951"/>
      <c r="BE55" s="951"/>
      <c r="BF55" s="951"/>
      <c r="BG55" s="951"/>
      <c r="BH55" s="951"/>
      <c r="BI55" s="951"/>
      <c r="BJ55" s="951"/>
      <c r="BK55" s="951"/>
      <c r="BL55" s="951"/>
      <c r="BM55" s="951"/>
      <c r="BN55" s="951"/>
      <c r="BO55" s="951"/>
      <c r="BP55" s="951"/>
      <c r="BQ55" s="951"/>
      <c r="BR55" s="951"/>
      <c r="BS55" s="951"/>
      <c r="BT55" s="951"/>
      <c r="BU55" s="951"/>
      <c r="BV55" s="951"/>
      <c r="BW55" s="951"/>
      <c r="BX55" s="951"/>
      <c r="BY55" s="951"/>
      <c r="BZ55" s="951"/>
      <c r="CA55" s="951"/>
      <c r="CB55" s="951"/>
      <c r="CC55" s="951"/>
      <c r="CD55" s="951"/>
      <c r="CE55" s="951"/>
      <c r="CF55" s="951"/>
      <c r="CG55" s="951"/>
      <c r="CH55" s="951"/>
      <c r="CI55" s="951"/>
      <c r="CJ55" s="951"/>
      <c r="CK55" s="951"/>
      <c r="CL55" s="951"/>
      <c r="CM55" s="951"/>
      <c r="CN55" s="951"/>
      <c r="CO55" s="951"/>
      <c r="CP55" s="951"/>
      <c r="CQ55" s="951"/>
      <c r="CR55" s="951"/>
      <c r="CS55" s="951"/>
      <c r="CT55" s="951"/>
      <c r="CU55" s="951"/>
      <c r="CV55" s="951"/>
      <c r="CW55" s="951"/>
      <c r="CX55" s="951"/>
      <c r="CY55" s="951"/>
      <c r="CZ55" s="951"/>
      <c r="DA55" s="951"/>
      <c r="DB55" s="951"/>
      <c r="DC55" s="951"/>
      <c r="DD55" s="951"/>
      <c r="DE55" s="951"/>
      <c r="DF55" s="951"/>
      <c r="DG55" s="951"/>
      <c r="DH55" s="951"/>
      <c r="DI55" s="951"/>
      <c r="DJ55" s="951"/>
      <c r="DK55" s="951"/>
      <c r="DL55" s="951"/>
      <c r="DM55" s="951"/>
      <c r="DN55" s="951"/>
      <c r="DO55" s="951"/>
      <c r="DP55" s="951"/>
      <c r="DQ55" s="951"/>
      <c r="DR55" s="951"/>
      <c r="DS55" s="951"/>
      <c r="DT55" s="951"/>
      <c r="DU55" s="951"/>
      <c r="DV55" s="951"/>
      <c r="DW55" s="951"/>
      <c r="DX55" s="951"/>
      <c r="DY55" s="951"/>
      <c r="DZ55" s="951"/>
      <c r="EA55" s="951"/>
      <c r="EB55" s="951"/>
      <c r="EC55" s="951"/>
      <c r="ED55" s="951"/>
      <c r="EE55" s="951"/>
      <c r="EF55" s="951"/>
      <c r="EG55" s="951"/>
      <c r="EH55" s="951"/>
      <c r="EI55" s="951"/>
      <c r="EJ55" s="951"/>
      <c r="EK55" s="951"/>
      <c r="EL55" s="951"/>
      <c r="EM55" s="951"/>
      <c r="EN55" s="951"/>
      <c r="EO55" s="951"/>
      <c r="EP55" s="951"/>
      <c r="EQ55" s="951"/>
      <c r="ER55" s="951"/>
      <c r="ES55" s="951"/>
      <c r="ET55" s="951"/>
      <c r="EU55" s="951"/>
      <c r="EV55" s="951"/>
      <c r="EW55" s="951"/>
      <c r="EX55" s="951"/>
      <c r="EY55" s="951"/>
      <c r="EZ55" s="951"/>
      <c r="FA55" s="951"/>
      <c r="FB55" s="951"/>
      <c r="FC55" s="951"/>
      <c r="FD55" s="951"/>
      <c r="FE55" s="951"/>
      <c r="FF55" s="951"/>
      <c r="FG55" s="951"/>
      <c r="FH55" s="951"/>
      <c r="FI55" s="951"/>
      <c r="FJ55" s="951"/>
      <c r="FK55" s="951"/>
      <c r="FL55" s="951"/>
      <c r="FM55" s="951"/>
      <c r="FN55" s="951"/>
      <c r="FO55" s="951"/>
      <c r="FP55" s="951"/>
      <c r="FQ55" s="951"/>
      <c r="FR55" s="951"/>
      <c r="FS55" s="951"/>
      <c r="FT55" s="951"/>
      <c r="FU55" s="951"/>
      <c r="FV55" s="951"/>
      <c r="FW55" s="951"/>
      <c r="FX55" s="951"/>
      <c r="FY55" s="951"/>
      <c r="FZ55" s="951"/>
      <c r="GA55" s="951"/>
      <c r="GB55" s="951"/>
      <c r="GC55" s="951"/>
      <c r="GD55" s="951"/>
      <c r="GE55" s="951"/>
      <c r="GF55" s="951"/>
      <c r="GG55" s="951"/>
      <c r="GH55" s="951"/>
      <c r="GI55" s="951"/>
      <c r="GJ55" s="951"/>
      <c r="GK55" s="951"/>
      <c r="GL55" s="951"/>
      <c r="GM55" s="951"/>
      <c r="GN55" s="951"/>
      <c r="GO55" s="951"/>
      <c r="GP55" s="951"/>
      <c r="GQ55" s="951"/>
      <c r="GR55" s="951"/>
      <c r="GS55" s="951"/>
      <c r="GT55" s="951"/>
      <c r="GU55" s="951"/>
      <c r="GV55" s="951"/>
      <c r="GW55" s="951"/>
      <c r="GX55" s="951"/>
      <c r="GY55" s="951"/>
      <c r="GZ55" s="951"/>
      <c r="HA55" s="951"/>
      <c r="HB55" s="951"/>
      <c r="HC55" s="951"/>
      <c r="HD55" s="951"/>
      <c r="HE55" s="951"/>
      <c r="HF55" s="951"/>
      <c r="HG55" s="951"/>
      <c r="HH55" s="951"/>
      <c r="HI55" s="951"/>
      <c r="HJ55" s="951"/>
      <c r="HK55" s="951"/>
      <c r="HL55" s="951"/>
      <c r="HM55" s="951"/>
      <c r="HN55" s="951"/>
      <c r="HO55" s="951"/>
      <c r="HP55" s="951"/>
      <c r="HQ55" s="951"/>
      <c r="HR55" s="951"/>
      <c r="HS55" s="951"/>
      <c r="HT55" s="951"/>
      <c r="HU55" s="951"/>
      <c r="HV55" s="951"/>
      <c r="HW55" s="951"/>
      <c r="HX55" s="951"/>
      <c r="HY55" s="951"/>
      <c r="HZ55" s="951"/>
      <c r="IA55" s="951"/>
      <c r="IB55" s="951"/>
      <c r="IC55" s="951"/>
      <c r="ID55" s="951"/>
      <c r="IE55" s="951"/>
      <c r="IF55" s="951"/>
      <c r="IG55" s="951"/>
      <c r="IH55" s="951"/>
      <c r="II55" s="951"/>
      <c r="IJ55" s="951"/>
      <c r="IK55" s="951"/>
      <c r="IL55" s="951"/>
      <c r="IM55" s="1"/>
      <c r="IN55" s="1"/>
      <c r="IO55" s="1"/>
      <c r="IP55" s="1"/>
      <c r="IQ55" s="1"/>
      <c r="IR55" s="1"/>
      <c r="IS55" s="1"/>
      <c r="IT55" s="1"/>
    </row>
    <row r="56" spans="1:254" s="84" customFormat="1" ht="12.95" hidden="1" customHeight="1" thickBot="1" x14ac:dyDescent="0.2">
      <c r="A56" s="963"/>
      <c r="B56" s="963"/>
      <c r="C56" s="963"/>
      <c r="D56" s="963"/>
      <c r="E56" s="964" t="s">
        <v>686</v>
      </c>
      <c r="F56" s="965" t="str">
        <f>クリーチャー_3!G19</f>
        <v>1D6</v>
      </c>
      <c r="G56" s="25" t="s">
        <v>87</v>
      </c>
      <c r="H56" s="138" t="s">
        <v>292</v>
      </c>
      <c r="I56" s="34" t="s">
        <v>154</v>
      </c>
      <c r="J56" s="138" t="s">
        <v>292</v>
      </c>
      <c r="K56" s="35" t="s">
        <v>213</v>
      </c>
      <c r="L56" s="138" t="s">
        <v>292</v>
      </c>
      <c r="M56" s="960"/>
      <c r="N56" s="951"/>
      <c r="O56" s="951"/>
      <c r="P56" s="951"/>
      <c r="Q56" s="951"/>
      <c r="R56" s="951"/>
      <c r="S56" s="951"/>
      <c r="T56" s="951"/>
      <c r="U56" s="951"/>
      <c r="V56" s="951"/>
      <c r="W56" s="951"/>
      <c r="X56" s="951"/>
      <c r="Y56" s="951"/>
      <c r="Z56" s="951"/>
      <c r="AA56" s="951"/>
      <c r="AB56" s="951"/>
      <c r="AC56" s="951"/>
      <c r="AD56" s="951"/>
      <c r="AE56" s="951"/>
      <c r="AF56" s="951"/>
      <c r="AG56" s="951"/>
      <c r="AH56" s="951"/>
      <c r="AI56" s="951"/>
      <c r="AJ56" s="951"/>
      <c r="AK56" s="951"/>
      <c r="AL56" s="951"/>
      <c r="AM56" s="951"/>
      <c r="AN56" s="951"/>
      <c r="AO56" s="951"/>
      <c r="AP56" s="951"/>
      <c r="AQ56" s="951"/>
      <c r="AR56" s="951"/>
      <c r="AS56" s="951"/>
      <c r="AT56" s="951"/>
      <c r="AU56" s="951"/>
      <c r="AV56" s="951"/>
      <c r="AW56" s="951"/>
      <c r="AX56" s="951"/>
      <c r="AY56" s="951"/>
      <c r="AZ56" s="951"/>
      <c r="BA56" s="951"/>
      <c r="BB56" s="951"/>
      <c r="BC56" s="951"/>
      <c r="BD56" s="951"/>
      <c r="BE56" s="951"/>
      <c r="BF56" s="951"/>
      <c r="BG56" s="951"/>
      <c r="BH56" s="951"/>
      <c r="BI56" s="951"/>
      <c r="BJ56" s="951"/>
      <c r="BK56" s="951"/>
      <c r="BL56" s="951"/>
      <c r="BM56" s="951"/>
      <c r="BN56" s="951"/>
      <c r="BO56" s="951"/>
      <c r="BP56" s="951"/>
      <c r="BQ56" s="951"/>
      <c r="BR56" s="951"/>
      <c r="BS56" s="951"/>
      <c r="BT56" s="951"/>
      <c r="BU56" s="951"/>
      <c r="BV56" s="951"/>
      <c r="BW56" s="951"/>
      <c r="BX56" s="951"/>
      <c r="BY56" s="951"/>
      <c r="BZ56" s="951"/>
      <c r="CA56" s="951"/>
      <c r="CB56" s="951"/>
      <c r="CC56" s="951"/>
      <c r="CD56" s="951"/>
      <c r="CE56" s="951"/>
      <c r="CF56" s="951"/>
      <c r="CG56" s="951"/>
      <c r="CH56" s="951"/>
      <c r="CI56" s="951"/>
      <c r="CJ56" s="951"/>
      <c r="CK56" s="951"/>
      <c r="CL56" s="951"/>
      <c r="CM56" s="951"/>
      <c r="CN56" s="951"/>
      <c r="CO56" s="951"/>
      <c r="CP56" s="951"/>
      <c r="CQ56" s="951"/>
      <c r="CR56" s="951"/>
      <c r="CS56" s="951"/>
      <c r="CT56" s="951"/>
      <c r="CU56" s="951"/>
      <c r="CV56" s="951"/>
      <c r="CW56" s="951"/>
      <c r="CX56" s="951"/>
      <c r="CY56" s="951"/>
      <c r="CZ56" s="951"/>
      <c r="DA56" s="951"/>
      <c r="DB56" s="951"/>
      <c r="DC56" s="951"/>
      <c r="DD56" s="951"/>
      <c r="DE56" s="951"/>
      <c r="DF56" s="951"/>
      <c r="DG56" s="951"/>
      <c r="DH56" s="951"/>
      <c r="DI56" s="951"/>
      <c r="DJ56" s="951"/>
      <c r="DK56" s="951"/>
      <c r="DL56" s="951"/>
      <c r="DM56" s="951"/>
      <c r="DN56" s="951"/>
      <c r="DO56" s="951"/>
      <c r="DP56" s="951"/>
      <c r="DQ56" s="951"/>
      <c r="DR56" s="951"/>
      <c r="DS56" s="951"/>
      <c r="DT56" s="951"/>
      <c r="DU56" s="951"/>
      <c r="DV56" s="951"/>
      <c r="DW56" s="951"/>
      <c r="DX56" s="951"/>
      <c r="DY56" s="951"/>
      <c r="DZ56" s="951"/>
      <c r="EA56" s="951"/>
      <c r="EB56" s="951"/>
      <c r="EC56" s="951"/>
      <c r="ED56" s="951"/>
      <c r="EE56" s="951"/>
      <c r="EF56" s="951"/>
      <c r="EG56" s="951"/>
      <c r="EH56" s="951"/>
      <c r="EI56" s="951"/>
      <c r="EJ56" s="951"/>
      <c r="EK56" s="951"/>
      <c r="EL56" s="951"/>
      <c r="EM56" s="951"/>
      <c r="EN56" s="951"/>
      <c r="EO56" s="951"/>
      <c r="EP56" s="951"/>
      <c r="EQ56" s="951"/>
      <c r="ER56" s="951"/>
      <c r="ES56" s="951"/>
      <c r="ET56" s="951"/>
      <c r="EU56" s="951"/>
      <c r="EV56" s="951"/>
      <c r="EW56" s="951"/>
      <c r="EX56" s="951"/>
      <c r="EY56" s="951"/>
      <c r="EZ56" s="951"/>
      <c r="FA56" s="951"/>
      <c r="FB56" s="951"/>
      <c r="FC56" s="951"/>
      <c r="FD56" s="951"/>
      <c r="FE56" s="951"/>
      <c r="FF56" s="951"/>
      <c r="FG56" s="951"/>
      <c r="FH56" s="951"/>
      <c r="FI56" s="951"/>
      <c r="FJ56" s="951"/>
      <c r="FK56" s="951"/>
      <c r="FL56" s="951"/>
      <c r="FM56" s="951"/>
      <c r="FN56" s="951"/>
      <c r="FO56" s="951"/>
      <c r="FP56" s="951"/>
      <c r="FQ56" s="951"/>
      <c r="FR56" s="951"/>
      <c r="FS56" s="951"/>
      <c r="FT56" s="951"/>
      <c r="FU56" s="951"/>
      <c r="FV56" s="951"/>
      <c r="FW56" s="951"/>
      <c r="FX56" s="951"/>
      <c r="FY56" s="951"/>
      <c r="FZ56" s="951"/>
      <c r="GA56" s="951"/>
      <c r="GB56" s="951"/>
      <c r="GC56" s="951"/>
      <c r="GD56" s="951"/>
      <c r="GE56" s="951"/>
      <c r="GF56" s="951"/>
      <c r="GG56" s="951"/>
      <c r="GH56" s="951"/>
      <c r="GI56" s="951"/>
      <c r="GJ56" s="951"/>
      <c r="GK56" s="951"/>
      <c r="GL56" s="951"/>
      <c r="GM56" s="951"/>
      <c r="GN56" s="951"/>
      <c r="GO56" s="951"/>
      <c r="GP56" s="951"/>
      <c r="GQ56" s="951"/>
      <c r="GR56" s="951"/>
      <c r="GS56" s="951"/>
      <c r="GT56" s="951"/>
      <c r="GU56" s="951"/>
      <c r="GV56" s="951"/>
      <c r="GW56" s="951"/>
      <c r="GX56" s="951"/>
      <c r="GY56" s="951"/>
      <c r="GZ56" s="951"/>
      <c r="HA56" s="951"/>
      <c r="HB56" s="951"/>
      <c r="HC56" s="951"/>
      <c r="HD56" s="951"/>
      <c r="HE56" s="951"/>
      <c r="HF56" s="951"/>
      <c r="HG56" s="951"/>
      <c r="HH56" s="951"/>
      <c r="HI56" s="951"/>
      <c r="HJ56" s="951"/>
      <c r="HK56" s="951"/>
      <c r="HL56" s="951"/>
      <c r="HM56" s="951"/>
      <c r="HN56" s="951"/>
      <c r="HO56" s="951"/>
      <c r="HP56" s="951"/>
      <c r="HQ56" s="951"/>
      <c r="HR56" s="951"/>
      <c r="HS56" s="951"/>
      <c r="HT56" s="951"/>
      <c r="HU56" s="951"/>
      <c r="HV56" s="951"/>
      <c r="HW56" s="951"/>
      <c r="HX56" s="951"/>
      <c r="HY56" s="951"/>
      <c r="HZ56" s="951"/>
      <c r="IA56" s="951"/>
      <c r="IB56" s="951"/>
      <c r="IC56" s="951"/>
      <c r="ID56" s="951"/>
      <c r="IE56" s="951"/>
      <c r="IF56" s="951"/>
      <c r="IG56" s="951"/>
      <c r="IH56" s="951"/>
      <c r="II56" s="951"/>
      <c r="IJ56" s="951"/>
      <c r="IK56" s="951"/>
      <c r="IL56" s="951"/>
      <c r="IM56" s="1"/>
      <c r="IN56" s="1"/>
      <c r="IO56" s="1"/>
      <c r="IP56" s="1"/>
      <c r="IQ56" s="1"/>
      <c r="IR56" s="1"/>
      <c r="IS56" s="1"/>
      <c r="IT56" s="1"/>
    </row>
    <row r="57" spans="1:254" s="84" customFormat="1" ht="12.95" hidden="1" customHeight="1" thickBot="1" x14ac:dyDescent="0.2">
      <c r="A57" s="963"/>
      <c r="B57" s="963"/>
      <c r="C57" s="963"/>
      <c r="D57" s="963"/>
      <c r="E57" s="964"/>
      <c r="F57" s="965"/>
      <c r="G57" s="26" t="s">
        <v>240</v>
      </c>
      <c r="H57" s="138" t="s">
        <v>292</v>
      </c>
      <c r="I57" s="35" t="s">
        <v>283</v>
      </c>
      <c r="J57" s="138" t="s">
        <v>292</v>
      </c>
      <c r="K57" s="35" t="s">
        <v>324</v>
      </c>
      <c r="L57" s="138" t="s">
        <v>292</v>
      </c>
      <c r="M57" s="960"/>
      <c r="N57" s="960"/>
      <c r="O57" s="951"/>
      <c r="P57" s="951"/>
      <c r="Q57" s="951"/>
      <c r="R57" s="951"/>
      <c r="S57" s="951"/>
      <c r="T57" s="951"/>
      <c r="U57" s="951"/>
      <c r="V57" s="951"/>
      <c r="W57" s="951"/>
      <c r="X57" s="951"/>
      <c r="Y57" s="951"/>
      <c r="Z57" s="951"/>
      <c r="AA57" s="951"/>
      <c r="AB57" s="951"/>
      <c r="AC57" s="951"/>
      <c r="AD57" s="951"/>
      <c r="AE57" s="951"/>
      <c r="AF57" s="951"/>
      <c r="AG57" s="951"/>
      <c r="AH57" s="951"/>
      <c r="AI57" s="951"/>
      <c r="AJ57" s="951"/>
      <c r="AK57" s="951"/>
      <c r="AL57" s="951"/>
      <c r="AM57" s="951"/>
      <c r="AN57" s="951"/>
      <c r="AO57" s="951"/>
      <c r="AP57" s="951"/>
      <c r="AQ57" s="951"/>
      <c r="AR57" s="951"/>
      <c r="AS57" s="951"/>
      <c r="AT57" s="951"/>
      <c r="AU57" s="951"/>
      <c r="AV57" s="951"/>
      <c r="AW57" s="951"/>
      <c r="AX57" s="951"/>
      <c r="AY57" s="951"/>
      <c r="AZ57" s="951"/>
      <c r="BA57" s="951"/>
      <c r="BB57" s="951"/>
      <c r="BC57" s="951"/>
      <c r="BD57" s="951"/>
      <c r="BE57" s="951"/>
      <c r="BF57" s="951"/>
      <c r="BG57" s="951"/>
      <c r="BH57" s="951"/>
      <c r="BI57" s="951"/>
      <c r="BJ57" s="951"/>
      <c r="BK57" s="951"/>
      <c r="BL57" s="951"/>
      <c r="BM57" s="951"/>
      <c r="BN57" s="951"/>
      <c r="BO57" s="951"/>
      <c r="BP57" s="951"/>
      <c r="BQ57" s="951"/>
      <c r="BR57" s="951"/>
      <c r="BS57" s="951"/>
      <c r="BT57" s="951"/>
      <c r="BU57" s="951"/>
      <c r="BV57" s="951"/>
      <c r="BW57" s="951"/>
      <c r="BX57" s="951"/>
      <c r="BY57" s="951"/>
      <c r="BZ57" s="951"/>
      <c r="CA57" s="951"/>
      <c r="CB57" s="951"/>
      <c r="CC57" s="951"/>
      <c r="CD57" s="951"/>
      <c r="CE57" s="951"/>
      <c r="CF57" s="951"/>
      <c r="CG57" s="951"/>
      <c r="CH57" s="951"/>
      <c r="CI57" s="951"/>
      <c r="CJ57" s="951"/>
      <c r="CK57" s="951"/>
      <c r="CL57" s="951"/>
      <c r="CM57" s="951"/>
      <c r="CN57" s="951"/>
      <c r="CO57" s="951"/>
      <c r="CP57" s="951"/>
      <c r="CQ57" s="951"/>
      <c r="CR57" s="951"/>
      <c r="CS57" s="951"/>
      <c r="CT57" s="951"/>
      <c r="CU57" s="951"/>
      <c r="CV57" s="951"/>
      <c r="CW57" s="951"/>
      <c r="CX57" s="951"/>
      <c r="CY57" s="951"/>
      <c r="CZ57" s="951"/>
      <c r="DA57" s="951"/>
      <c r="DB57" s="951"/>
      <c r="DC57" s="951"/>
      <c r="DD57" s="951"/>
      <c r="DE57" s="951"/>
      <c r="DF57" s="951"/>
      <c r="DG57" s="951"/>
      <c r="DH57" s="951"/>
      <c r="DI57" s="951"/>
      <c r="DJ57" s="951"/>
      <c r="DK57" s="951"/>
      <c r="DL57" s="951"/>
      <c r="DM57" s="951"/>
      <c r="DN57" s="951"/>
      <c r="DO57" s="951"/>
      <c r="DP57" s="951"/>
      <c r="DQ57" s="951"/>
      <c r="DR57" s="951"/>
      <c r="DS57" s="951"/>
      <c r="DT57" s="951"/>
      <c r="DU57" s="951"/>
      <c r="DV57" s="951"/>
      <c r="DW57" s="951"/>
      <c r="DX57" s="951"/>
      <c r="DY57" s="951"/>
      <c r="DZ57" s="951"/>
      <c r="EA57" s="951"/>
      <c r="EB57" s="951"/>
      <c r="EC57" s="951"/>
      <c r="ED57" s="951"/>
      <c r="EE57" s="951"/>
      <c r="EF57" s="951"/>
      <c r="EG57" s="951"/>
      <c r="EH57" s="951"/>
      <c r="EI57" s="951"/>
      <c r="EJ57" s="951"/>
      <c r="EK57" s="951"/>
      <c r="EL57" s="951"/>
      <c r="EM57" s="951"/>
      <c r="EN57" s="951"/>
      <c r="EO57" s="951"/>
      <c r="EP57" s="951"/>
      <c r="EQ57" s="951"/>
      <c r="ER57" s="951"/>
      <c r="ES57" s="951"/>
      <c r="ET57" s="951"/>
      <c r="EU57" s="951"/>
      <c r="EV57" s="951"/>
      <c r="EW57" s="951"/>
      <c r="EX57" s="951"/>
      <c r="EY57" s="951"/>
      <c r="EZ57" s="951"/>
      <c r="FA57" s="951"/>
      <c r="FB57" s="951"/>
      <c r="FC57" s="951"/>
      <c r="FD57" s="951"/>
      <c r="FE57" s="951"/>
      <c r="FF57" s="951"/>
      <c r="FG57" s="951"/>
      <c r="FH57" s="951"/>
      <c r="FI57" s="951"/>
      <c r="FJ57" s="951"/>
      <c r="FK57" s="951"/>
      <c r="FL57" s="951"/>
      <c r="FM57" s="951"/>
      <c r="FN57" s="951"/>
      <c r="FO57" s="951"/>
      <c r="FP57" s="951"/>
      <c r="FQ57" s="951"/>
      <c r="FR57" s="951"/>
      <c r="FS57" s="951"/>
      <c r="FT57" s="951"/>
      <c r="FU57" s="951"/>
      <c r="FV57" s="951"/>
      <c r="FW57" s="951"/>
      <c r="FX57" s="951"/>
      <c r="FY57" s="951"/>
      <c r="FZ57" s="951"/>
      <c r="GA57" s="951"/>
      <c r="GB57" s="951"/>
      <c r="GC57" s="951"/>
      <c r="GD57" s="951"/>
      <c r="GE57" s="951"/>
      <c r="GF57" s="951"/>
      <c r="GG57" s="951"/>
      <c r="GH57" s="951"/>
      <c r="GI57" s="951"/>
      <c r="GJ57" s="951"/>
      <c r="GK57" s="951"/>
      <c r="GL57" s="951"/>
      <c r="GM57" s="951"/>
      <c r="GN57" s="951"/>
      <c r="GO57" s="951"/>
      <c r="GP57" s="951"/>
      <c r="GQ57" s="951"/>
      <c r="GR57" s="951"/>
      <c r="GS57" s="951"/>
      <c r="GT57" s="951"/>
      <c r="GU57" s="951"/>
      <c r="GV57" s="951"/>
      <c r="GW57" s="951"/>
      <c r="GX57" s="951"/>
      <c r="GY57" s="951"/>
      <c r="GZ57" s="951"/>
      <c r="HA57" s="951"/>
      <c r="HB57" s="951"/>
      <c r="HC57" s="951"/>
      <c r="HD57" s="951"/>
      <c r="HE57" s="951"/>
      <c r="HF57" s="951"/>
      <c r="HG57" s="951"/>
      <c r="HH57" s="951"/>
      <c r="HI57" s="951"/>
      <c r="HJ57" s="951"/>
      <c r="HK57" s="951"/>
      <c r="HL57" s="951"/>
      <c r="HM57" s="951"/>
      <c r="HN57" s="951"/>
      <c r="HO57" s="951"/>
      <c r="HP57" s="951"/>
      <c r="HQ57" s="951"/>
      <c r="HR57" s="951"/>
      <c r="HS57" s="951"/>
      <c r="HT57" s="951"/>
      <c r="HU57" s="951"/>
      <c r="HV57" s="951"/>
      <c r="HW57" s="951"/>
      <c r="HX57" s="951"/>
      <c r="HY57" s="951"/>
      <c r="HZ57" s="951"/>
      <c r="IA57" s="951"/>
      <c r="IB57" s="951"/>
      <c r="IC57" s="951"/>
      <c r="ID57" s="951"/>
      <c r="IE57" s="951"/>
      <c r="IF57" s="951"/>
      <c r="IG57" s="951"/>
      <c r="IH57" s="951"/>
      <c r="II57" s="951"/>
      <c r="IJ57" s="951"/>
      <c r="IK57" s="951"/>
      <c r="IL57" s="951"/>
      <c r="IM57" s="1"/>
      <c r="IN57" s="1"/>
      <c r="IO57" s="1"/>
      <c r="IP57" s="1"/>
      <c r="IQ57" s="1"/>
      <c r="IR57" s="1"/>
      <c r="IS57" s="1"/>
      <c r="IT57" s="1"/>
    </row>
    <row r="58" spans="1:254" s="84" customFormat="1" ht="12" hidden="1" customHeight="1" thickBot="1" x14ac:dyDescent="0.2">
      <c r="A58" s="966" t="s">
        <v>653</v>
      </c>
      <c r="B58" s="966"/>
      <c r="C58" s="967" t="s">
        <v>447</v>
      </c>
      <c r="D58" s="972">
        <f>クリーチャー_3!C16+クリーチャー_3!D16</f>
        <v>0</v>
      </c>
      <c r="E58" s="967" t="s">
        <v>687</v>
      </c>
      <c r="F58" s="973">
        <f>クリーチャー_3!H5</f>
        <v>4</v>
      </c>
      <c r="G58" s="27" t="s">
        <v>264</v>
      </c>
      <c r="H58" s="138" t="s">
        <v>292</v>
      </c>
      <c r="I58" s="36" t="s">
        <v>302</v>
      </c>
      <c r="J58" s="138" t="s">
        <v>292</v>
      </c>
      <c r="K58" s="36" t="s">
        <v>248</v>
      </c>
      <c r="L58" s="138" t="s">
        <v>292</v>
      </c>
      <c r="M58" s="960"/>
      <c r="N58" s="960"/>
      <c r="O58" s="951"/>
      <c r="P58" s="951"/>
      <c r="Q58" s="951"/>
      <c r="R58" s="951"/>
      <c r="S58" s="951"/>
      <c r="T58" s="951"/>
      <c r="U58" s="951"/>
      <c r="V58" s="951"/>
      <c r="W58" s="951"/>
      <c r="X58" s="951"/>
      <c r="Y58" s="951"/>
      <c r="Z58" s="951"/>
      <c r="AA58" s="951"/>
      <c r="AB58" s="951"/>
      <c r="AC58" s="951"/>
      <c r="AD58" s="951"/>
      <c r="AE58" s="951"/>
      <c r="AF58" s="951"/>
      <c r="AG58" s="951"/>
      <c r="AH58" s="951"/>
      <c r="AI58" s="951"/>
      <c r="AJ58" s="951"/>
      <c r="AK58" s="951"/>
      <c r="AL58" s="951"/>
      <c r="AM58" s="951"/>
      <c r="AN58" s="951"/>
      <c r="AO58" s="951"/>
      <c r="AP58" s="951"/>
      <c r="AQ58" s="951"/>
      <c r="AR58" s="951"/>
      <c r="AS58" s="951"/>
      <c r="AT58" s="951"/>
      <c r="AU58" s="951"/>
      <c r="AV58" s="951"/>
      <c r="AW58" s="951"/>
      <c r="AX58" s="951"/>
      <c r="AY58" s="951"/>
      <c r="AZ58" s="951"/>
      <c r="BA58" s="951"/>
      <c r="BB58" s="951"/>
      <c r="BC58" s="951"/>
      <c r="BD58" s="951"/>
      <c r="BE58" s="951"/>
      <c r="BF58" s="951"/>
      <c r="BG58" s="951"/>
      <c r="BH58" s="951"/>
      <c r="BI58" s="951"/>
      <c r="BJ58" s="951"/>
      <c r="BK58" s="951"/>
      <c r="BL58" s="951"/>
      <c r="BM58" s="951"/>
      <c r="BN58" s="951"/>
      <c r="BO58" s="951"/>
      <c r="BP58" s="951"/>
      <c r="BQ58" s="951"/>
      <c r="BR58" s="951"/>
      <c r="BS58" s="951"/>
      <c r="BT58" s="951"/>
      <c r="BU58" s="951"/>
      <c r="BV58" s="951"/>
      <c r="BW58" s="951"/>
      <c r="BX58" s="951"/>
      <c r="BY58" s="951"/>
      <c r="BZ58" s="951"/>
      <c r="CA58" s="951"/>
      <c r="CB58" s="951"/>
      <c r="CC58" s="951"/>
      <c r="CD58" s="951"/>
      <c r="CE58" s="951"/>
      <c r="CF58" s="951"/>
      <c r="CG58" s="951"/>
      <c r="CH58" s="951"/>
      <c r="CI58" s="951"/>
      <c r="CJ58" s="951"/>
      <c r="CK58" s="951"/>
      <c r="CL58" s="951"/>
      <c r="CM58" s="951"/>
      <c r="CN58" s="951"/>
      <c r="CO58" s="951"/>
      <c r="CP58" s="951"/>
      <c r="CQ58" s="951"/>
      <c r="CR58" s="951"/>
      <c r="CS58" s="951"/>
      <c r="CT58" s="951"/>
      <c r="CU58" s="951"/>
      <c r="CV58" s="951"/>
      <c r="CW58" s="951"/>
      <c r="CX58" s="951"/>
      <c r="CY58" s="951"/>
      <c r="CZ58" s="951"/>
      <c r="DA58" s="951"/>
      <c r="DB58" s="951"/>
      <c r="DC58" s="951"/>
      <c r="DD58" s="951"/>
      <c r="DE58" s="951"/>
      <c r="DF58" s="951"/>
      <c r="DG58" s="951"/>
      <c r="DH58" s="951"/>
      <c r="DI58" s="951"/>
      <c r="DJ58" s="951"/>
      <c r="DK58" s="951"/>
      <c r="DL58" s="951"/>
      <c r="DM58" s="951"/>
      <c r="DN58" s="951"/>
      <c r="DO58" s="951"/>
      <c r="DP58" s="951"/>
      <c r="DQ58" s="951"/>
      <c r="DR58" s="951"/>
      <c r="DS58" s="951"/>
      <c r="DT58" s="951"/>
      <c r="DU58" s="951"/>
      <c r="DV58" s="951"/>
      <c r="DW58" s="951"/>
      <c r="DX58" s="951"/>
      <c r="DY58" s="951"/>
      <c r="DZ58" s="951"/>
      <c r="EA58" s="951"/>
      <c r="EB58" s="951"/>
      <c r="EC58" s="951"/>
      <c r="ED58" s="951"/>
      <c r="EE58" s="951"/>
      <c r="EF58" s="951"/>
      <c r="EG58" s="951"/>
      <c r="EH58" s="951"/>
      <c r="EI58" s="951"/>
      <c r="EJ58" s="951"/>
      <c r="EK58" s="951"/>
      <c r="EL58" s="951"/>
      <c r="EM58" s="951"/>
      <c r="EN58" s="951"/>
      <c r="EO58" s="951"/>
      <c r="EP58" s="951"/>
      <c r="EQ58" s="951"/>
      <c r="ER58" s="951"/>
      <c r="ES58" s="951"/>
      <c r="ET58" s="951"/>
      <c r="EU58" s="951"/>
      <c r="EV58" s="951"/>
      <c r="EW58" s="951"/>
      <c r="EX58" s="951"/>
      <c r="EY58" s="951"/>
      <c r="EZ58" s="951"/>
      <c r="FA58" s="951"/>
      <c r="FB58" s="951"/>
      <c r="FC58" s="951"/>
      <c r="FD58" s="951"/>
      <c r="FE58" s="951"/>
      <c r="FF58" s="951"/>
      <c r="FG58" s="951"/>
      <c r="FH58" s="951"/>
      <c r="FI58" s="951"/>
      <c r="FJ58" s="951"/>
      <c r="FK58" s="951"/>
      <c r="FL58" s="951"/>
      <c r="FM58" s="951"/>
      <c r="FN58" s="951"/>
      <c r="FO58" s="951"/>
      <c r="FP58" s="951"/>
      <c r="FQ58" s="951"/>
      <c r="FR58" s="951"/>
      <c r="FS58" s="951"/>
      <c r="FT58" s="951"/>
      <c r="FU58" s="951"/>
      <c r="FV58" s="951"/>
      <c r="FW58" s="951"/>
      <c r="FX58" s="951"/>
      <c r="FY58" s="951"/>
      <c r="FZ58" s="951"/>
      <c r="GA58" s="951"/>
      <c r="GB58" s="951"/>
      <c r="GC58" s="951"/>
      <c r="GD58" s="951"/>
      <c r="GE58" s="951"/>
      <c r="GF58" s="951"/>
      <c r="GG58" s="951"/>
      <c r="GH58" s="951"/>
      <c r="GI58" s="951"/>
      <c r="GJ58" s="951"/>
      <c r="GK58" s="951"/>
      <c r="GL58" s="951"/>
      <c r="GM58" s="951"/>
      <c r="GN58" s="951"/>
      <c r="GO58" s="951"/>
      <c r="GP58" s="951"/>
      <c r="GQ58" s="951"/>
      <c r="GR58" s="951"/>
      <c r="GS58" s="951"/>
      <c r="GT58" s="951"/>
      <c r="GU58" s="951"/>
      <c r="GV58" s="951"/>
      <c r="GW58" s="951"/>
      <c r="GX58" s="951"/>
      <c r="GY58" s="951"/>
      <c r="GZ58" s="951"/>
      <c r="HA58" s="951"/>
      <c r="HB58" s="951"/>
      <c r="HC58" s="951"/>
      <c r="HD58" s="951"/>
      <c r="HE58" s="951"/>
      <c r="HF58" s="951"/>
      <c r="HG58" s="951"/>
      <c r="HH58" s="951"/>
      <c r="HI58" s="951"/>
      <c r="HJ58" s="951"/>
      <c r="HK58" s="951"/>
      <c r="HL58" s="951"/>
      <c r="HM58" s="951"/>
      <c r="HN58" s="951"/>
      <c r="HO58" s="951"/>
      <c r="HP58" s="951"/>
      <c r="HQ58" s="951"/>
      <c r="HR58" s="951"/>
      <c r="HS58" s="951"/>
      <c r="HT58" s="951"/>
      <c r="HU58" s="951"/>
      <c r="HV58" s="951"/>
      <c r="HW58" s="951"/>
      <c r="HX58" s="951"/>
      <c r="HY58" s="951"/>
      <c r="HZ58" s="951"/>
      <c r="IA58" s="951"/>
      <c r="IB58" s="951"/>
      <c r="IC58" s="951"/>
      <c r="ID58" s="951"/>
      <c r="IE58" s="951"/>
      <c r="IF58" s="951"/>
      <c r="IG58" s="951"/>
      <c r="IH58" s="951"/>
      <c r="II58" s="951"/>
      <c r="IJ58" s="951"/>
      <c r="IK58" s="951"/>
      <c r="IL58" s="951"/>
      <c r="IM58" s="1"/>
      <c r="IN58" s="1"/>
      <c r="IO58" s="1"/>
      <c r="IP58" s="1"/>
      <c r="IQ58" s="1"/>
      <c r="IR58" s="1"/>
      <c r="IS58" s="1"/>
      <c r="IT58" s="1"/>
    </row>
    <row r="59" spans="1:254" s="84" customFormat="1" ht="12.95" hidden="1" customHeight="1" thickBot="1" x14ac:dyDescent="0.2">
      <c r="A59" s="85">
        <f>B59+SUM(O60:IL60)</f>
        <v>0</v>
      </c>
      <c r="B59" s="9">
        <f>J60</f>
        <v>0</v>
      </c>
      <c r="C59" s="967"/>
      <c r="D59" s="972"/>
      <c r="E59" s="967"/>
      <c r="F59" s="973"/>
      <c r="G59" s="28"/>
      <c r="H59" s="28"/>
      <c r="I59" s="28"/>
      <c r="J59" s="28"/>
      <c r="K59" s="28"/>
      <c r="L59" s="37"/>
      <c r="M59" s="960"/>
      <c r="N59" s="960"/>
      <c r="O59" s="951"/>
      <c r="P59" s="951"/>
      <c r="Q59" s="951"/>
      <c r="R59" s="951"/>
      <c r="S59" s="951"/>
      <c r="T59" s="951"/>
      <c r="U59" s="951"/>
      <c r="V59" s="951"/>
      <c r="W59" s="951"/>
      <c r="X59" s="951"/>
      <c r="Y59" s="951"/>
      <c r="Z59" s="951"/>
      <c r="AA59" s="951"/>
      <c r="AB59" s="951"/>
      <c r="AC59" s="951"/>
      <c r="AD59" s="951"/>
      <c r="AE59" s="951"/>
      <c r="AF59" s="951"/>
      <c r="AG59" s="951"/>
      <c r="AH59" s="951"/>
      <c r="AI59" s="951"/>
      <c r="AJ59" s="951"/>
      <c r="AK59" s="951"/>
      <c r="AL59" s="951"/>
      <c r="AM59" s="951"/>
      <c r="AN59" s="951"/>
      <c r="AO59" s="951"/>
      <c r="AP59" s="951"/>
      <c r="AQ59" s="951"/>
      <c r="AR59" s="951"/>
      <c r="AS59" s="951"/>
      <c r="AT59" s="951"/>
      <c r="AU59" s="951"/>
      <c r="AV59" s="951"/>
      <c r="AW59" s="951"/>
      <c r="AX59" s="951"/>
      <c r="AY59" s="951"/>
      <c r="AZ59" s="951"/>
      <c r="BA59" s="951"/>
      <c r="BB59" s="951"/>
      <c r="BC59" s="951"/>
      <c r="BD59" s="951"/>
      <c r="BE59" s="951"/>
      <c r="BF59" s="951"/>
      <c r="BG59" s="951"/>
      <c r="BH59" s="951"/>
      <c r="BI59" s="951"/>
      <c r="BJ59" s="951"/>
      <c r="BK59" s="951"/>
      <c r="BL59" s="951"/>
      <c r="BM59" s="951"/>
      <c r="BN59" s="951"/>
      <c r="BO59" s="951"/>
      <c r="BP59" s="951"/>
      <c r="BQ59" s="951"/>
      <c r="BR59" s="951"/>
      <c r="BS59" s="951"/>
      <c r="BT59" s="951"/>
      <c r="BU59" s="951"/>
      <c r="BV59" s="951"/>
      <c r="BW59" s="951"/>
      <c r="BX59" s="951"/>
      <c r="BY59" s="951"/>
      <c r="BZ59" s="951"/>
      <c r="CA59" s="951"/>
      <c r="CB59" s="951"/>
      <c r="CC59" s="951"/>
      <c r="CD59" s="951"/>
      <c r="CE59" s="951"/>
      <c r="CF59" s="951"/>
      <c r="CG59" s="951"/>
      <c r="CH59" s="951"/>
      <c r="CI59" s="951"/>
      <c r="CJ59" s="951"/>
      <c r="CK59" s="951"/>
      <c r="CL59" s="951"/>
      <c r="CM59" s="951"/>
      <c r="CN59" s="951"/>
      <c r="CO59" s="951"/>
      <c r="CP59" s="951"/>
      <c r="CQ59" s="951"/>
      <c r="CR59" s="951"/>
      <c r="CS59" s="951"/>
      <c r="CT59" s="951"/>
      <c r="CU59" s="951"/>
      <c r="CV59" s="951"/>
      <c r="CW59" s="951"/>
      <c r="CX59" s="951"/>
      <c r="CY59" s="951"/>
      <c r="CZ59" s="951"/>
      <c r="DA59" s="951"/>
      <c r="DB59" s="951"/>
      <c r="DC59" s="951"/>
      <c r="DD59" s="951"/>
      <c r="DE59" s="951"/>
      <c r="DF59" s="951"/>
      <c r="DG59" s="951"/>
      <c r="DH59" s="951"/>
      <c r="DI59" s="951"/>
      <c r="DJ59" s="951"/>
      <c r="DK59" s="951"/>
      <c r="DL59" s="951"/>
      <c r="DM59" s="951"/>
      <c r="DN59" s="951"/>
      <c r="DO59" s="951"/>
      <c r="DP59" s="951"/>
      <c r="DQ59" s="951"/>
      <c r="DR59" s="951"/>
      <c r="DS59" s="951"/>
      <c r="DT59" s="951"/>
      <c r="DU59" s="951"/>
      <c r="DV59" s="951"/>
      <c r="DW59" s="951"/>
      <c r="DX59" s="951"/>
      <c r="DY59" s="951"/>
      <c r="DZ59" s="951"/>
      <c r="EA59" s="951"/>
      <c r="EB59" s="951"/>
      <c r="EC59" s="951"/>
      <c r="ED59" s="951"/>
      <c r="EE59" s="951"/>
      <c r="EF59" s="951"/>
      <c r="EG59" s="951"/>
      <c r="EH59" s="951"/>
      <c r="EI59" s="951"/>
      <c r="EJ59" s="951"/>
      <c r="EK59" s="951"/>
      <c r="EL59" s="951"/>
      <c r="EM59" s="951"/>
      <c r="EN59" s="951"/>
      <c r="EO59" s="951"/>
      <c r="EP59" s="951"/>
      <c r="EQ59" s="951"/>
      <c r="ER59" s="951"/>
      <c r="ES59" s="951"/>
      <c r="ET59" s="951"/>
      <c r="EU59" s="951"/>
      <c r="EV59" s="951"/>
      <c r="EW59" s="951"/>
      <c r="EX59" s="951"/>
      <c r="EY59" s="951"/>
      <c r="EZ59" s="951"/>
      <c r="FA59" s="951"/>
      <c r="FB59" s="951"/>
      <c r="FC59" s="951"/>
      <c r="FD59" s="951"/>
      <c r="FE59" s="951"/>
      <c r="FF59" s="951"/>
      <c r="FG59" s="951"/>
      <c r="FH59" s="951"/>
      <c r="FI59" s="951"/>
      <c r="FJ59" s="951"/>
      <c r="FK59" s="951"/>
      <c r="FL59" s="951"/>
      <c r="FM59" s="951"/>
      <c r="FN59" s="951"/>
      <c r="FO59" s="951"/>
      <c r="FP59" s="951"/>
      <c r="FQ59" s="951"/>
      <c r="FR59" s="951"/>
      <c r="FS59" s="951"/>
      <c r="FT59" s="951"/>
      <c r="FU59" s="951"/>
      <c r="FV59" s="951"/>
      <c r="FW59" s="951"/>
      <c r="FX59" s="951"/>
      <c r="FY59" s="951"/>
      <c r="FZ59" s="951"/>
      <c r="GA59" s="951"/>
      <c r="GB59" s="951"/>
      <c r="GC59" s="951"/>
      <c r="GD59" s="951"/>
      <c r="GE59" s="951"/>
      <c r="GF59" s="951"/>
      <c r="GG59" s="951"/>
      <c r="GH59" s="951"/>
      <c r="GI59" s="951"/>
      <c r="GJ59" s="951"/>
      <c r="GK59" s="951"/>
      <c r="GL59" s="951"/>
      <c r="GM59" s="951"/>
      <c r="GN59" s="951"/>
      <c r="GO59" s="951"/>
      <c r="GP59" s="951"/>
      <c r="GQ59" s="951"/>
      <c r="GR59" s="951"/>
      <c r="GS59" s="951"/>
      <c r="GT59" s="951"/>
      <c r="GU59" s="951"/>
      <c r="GV59" s="951"/>
      <c r="GW59" s="951"/>
      <c r="GX59" s="951"/>
      <c r="GY59" s="951"/>
      <c r="GZ59" s="951"/>
      <c r="HA59" s="951"/>
      <c r="HB59" s="951"/>
      <c r="HC59" s="951"/>
      <c r="HD59" s="951"/>
      <c r="HE59" s="951"/>
      <c r="HF59" s="951"/>
      <c r="HG59" s="951"/>
      <c r="HH59" s="951"/>
      <c r="HI59" s="951"/>
      <c r="HJ59" s="951"/>
      <c r="HK59" s="951"/>
      <c r="HL59" s="951"/>
      <c r="HM59" s="951"/>
      <c r="HN59" s="951"/>
      <c r="HO59" s="951"/>
      <c r="HP59" s="951"/>
      <c r="HQ59" s="951"/>
      <c r="HR59" s="951"/>
      <c r="HS59" s="951"/>
      <c r="HT59" s="951"/>
      <c r="HU59" s="951"/>
      <c r="HV59" s="951"/>
      <c r="HW59" s="951"/>
      <c r="HX59" s="951"/>
      <c r="HY59" s="951"/>
      <c r="HZ59" s="951"/>
      <c r="IA59" s="951"/>
      <c r="IB59" s="951"/>
      <c r="IC59" s="951"/>
      <c r="ID59" s="951"/>
      <c r="IE59" s="951"/>
      <c r="IF59" s="951"/>
      <c r="IG59" s="951"/>
      <c r="IH59" s="951"/>
      <c r="II59" s="951"/>
      <c r="IJ59" s="951"/>
      <c r="IK59" s="951"/>
      <c r="IL59" s="951"/>
      <c r="IM59" s="1"/>
      <c r="IN59" s="1"/>
      <c r="IO59" s="1"/>
      <c r="IP59" s="1"/>
      <c r="IQ59" s="1"/>
      <c r="IR59" s="1"/>
      <c r="IS59" s="1"/>
      <c r="IT59" s="1"/>
    </row>
    <row r="60" spans="1:254" s="98" customFormat="1" ht="12.95" hidden="1" customHeight="1" x14ac:dyDescent="0.15">
      <c r="A60" s="139" t="s">
        <v>442</v>
      </c>
      <c r="B60" s="140">
        <f>クリーチャー_3!C12+クリーチャー_3!D12</f>
        <v>0</v>
      </c>
      <c r="C60" s="141" t="s">
        <v>445</v>
      </c>
      <c r="D60" s="142">
        <f>クリーチャー_3!C13+クリーチャー_3!D13</f>
        <v>0</v>
      </c>
      <c r="E60" s="143" t="s">
        <v>439</v>
      </c>
      <c r="F60" s="144">
        <f>クリーチャー!C11+クリーチャー!D11</f>
        <v>0</v>
      </c>
      <c r="G60" s="939" t="s">
        <v>662</v>
      </c>
      <c r="H60" s="939"/>
      <c r="I60" s="94" t="s">
        <v>663</v>
      </c>
      <c r="J60" s="95">
        <f>クリーチャー_3!D5</f>
        <v>0</v>
      </c>
      <c r="K60" s="145"/>
      <c r="L60" s="146"/>
      <c r="M60" s="97" t="s">
        <v>661</v>
      </c>
      <c r="N60" s="95" t="s">
        <v>647</v>
      </c>
      <c r="O60" s="95"/>
      <c r="IL60" s="99"/>
      <c r="IM60" s="1"/>
      <c r="IN60" s="1"/>
      <c r="IO60" s="1"/>
      <c r="IP60" s="1"/>
      <c r="IQ60" s="1"/>
      <c r="IR60" s="1"/>
      <c r="IS60" s="1"/>
      <c r="IT60" s="1"/>
    </row>
    <row r="61" spans="1:254" s="1" customFormat="1" ht="12" hidden="1" customHeight="1" thickBot="1" x14ac:dyDescent="0.2">
      <c r="A61" s="22" t="s">
        <v>293</v>
      </c>
      <c r="B61" s="147">
        <f>クリーチャー_3!C14+クリーチャー_3!D14</f>
        <v>0</v>
      </c>
      <c r="C61" s="23" t="s">
        <v>444</v>
      </c>
      <c r="D61" s="148">
        <f>クリーチャー_3!C15+クリーチャー_3!D15</f>
        <v>0</v>
      </c>
      <c r="E61" s="29"/>
      <c r="F61" s="29"/>
      <c r="G61" s="23" t="s">
        <v>437</v>
      </c>
      <c r="H61" s="30" t="str">
        <f>クリーチャー_3!B19&amp;"D6+"&amp;クリーチャー_3!C19+クリーチャー_3!D19</f>
        <v>0D6+0</v>
      </c>
      <c r="I61" s="23" t="s">
        <v>667</v>
      </c>
      <c r="J61" s="147" t="e">
        <f>クリーチャー!#REF!</f>
        <v>#REF!</v>
      </c>
      <c r="K61" s="23" t="s">
        <v>449</v>
      </c>
      <c r="L61" s="149" t="e">
        <f>クリーチャー!#REF!</f>
        <v>#REF!</v>
      </c>
    </row>
    <row r="62" spans="1:254" ht="14.1" hidden="1" customHeight="1" x14ac:dyDescent="0.15"/>
    <row r="63" spans="1:254" ht="14.1" customHeight="1" thickBot="1" x14ac:dyDescent="0.2"/>
    <row r="64" spans="1:254" s="84" customFormat="1" ht="12.95" customHeight="1" thickBot="1" x14ac:dyDescent="0.2">
      <c r="A64" s="961" t="s">
        <v>435</v>
      </c>
      <c r="B64" s="961"/>
      <c r="C64" s="961"/>
      <c r="D64" s="961"/>
      <c r="E64" s="962" t="s">
        <v>453</v>
      </c>
      <c r="F64" s="962"/>
      <c r="G64" s="959" t="s">
        <v>1</v>
      </c>
      <c r="H64" s="959"/>
      <c r="I64" s="959" t="s">
        <v>308</v>
      </c>
      <c r="J64" s="959"/>
      <c r="K64" s="959"/>
      <c r="L64" s="959"/>
      <c r="M64" s="960" t="s">
        <v>646</v>
      </c>
      <c r="N64" s="951" t="s">
        <v>647</v>
      </c>
      <c r="O64" s="951" t="s">
        <v>688</v>
      </c>
      <c r="P64" s="951"/>
      <c r="Q64" s="951"/>
      <c r="R64" s="951"/>
      <c r="S64" s="951"/>
      <c r="T64" s="951"/>
      <c r="U64" s="951"/>
      <c r="V64" s="951"/>
      <c r="W64" s="951"/>
      <c r="X64" s="951"/>
      <c r="Y64" s="951"/>
      <c r="Z64" s="951"/>
      <c r="AA64" s="951"/>
      <c r="AB64" s="951"/>
      <c r="AC64" s="951"/>
      <c r="AD64" s="951"/>
      <c r="AE64" s="951"/>
      <c r="AF64" s="951"/>
      <c r="AG64" s="951"/>
      <c r="AH64" s="951"/>
      <c r="AI64" s="951"/>
      <c r="AJ64" s="951"/>
      <c r="AK64" s="951"/>
      <c r="AL64" s="951"/>
      <c r="AM64" s="951"/>
      <c r="AN64" s="951"/>
      <c r="AO64" s="951"/>
      <c r="AP64" s="951"/>
      <c r="AQ64" s="951"/>
      <c r="AR64" s="951"/>
      <c r="AS64" s="951"/>
      <c r="AT64" s="951"/>
      <c r="AU64" s="951"/>
      <c r="AV64" s="951"/>
      <c r="AW64" s="951"/>
      <c r="AX64" s="951"/>
      <c r="AY64" s="951"/>
      <c r="AZ64" s="951"/>
      <c r="BA64" s="951"/>
      <c r="BB64" s="951"/>
      <c r="BC64" s="951"/>
      <c r="BD64" s="951"/>
      <c r="BE64" s="951"/>
      <c r="BF64" s="951"/>
      <c r="BG64" s="951"/>
      <c r="BH64" s="951"/>
      <c r="BI64" s="951"/>
      <c r="BJ64" s="951"/>
      <c r="BK64" s="951"/>
      <c r="BL64" s="951"/>
      <c r="BM64" s="951"/>
      <c r="BN64" s="951"/>
      <c r="BO64" s="951"/>
      <c r="BP64" s="951"/>
      <c r="BQ64" s="951"/>
      <c r="BR64" s="951"/>
      <c r="BS64" s="951"/>
      <c r="BT64" s="951"/>
      <c r="BU64" s="951"/>
      <c r="BV64" s="951"/>
      <c r="BW64" s="951"/>
      <c r="BX64" s="951"/>
      <c r="BY64" s="951"/>
      <c r="BZ64" s="951"/>
      <c r="CA64" s="951"/>
      <c r="CB64" s="951"/>
      <c r="CC64" s="951"/>
      <c r="CD64" s="951"/>
      <c r="CE64" s="951"/>
      <c r="CF64" s="951"/>
      <c r="CG64" s="951"/>
      <c r="CH64" s="951"/>
      <c r="CI64" s="951"/>
      <c r="CJ64" s="951"/>
      <c r="CK64" s="951"/>
      <c r="CL64" s="951"/>
      <c r="CM64" s="951"/>
      <c r="CN64" s="951"/>
      <c r="CO64" s="951"/>
      <c r="CP64" s="951"/>
      <c r="CQ64" s="951"/>
      <c r="CR64" s="951"/>
      <c r="CS64" s="951"/>
      <c r="CT64" s="951"/>
      <c r="CU64" s="951"/>
      <c r="CV64" s="951"/>
      <c r="CW64" s="951"/>
      <c r="CX64" s="951"/>
      <c r="CY64" s="951"/>
      <c r="CZ64" s="951"/>
      <c r="DA64" s="951"/>
      <c r="DB64" s="951"/>
      <c r="DC64" s="951"/>
      <c r="DD64" s="951"/>
      <c r="DE64" s="951"/>
      <c r="DF64" s="951"/>
      <c r="DG64" s="951"/>
      <c r="DH64" s="951"/>
      <c r="DI64" s="951"/>
      <c r="DJ64" s="951"/>
      <c r="DK64" s="951"/>
      <c r="DL64" s="951"/>
      <c r="DM64" s="951"/>
      <c r="DN64" s="951"/>
      <c r="DO64" s="951"/>
      <c r="DP64" s="951"/>
      <c r="DQ64" s="951"/>
      <c r="DR64" s="951"/>
      <c r="DS64" s="951"/>
      <c r="DT64" s="951"/>
      <c r="DU64" s="951"/>
      <c r="DV64" s="951"/>
      <c r="DW64" s="951"/>
      <c r="DX64" s="951"/>
      <c r="DY64" s="951"/>
      <c r="DZ64" s="951"/>
      <c r="EA64" s="951"/>
      <c r="EB64" s="951"/>
      <c r="EC64" s="951"/>
      <c r="ED64" s="951"/>
      <c r="EE64" s="951"/>
      <c r="EF64" s="951"/>
      <c r="EG64" s="951"/>
      <c r="EH64" s="951"/>
      <c r="EI64" s="951"/>
      <c r="EJ64" s="951"/>
      <c r="EK64" s="951"/>
      <c r="EL64" s="951"/>
      <c r="EM64" s="951"/>
      <c r="EN64" s="951"/>
      <c r="EO64" s="951"/>
      <c r="EP64" s="951"/>
      <c r="EQ64" s="951"/>
      <c r="ER64" s="951"/>
      <c r="ES64" s="951"/>
      <c r="ET64" s="951"/>
      <c r="EU64" s="951"/>
      <c r="EV64" s="951"/>
      <c r="EW64" s="951"/>
      <c r="EX64" s="951"/>
      <c r="EY64" s="951"/>
      <c r="EZ64" s="951"/>
      <c r="FA64" s="951"/>
      <c r="FB64" s="951"/>
      <c r="FC64" s="951"/>
      <c r="FD64" s="951"/>
      <c r="FE64" s="951"/>
      <c r="FF64" s="951"/>
      <c r="FG64" s="951"/>
      <c r="FH64" s="951"/>
      <c r="FI64" s="951"/>
      <c r="FJ64" s="951"/>
      <c r="FK64" s="951"/>
      <c r="FL64" s="951"/>
      <c r="FM64" s="951"/>
      <c r="FN64" s="951"/>
      <c r="FO64" s="951"/>
      <c r="FP64" s="951"/>
      <c r="FQ64" s="951"/>
      <c r="FR64" s="951"/>
      <c r="FS64" s="951"/>
      <c r="FT64" s="951"/>
      <c r="FU64" s="951"/>
      <c r="FV64" s="951"/>
      <c r="FW64" s="951"/>
      <c r="FX64" s="951"/>
      <c r="FY64" s="951"/>
      <c r="FZ64" s="951"/>
      <c r="GA64" s="951"/>
      <c r="GB64" s="951"/>
      <c r="GC64" s="951"/>
      <c r="GD64" s="951"/>
      <c r="GE64" s="951"/>
      <c r="GF64" s="951"/>
      <c r="GG64" s="951"/>
      <c r="GH64" s="951"/>
      <c r="GI64" s="951"/>
      <c r="GJ64" s="951"/>
      <c r="GK64" s="951"/>
      <c r="GL64" s="951"/>
      <c r="GM64" s="951"/>
      <c r="GN64" s="951"/>
      <c r="GO64" s="951"/>
      <c r="GP64" s="951"/>
      <c r="GQ64" s="951"/>
      <c r="GR64" s="951"/>
      <c r="GS64" s="951"/>
      <c r="GT64" s="951"/>
      <c r="GU64" s="951"/>
      <c r="GV64" s="951"/>
      <c r="GW64" s="951"/>
      <c r="GX64" s="951"/>
      <c r="GY64" s="951"/>
      <c r="GZ64" s="951"/>
      <c r="HA64" s="951"/>
      <c r="HB64" s="951"/>
      <c r="HC64" s="951"/>
      <c r="HD64" s="951"/>
      <c r="HE64" s="951"/>
      <c r="HF64" s="951"/>
      <c r="HG64" s="951"/>
      <c r="HH64" s="951"/>
      <c r="HI64" s="951"/>
      <c r="HJ64" s="951"/>
      <c r="HK64" s="951"/>
      <c r="HL64" s="951"/>
      <c r="HM64" s="951"/>
      <c r="HN64" s="951"/>
      <c r="HO64" s="951"/>
      <c r="HP64" s="951"/>
      <c r="HQ64" s="951"/>
      <c r="HR64" s="951"/>
      <c r="HS64" s="951"/>
      <c r="HT64" s="951"/>
      <c r="HU64" s="951"/>
      <c r="HV64" s="951"/>
      <c r="HW64" s="951"/>
      <c r="HX64" s="951"/>
      <c r="HY64" s="951"/>
      <c r="HZ64" s="951"/>
      <c r="IA64" s="951"/>
      <c r="IB64" s="951"/>
      <c r="IC64" s="951"/>
      <c r="ID64" s="951"/>
      <c r="IE64" s="951"/>
      <c r="IF64" s="951"/>
      <c r="IG64" s="951"/>
      <c r="IH64" s="951"/>
      <c r="II64" s="951"/>
      <c r="IJ64" s="951"/>
      <c r="IK64" s="951"/>
      <c r="IL64" s="950"/>
      <c r="IM64" s="1"/>
      <c r="IN64" s="1"/>
      <c r="IO64" s="1"/>
      <c r="IP64" s="1"/>
      <c r="IQ64" s="1"/>
      <c r="IR64" s="1"/>
      <c r="IS64" s="1"/>
      <c r="IT64" s="1"/>
    </row>
    <row r="65" spans="1:254" s="84" customFormat="1" ht="12.95" customHeight="1" thickBot="1" x14ac:dyDescent="0.2">
      <c r="A65" s="952"/>
      <c r="B65" s="952"/>
      <c r="C65" s="952"/>
      <c r="D65" s="952"/>
      <c r="E65" s="953"/>
      <c r="F65" s="953"/>
      <c r="G65" s="940" t="s">
        <v>18</v>
      </c>
      <c r="H65" s="940"/>
      <c r="I65" s="954" t="s">
        <v>292</v>
      </c>
      <c r="J65" s="954"/>
      <c r="K65" s="955" t="s">
        <v>292</v>
      </c>
      <c r="L65" s="955"/>
      <c r="M65" s="960"/>
      <c r="N65" s="951"/>
      <c r="O65" s="951"/>
      <c r="P65" s="951"/>
      <c r="Q65" s="951"/>
      <c r="R65" s="951"/>
      <c r="S65" s="951"/>
      <c r="T65" s="951"/>
      <c r="U65" s="951"/>
      <c r="V65" s="951"/>
      <c r="W65" s="951"/>
      <c r="X65" s="951"/>
      <c r="Y65" s="951"/>
      <c r="Z65" s="951"/>
      <c r="AA65" s="951"/>
      <c r="AB65" s="951"/>
      <c r="AC65" s="951"/>
      <c r="AD65" s="951"/>
      <c r="AE65" s="951"/>
      <c r="AF65" s="951"/>
      <c r="AG65" s="951"/>
      <c r="AH65" s="951"/>
      <c r="AI65" s="951"/>
      <c r="AJ65" s="951"/>
      <c r="AK65" s="951"/>
      <c r="AL65" s="951"/>
      <c r="AM65" s="951"/>
      <c r="AN65" s="951"/>
      <c r="AO65" s="951"/>
      <c r="AP65" s="951"/>
      <c r="AQ65" s="951"/>
      <c r="AR65" s="951"/>
      <c r="AS65" s="951"/>
      <c r="AT65" s="951"/>
      <c r="AU65" s="951"/>
      <c r="AV65" s="951"/>
      <c r="AW65" s="951"/>
      <c r="AX65" s="951"/>
      <c r="AY65" s="951"/>
      <c r="AZ65" s="951"/>
      <c r="BA65" s="951"/>
      <c r="BB65" s="951"/>
      <c r="BC65" s="951"/>
      <c r="BD65" s="951"/>
      <c r="BE65" s="951"/>
      <c r="BF65" s="951"/>
      <c r="BG65" s="951"/>
      <c r="BH65" s="951"/>
      <c r="BI65" s="951"/>
      <c r="BJ65" s="951"/>
      <c r="BK65" s="951"/>
      <c r="BL65" s="951"/>
      <c r="BM65" s="951"/>
      <c r="BN65" s="951"/>
      <c r="BO65" s="951"/>
      <c r="BP65" s="951"/>
      <c r="BQ65" s="951"/>
      <c r="BR65" s="951"/>
      <c r="BS65" s="951"/>
      <c r="BT65" s="951"/>
      <c r="BU65" s="951"/>
      <c r="BV65" s="951"/>
      <c r="BW65" s="951"/>
      <c r="BX65" s="951"/>
      <c r="BY65" s="951"/>
      <c r="BZ65" s="951"/>
      <c r="CA65" s="951"/>
      <c r="CB65" s="951"/>
      <c r="CC65" s="951"/>
      <c r="CD65" s="951"/>
      <c r="CE65" s="951"/>
      <c r="CF65" s="951"/>
      <c r="CG65" s="951"/>
      <c r="CH65" s="951"/>
      <c r="CI65" s="951"/>
      <c r="CJ65" s="951"/>
      <c r="CK65" s="951"/>
      <c r="CL65" s="951"/>
      <c r="CM65" s="951"/>
      <c r="CN65" s="951"/>
      <c r="CO65" s="951"/>
      <c r="CP65" s="951"/>
      <c r="CQ65" s="951"/>
      <c r="CR65" s="951"/>
      <c r="CS65" s="951"/>
      <c r="CT65" s="951"/>
      <c r="CU65" s="951"/>
      <c r="CV65" s="951"/>
      <c r="CW65" s="951"/>
      <c r="CX65" s="951"/>
      <c r="CY65" s="951"/>
      <c r="CZ65" s="951"/>
      <c r="DA65" s="951"/>
      <c r="DB65" s="951"/>
      <c r="DC65" s="951"/>
      <c r="DD65" s="951"/>
      <c r="DE65" s="951"/>
      <c r="DF65" s="951"/>
      <c r="DG65" s="951"/>
      <c r="DH65" s="951"/>
      <c r="DI65" s="951"/>
      <c r="DJ65" s="951"/>
      <c r="DK65" s="951"/>
      <c r="DL65" s="951"/>
      <c r="DM65" s="951"/>
      <c r="DN65" s="951"/>
      <c r="DO65" s="951"/>
      <c r="DP65" s="951"/>
      <c r="DQ65" s="951"/>
      <c r="DR65" s="951"/>
      <c r="DS65" s="951"/>
      <c r="DT65" s="951"/>
      <c r="DU65" s="951"/>
      <c r="DV65" s="951"/>
      <c r="DW65" s="951"/>
      <c r="DX65" s="951"/>
      <c r="DY65" s="951"/>
      <c r="DZ65" s="951"/>
      <c r="EA65" s="951"/>
      <c r="EB65" s="951"/>
      <c r="EC65" s="951"/>
      <c r="ED65" s="951"/>
      <c r="EE65" s="951"/>
      <c r="EF65" s="951"/>
      <c r="EG65" s="951"/>
      <c r="EH65" s="951"/>
      <c r="EI65" s="951"/>
      <c r="EJ65" s="951"/>
      <c r="EK65" s="951"/>
      <c r="EL65" s="951"/>
      <c r="EM65" s="951"/>
      <c r="EN65" s="951"/>
      <c r="EO65" s="951"/>
      <c r="EP65" s="951"/>
      <c r="EQ65" s="951"/>
      <c r="ER65" s="951"/>
      <c r="ES65" s="951"/>
      <c r="ET65" s="951"/>
      <c r="EU65" s="951"/>
      <c r="EV65" s="951"/>
      <c r="EW65" s="951"/>
      <c r="EX65" s="951"/>
      <c r="EY65" s="951"/>
      <c r="EZ65" s="951"/>
      <c r="FA65" s="951"/>
      <c r="FB65" s="951"/>
      <c r="FC65" s="951"/>
      <c r="FD65" s="951"/>
      <c r="FE65" s="951"/>
      <c r="FF65" s="951"/>
      <c r="FG65" s="951"/>
      <c r="FH65" s="951"/>
      <c r="FI65" s="951"/>
      <c r="FJ65" s="951"/>
      <c r="FK65" s="951"/>
      <c r="FL65" s="951"/>
      <c r="FM65" s="951"/>
      <c r="FN65" s="951"/>
      <c r="FO65" s="951"/>
      <c r="FP65" s="951"/>
      <c r="FQ65" s="951"/>
      <c r="FR65" s="951"/>
      <c r="FS65" s="951"/>
      <c r="FT65" s="951"/>
      <c r="FU65" s="951"/>
      <c r="FV65" s="951"/>
      <c r="FW65" s="951"/>
      <c r="FX65" s="951"/>
      <c r="FY65" s="951"/>
      <c r="FZ65" s="951"/>
      <c r="GA65" s="951"/>
      <c r="GB65" s="951"/>
      <c r="GC65" s="951"/>
      <c r="GD65" s="951"/>
      <c r="GE65" s="951"/>
      <c r="GF65" s="951"/>
      <c r="GG65" s="951"/>
      <c r="GH65" s="951"/>
      <c r="GI65" s="951"/>
      <c r="GJ65" s="951"/>
      <c r="GK65" s="951"/>
      <c r="GL65" s="951"/>
      <c r="GM65" s="951"/>
      <c r="GN65" s="951"/>
      <c r="GO65" s="951"/>
      <c r="GP65" s="951"/>
      <c r="GQ65" s="951"/>
      <c r="GR65" s="951"/>
      <c r="GS65" s="951"/>
      <c r="GT65" s="951"/>
      <c r="GU65" s="951"/>
      <c r="GV65" s="951"/>
      <c r="GW65" s="951"/>
      <c r="GX65" s="951"/>
      <c r="GY65" s="951"/>
      <c r="GZ65" s="951"/>
      <c r="HA65" s="951"/>
      <c r="HB65" s="951"/>
      <c r="HC65" s="951"/>
      <c r="HD65" s="951"/>
      <c r="HE65" s="951"/>
      <c r="HF65" s="951"/>
      <c r="HG65" s="951"/>
      <c r="HH65" s="951"/>
      <c r="HI65" s="951"/>
      <c r="HJ65" s="951"/>
      <c r="HK65" s="951"/>
      <c r="HL65" s="951"/>
      <c r="HM65" s="951"/>
      <c r="HN65" s="951"/>
      <c r="HO65" s="951"/>
      <c r="HP65" s="951"/>
      <c r="HQ65" s="951"/>
      <c r="HR65" s="951"/>
      <c r="HS65" s="951"/>
      <c r="HT65" s="951"/>
      <c r="HU65" s="951"/>
      <c r="HV65" s="951"/>
      <c r="HW65" s="951"/>
      <c r="HX65" s="951"/>
      <c r="HY65" s="951"/>
      <c r="HZ65" s="951"/>
      <c r="IA65" s="951"/>
      <c r="IB65" s="951"/>
      <c r="IC65" s="951"/>
      <c r="ID65" s="951"/>
      <c r="IE65" s="951"/>
      <c r="IF65" s="951"/>
      <c r="IG65" s="951"/>
      <c r="IH65" s="951"/>
      <c r="II65" s="951"/>
      <c r="IJ65" s="951"/>
      <c r="IK65" s="951"/>
      <c r="IL65" s="951"/>
      <c r="IM65" s="1"/>
      <c r="IN65" s="1"/>
      <c r="IO65" s="1"/>
      <c r="IP65" s="1"/>
      <c r="IQ65" s="1"/>
      <c r="IR65" s="1"/>
      <c r="IS65" s="1"/>
      <c r="IT65" s="1"/>
    </row>
    <row r="66" spans="1:254" s="84" customFormat="1" ht="12.95" customHeight="1" thickBot="1" x14ac:dyDescent="0.2">
      <c r="A66" s="956" t="s">
        <v>653</v>
      </c>
      <c r="B66" s="956"/>
      <c r="C66" s="957" t="s">
        <v>441</v>
      </c>
      <c r="D66" s="957"/>
      <c r="E66" s="958" t="s">
        <v>513</v>
      </c>
      <c r="F66" s="958"/>
      <c r="G66" s="946" t="s">
        <v>4</v>
      </c>
      <c r="H66" s="946"/>
      <c r="I66" s="947" t="s">
        <v>654</v>
      </c>
      <c r="J66" s="947"/>
      <c r="K66" s="948" t="s">
        <v>655</v>
      </c>
      <c r="L66" s="948"/>
      <c r="M66" s="960"/>
      <c r="N66" s="951"/>
      <c r="O66" s="951"/>
      <c r="P66" s="951"/>
      <c r="Q66" s="951"/>
      <c r="R66" s="951"/>
      <c r="S66" s="951"/>
      <c r="T66" s="951"/>
      <c r="U66" s="951"/>
      <c r="V66" s="951"/>
      <c r="W66" s="951"/>
      <c r="X66" s="951"/>
      <c r="Y66" s="951"/>
      <c r="Z66" s="951"/>
      <c r="AA66" s="951"/>
      <c r="AB66" s="951"/>
      <c r="AC66" s="951"/>
      <c r="AD66" s="951"/>
      <c r="AE66" s="951"/>
      <c r="AF66" s="951"/>
      <c r="AG66" s="951"/>
      <c r="AH66" s="951"/>
      <c r="AI66" s="951"/>
      <c r="AJ66" s="951"/>
      <c r="AK66" s="951"/>
      <c r="AL66" s="951"/>
      <c r="AM66" s="951"/>
      <c r="AN66" s="951"/>
      <c r="AO66" s="951"/>
      <c r="AP66" s="951"/>
      <c r="AQ66" s="951"/>
      <c r="AR66" s="951"/>
      <c r="AS66" s="951"/>
      <c r="AT66" s="951"/>
      <c r="AU66" s="951"/>
      <c r="AV66" s="951"/>
      <c r="AW66" s="951"/>
      <c r="AX66" s="951"/>
      <c r="AY66" s="951"/>
      <c r="AZ66" s="951"/>
      <c r="BA66" s="951"/>
      <c r="BB66" s="951"/>
      <c r="BC66" s="951"/>
      <c r="BD66" s="951"/>
      <c r="BE66" s="951"/>
      <c r="BF66" s="951"/>
      <c r="BG66" s="951"/>
      <c r="BH66" s="951"/>
      <c r="BI66" s="951"/>
      <c r="BJ66" s="951"/>
      <c r="BK66" s="951"/>
      <c r="BL66" s="951"/>
      <c r="BM66" s="951"/>
      <c r="BN66" s="951"/>
      <c r="BO66" s="951"/>
      <c r="BP66" s="951"/>
      <c r="BQ66" s="951"/>
      <c r="BR66" s="951"/>
      <c r="BS66" s="951"/>
      <c r="BT66" s="951"/>
      <c r="BU66" s="951"/>
      <c r="BV66" s="951"/>
      <c r="BW66" s="951"/>
      <c r="BX66" s="951"/>
      <c r="BY66" s="951"/>
      <c r="BZ66" s="951"/>
      <c r="CA66" s="951"/>
      <c r="CB66" s="951"/>
      <c r="CC66" s="951"/>
      <c r="CD66" s="951"/>
      <c r="CE66" s="951"/>
      <c r="CF66" s="951"/>
      <c r="CG66" s="951"/>
      <c r="CH66" s="951"/>
      <c r="CI66" s="951"/>
      <c r="CJ66" s="951"/>
      <c r="CK66" s="951"/>
      <c r="CL66" s="951"/>
      <c r="CM66" s="951"/>
      <c r="CN66" s="951"/>
      <c r="CO66" s="951"/>
      <c r="CP66" s="951"/>
      <c r="CQ66" s="951"/>
      <c r="CR66" s="951"/>
      <c r="CS66" s="951"/>
      <c r="CT66" s="951"/>
      <c r="CU66" s="951"/>
      <c r="CV66" s="951"/>
      <c r="CW66" s="951"/>
      <c r="CX66" s="951"/>
      <c r="CY66" s="951"/>
      <c r="CZ66" s="951"/>
      <c r="DA66" s="951"/>
      <c r="DB66" s="951"/>
      <c r="DC66" s="951"/>
      <c r="DD66" s="951"/>
      <c r="DE66" s="951"/>
      <c r="DF66" s="951"/>
      <c r="DG66" s="951"/>
      <c r="DH66" s="951"/>
      <c r="DI66" s="951"/>
      <c r="DJ66" s="951"/>
      <c r="DK66" s="951"/>
      <c r="DL66" s="951"/>
      <c r="DM66" s="951"/>
      <c r="DN66" s="951"/>
      <c r="DO66" s="951"/>
      <c r="DP66" s="951"/>
      <c r="DQ66" s="951"/>
      <c r="DR66" s="951"/>
      <c r="DS66" s="951"/>
      <c r="DT66" s="951"/>
      <c r="DU66" s="951"/>
      <c r="DV66" s="951"/>
      <c r="DW66" s="951"/>
      <c r="DX66" s="951"/>
      <c r="DY66" s="951"/>
      <c r="DZ66" s="951"/>
      <c r="EA66" s="951"/>
      <c r="EB66" s="951"/>
      <c r="EC66" s="951"/>
      <c r="ED66" s="951"/>
      <c r="EE66" s="951"/>
      <c r="EF66" s="951"/>
      <c r="EG66" s="951"/>
      <c r="EH66" s="951"/>
      <c r="EI66" s="951"/>
      <c r="EJ66" s="951"/>
      <c r="EK66" s="951"/>
      <c r="EL66" s="951"/>
      <c r="EM66" s="951"/>
      <c r="EN66" s="951"/>
      <c r="EO66" s="951"/>
      <c r="EP66" s="951"/>
      <c r="EQ66" s="951"/>
      <c r="ER66" s="951"/>
      <c r="ES66" s="951"/>
      <c r="ET66" s="951"/>
      <c r="EU66" s="951"/>
      <c r="EV66" s="951"/>
      <c r="EW66" s="951"/>
      <c r="EX66" s="951"/>
      <c r="EY66" s="951"/>
      <c r="EZ66" s="951"/>
      <c r="FA66" s="951"/>
      <c r="FB66" s="951"/>
      <c r="FC66" s="951"/>
      <c r="FD66" s="951"/>
      <c r="FE66" s="951"/>
      <c r="FF66" s="951"/>
      <c r="FG66" s="951"/>
      <c r="FH66" s="951"/>
      <c r="FI66" s="951"/>
      <c r="FJ66" s="951"/>
      <c r="FK66" s="951"/>
      <c r="FL66" s="951"/>
      <c r="FM66" s="951"/>
      <c r="FN66" s="951"/>
      <c r="FO66" s="951"/>
      <c r="FP66" s="951"/>
      <c r="FQ66" s="951"/>
      <c r="FR66" s="951"/>
      <c r="FS66" s="951"/>
      <c r="FT66" s="951"/>
      <c r="FU66" s="951"/>
      <c r="FV66" s="951"/>
      <c r="FW66" s="951"/>
      <c r="FX66" s="951"/>
      <c r="FY66" s="951"/>
      <c r="FZ66" s="951"/>
      <c r="GA66" s="951"/>
      <c r="GB66" s="951"/>
      <c r="GC66" s="951"/>
      <c r="GD66" s="951"/>
      <c r="GE66" s="951"/>
      <c r="GF66" s="951"/>
      <c r="GG66" s="951"/>
      <c r="GH66" s="951"/>
      <c r="GI66" s="951"/>
      <c r="GJ66" s="951"/>
      <c r="GK66" s="951"/>
      <c r="GL66" s="951"/>
      <c r="GM66" s="951"/>
      <c r="GN66" s="951"/>
      <c r="GO66" s="951"/>
      <c r="GP66" s="951"/>
      <c r="GQ66" s="951"/>
      <c r="GR66" s="951"/>
      <c r="GS66" s="951"/>
      <c r="GT66" s="951"/>
      <c r="GU66" s="951"/>
      <c r="GV66" s="951"/>
      <c r="GW66" s="951"/>
      <c r="GX66" s="951"/>
      <c r="GY66" s="951"/>
      <c r="GZ66" s="951"/>
      <c r="HA66" s="951"/>
      <c r="HB66" s="951"/>
      <c r="HC66" s="951"/>
      <c r="HD66" s="951"/>
      <c r="HE66" s="951"/>
      <c r="HF66" s="951"/>
      <c r="HG66" s="951"/>
      <c r="HH66" s="951"/>
      <c r="HI66" s="951"/>
      <c r="HJ66" s="951"/>
      <c r="HK66" s="951"/>
      <c r="HL66" s="951"/>
      <c r="HM66" s="951"/>
      <c r="HN66" s="951"/>
      <c r="HO66" s="951"/>
      <c r="HP66" s="951"/>
      <c r="HQ66" s="951"/>
      <c r="HR66" s="951"/>
      <c r="HS66" s="951"/>
      <c r="HT66" s="951"/>
      <c r="HU66" s="951"/>
      <c r="HV66" s="951"/>
      <c r="HW66" s="951"/>
      <c r="HX66" s="951"/>
      <c r="HY66" s="951"/>
      <c r="HZ66" s="951"/>
      <c r="IA66" s="951"/>
      <c r="IB66" s="951"/>
      <c r="IC66" s="951"/>
      <c r="ID66" s="951"/>
      <c r="IE66" s="951"/>
      <c r="IF66" s="951"/>
      <c r="IG66" s="951"/>
      <c r="IH66" s="951"/>
      <c r="II66" s="951"/>
      <c r="IJ66" s="951"/>
      <c r="IK66" s="951"/>
      <c r="IL66" s="951"/>
      <c r="IM66" s="1"/>
      <c r="IN66" s="1"/>
      <c r="IO66" s="1"/>
      <c r="IP66" s="1"/>
      <c r="IQ66" s="1"/>
      <c r="IR66" s="1"/>
      <c r="IS66" s="1"/>
      <c r="IT66" s="1"/>
    </row>
    <row r="67" spans="1:254" s="84" customFormat="1" ht="12.95" customHeight="1" thickBot="1" x14ac:dyDescent="0.2">
      <c r="A67" s="85">
        <f>B67+SUM(O71:IL71)</f>
        <v>0</v>
      </c>
      <c r="B67" s="9">
        <f>J71+L71</f>
        <v>0</v>
      </c>
      <c r="C67" s="86">
        <f>D67-SUM(O72:IL72)+SUM(O73:IL73)</f>
        <v>0</v>
      </c>
      <c r="D67" s="10">
        <f>J73+L73</f>
        <v>0</v>
      </c>
      <c r="E67" s="11">
        <f>J74+L74</f>
        <v>0</v>
      </c>
      <c r="F67" s="12">
        <f>E67+SUM(O74:IL74)</f>
        <v>0</v>
      </c>
      <c r="G67" s="940" t="s">
        <v>18</v>
      </c>
      <c r="H67" s="940"/>
      <c r="I67" s="941" t="s">
        <v>18</v>
      </c>
      <c r="J67" s="941"/>
      <c r="K67" s="942" t="s">
        <v>18</v>
      </c>
      <c r="L67" s="942"/>
      <c r="M67" s="960"/>
      <c r="N67" s="960"/>
      <c r="O67" s="951"/>
      <c r="P67" s="951"/>
      <c r="Q67" s="951"/>
      <c r="R67" s="951"/>
      <c r="S67" s="951"/>
      <c r="T67" s="951"/>
      <c r="U67" s="951"/>
      <c r="V67" s="951"/>
      <c r="W67" s="951"/>
      <c r="X67" s="951"/>
      <c r="Y67" s="951"/>
      <c r="Z67" s="951"/>
      <c r="AA67" s="951"/>
      <c r="AB67" s="951"/>
      <c r="AC67" s="951"/>
      <c r="AD67" s="951"/>
      <c r="AE67" s="951"/>
      <c r="AF67" s="951"/>
      <c r="AG67" s="951"/>
      <c r="AH67" s="951"/>
      <c r="AI67" s="951"/>
      <c r="AJ67" s="951"/>
      <c r="AK67" s="951"/>
      <c r="AL67" s="951"/>
      <c r="AM67" s="951"/>
      <c r="AN67" s="951"/>
      <c r="AO67" s="951"/>
      <c r="AP67" s="951"/>
      <c r="AQ67" s="951"/>
      <c r="AR67" s="951"/>
      <c r="AS67" s="951"/>
      <c r="AT67" s="951"/>
      <c r="AU67" s="951"/>
      <c r="AV67" s="951"/>
      <c r="AW67" s="951"/>
      <c r="AX67" s="951"/>
      <c r="AY67" s="951"/>
      <c r="AZ67" s="951"/>
      <c r="BA67" s="951"/>
      <c r="BB67" s="951"/>
      <c r="BC67" s="951"/>
      <c r="BD67" s="951"/>
      <c r="BE67" s="951"/>
      <c r="BF67" s="951"/>
      <c r="BG67" s="951"/>
      <c r="BH67" s="951"/>
      <c r="BI67" s="951"/>
      <c r="BJ67" s="951"/>
      <c r="BK67" s="951"/>
      <c r="BL67" s="951"/>
      <c r="BM67" s="951"/>
      <c r="BN67" s="951"/>
      <c r="BO67" s="951"/>
      <c r="BP67" s="951"/>
      <c r="BQ67" s="951"/>
      <c r="BR67" s="951"/>
      <c r="BS67" s="951"/>
      <c r="BT67" s="951"/>
      <c r="BU67" s="951"/>
      <c r="BV67" s="951"/>
      <c r="BW67" s="951"/>
      <c r="BX67" s="951"/>
      <c r="BY67" s="951"/>
      <c r="BZ67" s="951"/>
      <c r="CA67" s="951"/>
      <c r="CB67" s="951"/>
      <c r="CC67" s="951"/>
      <c r="CD67" s="951"/>
      <c r="CE67" s="951"/>
      <c r="CF67" s="951"/>
      <c r="CG67" s="951"/>
      <c r="CH67" s="951"/>
      <c r="CI67" s="951"/>
      <c r="CJ67" s="951"/>
      <c r="CK67" s="951"/>
      <c r="CL67" s="951"/>
      <c r="CM67" s="951"/>
      <c r="CN67" s="951"/>
      <c r="CO67" s="951"/>
      <c r="CP67" s="951"/>
      <c r="CQ67" s="951"/>
      <c r="CR67" s="951"/>
      <c r="CS67" s="951"/>
      <c r="CT67" s="951"/>
      <c r="CU67" s="951"/>
      <c r="CV67" s="951"/>
      <c r="CW67" s="951"/>
      <c r="CX67" s="951"/>
      <c r="CY67" s="951"/>
      <c r="CZ67" s="951"/>
      <c r="DA67" s="951"/>
      <c r="DB67" s="951"/>
      <c r="DC67" s="951"/>
      <c r="DD67" s="951"/>
      <c r="DE67" s="951"/>
      <c r="DF67" s="951"/>
      <c r="DG67" s="951"/>
      <c r="DH67" s="951"/>
      <c r="DI67" s="951"/>
      <c r="DJ67" s="951"/>
      <c r="DK67" s="951"/>
      <c r="DL67" s="951"/>
      <c r="DM67" s="951"/>
      <c r="DN67" s="951"/>
      <c r="DO67" s="951"/>
      <c r="DP67" s="951"/>
      <c r="DQ67" s="951"/>
      <c r="DR67" s="951"/>
      <c r="DS67" s="951"/>
      <c r="DT67" s="951"/>
      <c r="DU67" s="951"/>
      <c r="DV67" s="951"/>
      <c r="DW67" s="951"/>
      <c r="DX67" s="951"/>
      <c r="DY67" s="951"/>
      <c r="DZ67" s="951"/>
      <c r="EA67" s="951"/>
      <c r="EB67" s="951"/>
      <c r="EC67" s="951"/>
      <c r="ED67" s="951"/>
      <c r="EE67" s="951"/>
      <c r="EF67" s="951"/>
      <c r="EG67" s="951"/>
      <c r="EH67" s="951"/>
      <c r="EI67" s="951"/>
      <c r="EJ67" s="951"/>
      <c r="EK67" s="951"/>
      <c r="EL67" s="951"/>
      <c r="EM67" s="951"/>
      <c r="EN67" s="951"/>
      <c r="EO67" s="951"/>
      <c r="EP67" s="951"/>
      <c r="EQ67" s="951"/>
      <c r="ER67" s="951"/>
      <c r="ES67" s="951"/>
      <c r="ET67" s="951"/>
      <c r="EU67" s="951"/>
      <c r="EV67" s="951"/>
      <c r="EW67" s="951"/>
      <c r="EX67" s="951"/>
      <c r="EY67" s="951"/>
      <c r="EZ67" s="951"/>
      <c r="FA67" s="951"/>
      <c r="FB67" s="951"/>
      <c r="FC67" s="951"/>
      <c r="FD67" s="951"/>
      <c r="FE67" s="951"/>
      <c r="FF67" s="951"/>
      <c r="FG67" s="951"/>
      <c r="FH67" s="951"/>
      <c r="FI67" s="951"/>
      <c r="FJ67" s="951"/>
      <c r="FK67" s="951"/>
      <c r="FL67" s="951"/>
      <c r="FM67" s="951"/>
      <c r="FN67" s="951"/>
      <c r="FO67" s="951"/>
      <c r="FP67" s="951"/>
      <c r="FQ67" s="951"/>
      <c r="FR67" s="951"/>
      <c r="FS67" s="951"/>
      <c r="FT67" s="951"/>
      <c r="FU67" s="951"/>
      <c r="FV67" s="951"/>
      <c r="FW67" s="951"/>
      <c r="FX67" s="951"/>
      <c r="FY67" s="951"/>
      <c r="FZ67" s="951"/>
      <c r="GA67" s="951"/>
      <c r="GB67" s="951"/>
      <c r="GC67" s="951"/>
      <c r="GD67" s="951"/>
      <c r="GE67" s="951"/>
      <c r="GF67" s="951"/>
      <c r="GG67" s="951"/>
      <c r="GH67" s="951"/>
      <c r="GI67" s="951"/>
      <c r="GJ67" s="951"/>
      <c r="GK67" s="951"/>
      <c r="GL67" s="951"/>
      <c r="GM67" s="951"/>
      <c r="GN67" s="951"/>
      <c r="GO67" s="951"/>
      <c r="GP67" s="951"/>
      <c r="GQ67" s="951"/>
      <c r="GR67" s="951"/>
      <c r="GS67" s="951"/>
      <c r="GT67" s="951"/>
      <c r="GU67" s="951"/>
      <c r="GV67" s="951"/>
      <c r="GW67" s="951"/>
      <c r="GX67" s="951"/>
      <c r="GY67" s="951"/>
      <c r="GZ67" s="951"/>
      <c r="HA67" s="951"/>
      <c r="HB67" s="951"/>
      <c r="HC67" s="951"/>
      <c r="HD67" s="951"/>
      <c r="HE67" s="951"/>
      <c r="HF67" s="951"/>
      <c r="HG67" s="951"/>
      <c r="HH67" s="951"/>
      <c r="HI67" s="951"/>
      <c r="HJ67" s="951"/>
      <c r="HK67" s="951"/>
      <c r="HL67" s="951"/>
      <c r="HM67" s="951"/>
      <c r="HN67" s="951"/>
      <c r="HO67" s="951"/>
      <c r="HP67" s="951"/>
      <c r="HQ67" s="951"/>
      <c r="HR67" s="951"/>
      <c r="HS67" s="951"/>
      <c r="HT67" s="951"/>
      <c r="HU67" s="951"/>
      <c r="HV67" s="951"/>
      <c r="HW67" s="951"/>
      <c r="HX67" s="951"/>
      <c r="HY67" s="951"/>
      <c r="HZ67" s="951"/>
      <c r="IA67" s="951"/>
      <c r="IB67" s="951"/>
      <c r="IC67" s="951"/>
      <c r="ID67" s="951"/>
      <c r="IE67" s="951"/>
      <c r="IF67" s="951"/>
      <c r="IG67" s="951"/>
      <c r="IH67" s="951"/>
      <c r="II67" s="951"/>
      <c r="IJ67" s="951"/>
      <c r="IK67" s="951"/>
      <c r="IL67" s="951"/>
      <c r="IM67" s="1"/>
      <c r="IN67" s="1"/>
      <c r="IO67" s="1"/>
      <c r="IP67" s="1"/>
      <c r="IQ67" s="1"/>
      <c r="IR67" s="1"/>
      <c r="IS67" s="1"/>
      <c r="IT67" s="1"/>
    </row>
    <row r="68" spans="1:254" s="84" customFormat="1" ht="12" customHeight="1" thickBot="1" x14ac:dyDescent="0.2">
      <c r="A68" s="943" t="s">
        <v>447</v>
      </c>
      <c r="B68" s="944"/>
      <c r="C68" s="87" t="s">
        <v>656</v>
      </c>
      <c r="D68" s="88" t="s">
        <v>657</v>
      </c>
      <c r="E68" s="945" t="str">
        <f>IF(F67&lt;100,IF(F67&lt;50,"通常状態",IF(F67&lt;60,"暴走Lv1 ",IF(F67&lt;70,"暴走Lv2",IF(F67&lt;80,"暴走Lv3",IF(F67&lt;90,"暴走Lv4","暴走Lv5"))))),IF(F67&lt;110,"臨界Lv1",IF(F67&lt;120,"臨界Lv2",IF(F67&lt;130,"臨界Lv3",IF(F67&lt;140,"臨界Lv4",IF(F67&lt;150,"臨界Lv5",IF(F67&lt;150,"活性Lv5","因子崩壊")))))))</f>
        <v>通常状態</v>
      </c>
      <c r="F68" s="945"/>
      <c r="G68" s="946" t="s">
        <v>15</v>
      </c>
      <c r="H68" s="946"/>
      <c r="I68" s="947" t="s">
        <v>467</v>
      </c>
      <c r="J68" s="947"/>
      <c r="K68" s="948" t="s">
        <v>658</v>
      </c>
      <c r="L68" s="948"/>
      <c r="M68" s="960"/>
      <c r="N68" s="960"/>
      <c r="O68" s="951"/>
      <c r="P68" s="951"/>
      <c r="Q68" s="951"/>
      <c r="R68" s="951"/>
      <c r="S68" s="951"/>
      <c r="T68" s="951"/>
      <c r="U68" s="951"/>
      <c r="V68" s="951"/>
      <c r="W68" s="951"/>
      <c r="X68" s="951"/>
      <c r="Y68" s="951"/>
      <c r="Z68" s="951"/>
      <c r="AA68" s="951"/>
      <c r="AB68" s="951"/>
      <c r="AC68" s="951"/>
      <c r="AD68" s="951"/>
      <c r="AE68" s="951"/>
      <c r="AF68" s="951"/>
      <c r="AG68" s="951"/>
      <c r="AH68" s="951"/>
      <c r="AI68" s="951"/>
      <c r="AJ68" s="951"/>
      <c r="AK68" s="951"/>
      <c r="AL68" s="951"/>
      <c r="AM68" s="951"/>
      <c r="AN68" s="951"/>
      <c r="AO68" s="951"/>
      <c r="AP68" s="951"/>
      <c r="AQ68" s="951"/>
      <c r="AR68" s="951"/>
      <c r="AS68" s="951"/>
      <c r="AT68" s="951"/>
      <c r="AU68" s="951"/>
      <c r="AV68" s="951"/>
      <c r="AW68" s="951"/>
      <c r="AX68" s="951"/>
      <c r="AY68" s="951"/>
      <c r="AZ68" s="951"/>
      <c r="BA68" s="951"/>
      <c r="BB68" s="951"/>
      <c r="BC68" s="951"/>
      <c r="BD68" s="951"/>
      <c r="BE68" s="951"/>
      <c r="BF68" s="951"/>
      <c r="BG68" s="951"/>
      <c r="BH68" s="951"/>
      <c r="BI68" s="951"/>
      <c r="BJ68" s="951"/>
      <c r="BK68" s="951"/>
      <c r="BL68" s="951"/>
      <c r="BM68" s="951"/>
      <c r="BN68" s="951"/>
      <c r="BO68" s="951"/>
      <c r="BP68" s="951"/>
      <c r="BQ68" s="951"/>
      <c r="BR68" s="951"/>
      <c r="BS68" s="951"/>
      <c r="BT68" s="951"/>
      <c r="BU68" s="951"/>
      <c r="BV68" s="951"/>
      <c r="BW68" s="951"/>
      <c r="BX68" s="951"/>
      <c r="BY68" s="951"/>
      <c r="BZ68" s="951"/>
      <c r="CA68" s="951"/>
      <c r="CB68" s="951"/>
      <c r="CC68" s="951"/>
      <c r="CD68" s="951"/>
      <c r="CE68" s="951"/>
      <c r="CF68" s="951"/>
      <c r="CG68" s="951"/>
      <c r="CH68" s="951"/>
      <c r="CI68" s="951"/>
      <c r="CJ68" s="951"/>
      <c r="CK68" s="951"/>
      <c r="CL68" s="951"/>
      <c r="CM68" s="951"/>
      <c r="CN68" s="951"/>
      <c r="CO68" s="951"/>
      <c r="CP68" s="951"/>
      <c r="CQ68" s="951"/>
      <c r="CR68" s="951"/>
      <c r="CS68" s="951"/>
      <c r="CT68" s="951"/>
      <c r="CU68" s="951"/>
      <c r="CV68" s="951"/>
      <c r="CW68" s="951"/>
      <c r="CX68" s="951"/>
      <c r="CY68" s="951"/>
      <c r="CZ68" s="951"/>
      <c r="DA68" s="951"/>
      <c r="DB68" s="951"/>
      <c r="DC68" s="951"/>
      <c r="DD68" s="951"/>
      <c r="DE68" s="951"/>
      <c r="DF68" s="951"/>
      <c r="DG68" s="951"/>
      <c r="DH68" s="951"/>
      <c r="DI68" s="951"/>
      <c r="DJ68" s="951"/>
      <c r="DK68" s="951"/>
      <c r="DL68" s="951"/>
      <c r="DM68" s="951"/>
      <c r="DN68" s="951"/>
      <c r="DO68" s="951"/>
      <c r="DP68" s="951"/>
      <c r="DQ68" s="951"/>
      <c r="DR68" s="951"/>
      <c r="DS68" s="951"/>
      <c r="DT68" s="951"/>
      <c r="DU68" s="951"/>
      <c r="DV68" s="951"/>
      <c r="DW68" s="951"/>
      <c r="DX68" s="951"/>
      <c r="DY68" s="951"/>
      <c r="DZ68" s="951"/>
      <c r="EA68" s="951"/>
      <c r="EB68" s="951"/>
      <c r="EC68" s="951"/>
      <c r="ED68" s="951"/>
      <c r="EE68" s="951"/>
      <c r="EF68" s="951"/>
      <c r="EG68" s="951"/>
      <c r="EH68" s="951"/>
      <c r="EI68" s="951"/>
      <c r="EJ68" s="951"/>
      <c r="EK68" s="951"/>
      <c r="EL68" s="951"/>
      <c r="EM68" s="951"/>
      <c r="EN68" s="951"/>
      <c r="EO68" s="951"/>
      <c r="EP68" s="951"/>
      <c r="EQ68" s="951"/>
      <c r="ER68" s="951"/>
      <c r="ES68" s="951"/>
      <c r="ET68" s="951"/>
      <c r="EU68" s="951"/>
      <c r="EV68" s="951"/>
      <c r="EW68" s="951"/>
      <c r="EX68" s="951"/>
      <c r="EY68" s="951"/>
      <c r="EZ68" s="951"/>
      <c r="FA68" s="951"/>
      <c r="FB68" s="951"/>
      <c r="FC68" s="951"/>
      <c r="FD68" s="951"/>
      <c r="FE68" s="951"/>
      <c r="FF68" s="951"/>
      <c r="FG68" s="951"/>
      <c r="FH68" s="951"/>
      <c r="FI68" s="951"/>
      <c r="FJ68" s="951"/>
      <c r="FK68" s="951"/>
      <c r="FL68" s="951"/>
      <c r="FM68" s="951"/>
      <c r="FN68" s="951"/>
      <c r="FO68" s="951"/>
      <c r="FP68" s="951"/>
      <c r="FQ68" s="951"/>
      <c r="FR68" s="951"/>
      <c r="FS68" s="951"/>
      <c r="FT68" s="951"/>
      <c r="FU68" s="951"/>
      <c r="FV68" s="951"/>
      <c r="FW68" s="951"/>
      <c r="FX68" s="951"/>
      <c r="FY68" s="951"/>
      <c r="FZ68" s="951"/>
      <c r="GA68" s="951"/>
      <c r="GB68" s="951"/>
      <c r="GC68" s="951"/>
      <c r="GD68" s="951"/>
      <c r="GE68" s="951"/>
      <c r="GF68" s="951"/>
      <c r="GG68" s="951"/>
      <c r="GH68" s="951"/>
      <c r="GI68" s="951"/>
      <c r="GJ68" s="951"/>
      <c r="GK68" s="951"/>
      <c r="GL68" s="951"/>
      <c r="GM68" s="951"/>
      <c r="GN68" s="951"/>
      <c r="GO68" s="951"/>
      <c r="GP68" s="951"/>
      <c r="GQ68" s="951"/>
      <c r="GR68" s="951"/>
      <c r="GS68" s="951"/>
      <c r="GT68" s="951"/>
      <c r="GU68" s="951"/>
      <c r="GV68" s="951"/>
      <c r="GW68" s="951"/>
      <c r="GX68" s="951"/>
      <c r="GY68" s="951"/>
      <c r="GZ68" s="951"/>
      <c r="HA68" s="951"/>
      <c r="HB68" s="951"/>
      <c r="HC68" s="951"/>
      <c r="HD68" s="951"/>
      <c r="HE68" s="951"/>
      <c r="HF68" s="951"/>
      <c r="HG68" s="951"/>
      <c r="HH68" s="951"/>
      <c r="HI68" s="951"/>
      <c r="HJ68" s="951"/>
      <c r="HK68" s="951"/>
      <c r="HL68" s="951"/>
      <c r="HM68" s="951"/>
      <c r="HN68" s="951"/>
      <c r="HO68" s="951"/>
      <c r="HP68" s="951"/>
      <c r="HQ68" s="951"/>
      <c r="HR68" s="951"/>
      <c r="HS68" s="951"/>
      <c r="HT68" s="951"/>
      <c r="HU68" s="951"/>
      <c r="HV68" s="951"/>
      <c r="HW68" s="951"/>
      <c r="HX68" s="951"/>
      <c r="HY68" s="951"/>
      <c r="HZ68" s="951"/>
      <c r="IA68" s="951"/>
      <c r="IB68" s="951"/>
      <c r="IC68" s="951"/>
      <c r="ID68" s="951"/>
      <c r="IE68" s="951"/>
      <c r="IF68" s="951"/>
      <c r="IG68" s="951"/>
      <c r="IH68" s="951"/>
      <c r="II68" s="951"/>
      <c r="IJ68" s="951"/>
      <c r="IK68" s="951"/>
      <c r="IL68" s="951"/>
      <c r="IM68" s="1"/>
      <c r="IN68" s="1"/>
      <c r="IO68" s="1"/>
      <c r="IP68" s="1"/>
      <c r="IQ68" s="1"/>
      <c r="IR68" s="1"/>
      <c r="IS68" s="1"/>
      <c r="IT68" s="1"/>
    </row>
    <row r="69" spans="1:254" s="84" customFormat="1" ht="12.95" customHeight="1" thickBot="1" x14ac:dyDescent="0.2">
      <c r="A69" s="943"/>
      <c r="B69" s="944"/>
      <c r="C69" s="89">
        <f>SUM(L72:IQ72)</f>
        <v>0</v>
      </c>
      <c r="D69" s="13">
        <f>ROUNDDOWN((C69/5),0)+SUM(I70:IL70)</f>
        <v>0</v>
      </c>
      <c r="E69" s="949" t="str">
        <f>IF(F67&lt;50,"未活性",IF(F67&lt;60,"活性Lv1",IF(F67&lt;70,"活性Lv2",IF(F67&lt;80,"活性Lv3",IF(F67&lt;90,"活性Lv4",IF(F67&lt;100,"活性Lv5",IF(F67&lt;150,"活性Lv5","強制キャラロスト")))))))</f>
        <v>未活性</v>
      </c>
      <c r="F69" s="949"/>
      <c r="G69" s="932" t="s">
        <v>18</v>
      </c>
      <c r="H69" s="932"/>
      <c r="I69" s="933" t="s">
        <v>18</v>
      </c>
      <c r="J69" s="933"/>
      <c r="K69" s="934" t="str">
        <f>IF(OR(A67&lt;=B67/2,F67&gt;=90),IF(F67&gt;=120,"オーバーフロー","発動中"),"-")</f>
        <v>発動中</v>
      </c>
      <c r="L69" s="934"/>
      <c r="M69" s="960"/>
      <c r="N69" s="960"/>
      <c r="O69" s="951"/>
      <c r="P69" s="951"/>
      <c r="Q69" s="951"/>
      <c r="R69" s="951"/>
      <c r="S69" s="951"/>
      <c r="T69" s="951"/>
      <c r="U69" s="951"/>
      <c r="V69" s="951"/>
      <c r="W69" s="951"/>
      <c r="X69" s="951"/>
      <c r="Y69" s="951"/>
      <c r="Z69" s="951"/>
      <c r="AA69" s="951"/>
      <c r="AB69" s="951"/>
      <c r="AC69" s="951"/>
      <c r="AD69" s="951"/>
      <c r="AE69" s="951"/>
      <c r="AF69" s="951"/>
      <c r="AG69" s="951"/>
      <c r="AH69" s="951"/>
      <c r="AI69" s="951"/>
      <c r="AJ69" s="951"/>
      <c r="AK69" s="951"/>
      <c r="AL69" s="951"/>
      <c r="AM69" s="951"/>
      <c r="AN69" s="951"/>
      <c r="AO69" s="951"/>
      <c r="AP69" s="951"/>
      <c r="AQ69" s="951"/>
      <c r="AR69" s="951"/>
      <c r="AS69" s="951"/>
      <c r="AT69" s="951"/>
      <c r="AU69" s="951"/>
      <c r="AV69" s="951"/>
      <c r="AW69" s="951"/>
      <c r="AX69" s="951"/>
      <c r="AY69" s="951"/>
      <c r="AZ69" s="951"/>
      <c r="BA69" s="951"/>
      <c r="BB69" s="951"/>
      <c r="BC69" s="951"/>
      <c r="BD69" s="951"/>
      <c r="BE69" s="951"/>
      <c r="BF69" s="951"/>
      <c r="BG69" s="951"/>
      <c r="BH69" s="951"/>
      <c r="BI69" s="951"/>
      <c r="BJ69" s="951"/>
      <c r="BK69" s="951"/>
      <c r="BL69" s="951"/>
      <c r="BM69" s="951"/>
      <c r="BN69" s="951"/>
      <c r="BO69" s="951"/>
      <c r="BP69" s="951"/>
      <c r="BQ69" s="951"/>
      <c r="BR69" s="951"/>
      <c r="BS69" s="951"/>
      <c r="BT69" s="951"/>
      <c r="BU69" s="951"/>
      <c r="BV69" s="951"/>
      <c r="BW69" s="951"/>
      <c r="BX69" s="951"/>
      <c r="BY69" s="951"/>
      <c r="BZ69" s="951"/>
      <c r="CA69" s="951"/>
      <c r="CB69" s="951"/>
      <c r="CC69" s="951"/>
      <c r="CD69" s="951"/>
      <c r="CE69" s="951"/>
      <c r="CF69" s="951"/>
      <c r="CG69" s="951"/>
      <c r="CH69" s="951"/>
      <c r="CI69" s="951"/>
      <c r="CJ69" s="951"/>
      <c r="CK69" s="951"/>
      <c r="CL69" s="951"/>
      <c r="CM69" s="951"/>
      <c r="CN69" s="951"/>
      <c r="CO69" s="951"/>
      <c r="CP69" s="951"/>
      <c r="CQ69" s="951"/>
      <c r="CR69" s="951"/>
      <c r="CS69" s="951"/>
      <c r="CT69" s="951"/>
      <c r="CU69" s="951"/>
      <c r="CV69" s="951"/>
      <c r="CW69" s="951"/>
      <c r="CX69" s="951"/>
      <c r="CY69" s="951"/>
      <c r="CZ69" s="951"/>
      <c r="DA69" s="951"/>
      <c r="DB69" s="951"/>
      <c r="DC69" s="951"/>
      <c r="DD69" s="951"/>
      <c r="DE69" s="951"/>
      <c r="DF69" s="951"/>
      <c r="DG69" s="951"/>
      <c r="DH69" s="951"/>
      <c r="DI69" s="951"/>
      <c r="DJ69" s="951"/>
      <c r="DK69" s="951"/>
      <c r="DL69" s="951"/>
      <c r="DM69" s="951"/>
      <c r="DN69" s="951"/>
      <c r="DO69" s="951"/>
      <c r="DP69" s="951"/>
      <c r="DQ69" s="951"/>
      <c r="DR69" s="951"/>
      <c r="DS69" s="951"/>
      <c r="DT69" s="951"/>
      <c r="DU69" s="951"/>
      <c r="DV69" s="951"/>
      <c r="DW69" s="951"/>
      <c r="DX69" s="951"/>
      <c r="DY69" s="951"/>
      <c r="DZ69" s="951"/>
      <c r="EA69" s="951"/>
      <c r="EB69" s="951"/>
      <c r="EC69" s="951"/>
      <c r="ED69" s="951"/>
      <c r="EE69" s="951"/>
      <c r="EF69" s="951"/>
      <c r="EG69" s="951"/>
      <c r="EH69" s="951"/>
      <c r="EI69" s="951"/>
      <c r="EJ69" s="951"/>
      <c r="EK69" s="951"/>
      <c r="EL69" s="951"/>
      <c r="EM69" s="951"/>
      <c r="EN69" s="951"/>
      <c r="EO69" s="951"/>
      <c r="EP69" s="951"/>
      <c r="EQ69" s="951"/>
      <c r="ER69" s="951"/>
      <c r="ES69" s="951"/>
      <c r="ET69" s="951"/>
      <c r="EU69" s="951"/>
      <c r="EV69" s="951"/>
      <c r="EW69" s="951"/>
      <c r="EX69" s="951"/>
      <c r="EY69" s="951"/>
      <c r="EZ69" s="951"/>
      <c r="FA69" s="951"/>
      <c r="FB69" s="951"/>
      <c r="FC69" s="951"/>
      <c r="FD69" s="951"/>
      <c r="FE69" s="951"/>
      <c r="FF69" s="951"/>
      <c r="FG69" s="951"/>
      <c r="FH69" s="951"/>
      <c r="FI69" s="951"/>
      <c r="FJ69" s="951"/>
      <c r="FK69" s="951"/>
      <c r="FL69" s="951"/>
      <c r="FM69" s="951"/>
      <c r="FN69" s="951"/>
      <c r="FO69" s="951"/>
      <c r="FP69" s="951"/>
      <c r="FQ69" s="951"/>
      <c r="FR69" s="951"/>
      <c r="FS69" s="951"/>
      <c r="FT69" s="951"/>
      <c r="FU69" s="951"/>
      <c r="FV69" s="951"/>
      <c r="FW69" s="951"/>
      <c r="FX69" s="951"/>
      <c r="FY69" s="951"/>
      <c r="FZ69" s="951"/>
      <c r="GA69" s="951"/>
      <c r="GB69" s="951"/>
      <c r="GC69" s="951"/>
      <c r="GD69" s="951"/>
      <c r="GE69" s="951"/>
      <c r="GF69" s="951"/>
      <c r="GG69" s="951"/>
      <c r="GH69" s="951"/>
      <c r="GI69" s="951"/>
      <c r="GJ69" s="951"/>
      <c r="GK69" s="951"/>
      <c r="GL69" s="951"/>
      <c r="GM69" s="951"/>
      <c r="GN69" s="951"/>
      <c r="GO69" s="951"/>
      <c r="GP69" s="951"/>
      <c r="GQ69" s="951"/>
      <c r="GR69" s="951"/>
      <c r="GS69" s="951"/>
      <c r="GT69" s="951"/>
      <c r="GU69" s="951"/>
      <c r="GV69" s="951"/>
      <c r="GW69" s="951"/>
      <c r="GX69" s="951"/>
      <c r="GY69" s="951"/>
      <c r="GZ69" s="951"/>
      <c r="HA69" s="951"/>
      <c r="HB69" s="951"/>
      <c r="HC69" s="951"/>
      <c r="HD69" s="951"/>
      <c r="HE69" s="951"/>
      <c r="HF69" s="951"/>
      <c r="HG69" s="951"/>
      <c r="HH69" s="951"/>
      <c r="HI69" s="951"/>
      <c r="HJ69" s="951"/>
      <c r="HK69" s="951"/>
      <c r="HL69" s="951"/>
      <c r="HM69" s="951"/>
      <c r="HN69" s="951"/>
      <c r="HO69" s="951"/>
      <c r="HP69" s="951"/>
      <c r="HQ69" s="951"/>
      <c r="HR69" s="951"/>
      <c r="HS69" s="951"/>
      <c r="HT69" s="951"/>
      <c r="HU69" s="951"/>
      <c r="HV69" s="951"/>
      <c r="HW69" s="951"/>
      <c r="HX69" s="951"/>
      <c r="HY69" s="951"/>
      <c r="HZ69" s="951"/>
      <c r="IA69" s="951"/>
      <c r="IB69" s="951"/>
      <c r="IC69" s="951"/>
      <c r="ID69" s="951"/>
      <c r="IE69" s="951"/>
      <c r="IF69" s="951"/>
      <c r="IG69" s="951"/>
      <c r="IH69" s="951"/>
      <c r="II69" s="951"/>
      <c r="IJ69" s="951"/>
      <c r="IK69" s="951"/>
      <c r="IL69" s="951"/>
      <c r="IM69" s="1"/>
      <c r="IN69" s="1"/>
      <c r="IO69" s="1"/>
      <c r="IP69" s="1"/>
      <c r="IQ69" s="1"/>
      <c r="IR69" s="1"/>
      <c r="IS69" s="1"/>
      <c r="IT69" s="1"/>
    </row>
    <row r="70" spans="1:254" s="92" customFormat="1" ht="12.95" customHeight="1" thickBot="1" x14ac:dyDescent="0.2">
      <c r="A70" s="90" t="s">
        <v>439</v>
      </c>
      <c r="B70" s="41"/>
      <c r="C70" s="935" t="str">
        <f>IF(G65="反応型",IF(50&gt;F67,"+0",IF(60&gt;F67,"+1",IF(70&gt;F67,"+2",IF(F67&gt;=70,"+3")))),"活性補正")</f>
        <v>活性補正</v>
      </c>
      <c r="D70" s="46" t="s">
        <v>440</v>
      </c>
      <c r="E70" s="42"/>
      <c r="F70" s="936" t="str">
        <f>IF(G65="増強型",IF(50&gt;F67,"+0",IF(60&gt;F67,"+1",IF(70&gt;F67,"+2",IF(F67&gt;=70,"+3")))),"活性補正")</f>
        <v>活性補正</v>
      </c>
      <c r="G70" s="937" t="s">
        <v>659</v>
      </c>
      <c r="H70" s="937"/>
      <c r="I70" s="938" t="s">
        <v>660</v>
      </c>
      <c r="J70" s="938"/>
      <c r="K70" s="938"/>
      <c r="L70" s="938"/>
      <c r="M70" s="91" t="s">
        <v>661</v>
      </c>
      <c r="N70" s="92" t="s">
        <v>647</v>
      </c>
      <c r="O70" s="92">
        <v>0</v>
      </c>
      <c r="IL70" s="93"/>
      <c r="IM70" s="1"/>
      <c r="IN70" s="1"/>
      <c r="IO70" s="1"/>
      <c r="IP70" s="1"/>
      <c r="IQ70" s="1"/>
      <c r="IR70" s="1"/>
      <c r="IS70" s="1"/>
      <c r="IT70" s="1"/>
    </row>
    <row r="71" spans="1:254" s="98" customFormat="1" ht="12.95" customHeight="1" thickBot="1" x14ac:dyDescent="0.2">
      <c r="A71" s="21" t="s">
        <v>442</v>
      </c>
      <c r="B71" s="43"/>
      <c r="C71" s="935"/>
      <c r="D71" s="20" t="s">
        <v>443</v>
      </c>
      <c r="E71" s="44"/>
      <c r="F71" s="936"/>
      <c r="G71" s="939" t="s">
        <v>662</v>
      </c>
      <c r="H71" s="939"/>
      <c r="I71" s="94" t="s">
        <v>663</v>
      </c>
      <c r="J71" s="95"/>
      <c r="K71" s="95" t="s">
        <v>664</v>
      </c>
      <c r="L71" s="96"/>
      <c r="M71" s="97" t="s">
        <v>661</v>
      </c>
      <c r="N71" s="95" t="s">
        <v>647</v>
      </c>
      <c r="O71" s="95"/>
      <c r="IL71" s="99"/>
      <c r="IM71" s="1"/>
      <c r="IN71" s="1"/>
      <c r="IO71" s="1"/>
      <c r="IP71" s="1"/>
      <c r="IQ71" s="1"/>
      <c r="IR71" s="1"/>
      <c r="IS71" s="1"/>
      <c r="IT71" s="1"/>
    </row>
    <row r="72" spans="1:254" s="105" customFormat="1" ht="12" customHeight="1" x14ac:dyDescent="0.15">
      <c r="A72" s="21" t="s">
        <v>445</v>
      </c>
      <c r="B72" s="43"/>
      <c r="C72" s="935"/>
      <c r="D72" s="20" t="s">
        <v>446</v>
      </c>
      <c r="E72" s="44"/>
      <c r="F72" s="936"/>
      <c r="G72" s="930" t="s">
        <v>665</v>
      </c>
      <c r="H72" s="930"/>
      <c r="I72" s="100"/>
      <c r="J72" s="101"/>
      <c r="K72" s="101"/>
      <c r="L72" s="102"/>
      <c r="M72" s="103" t="s">
        <v>666</v>
      </c>
      <c r="N72" s="104" t="s">
        <v>647</v>
      </c>
      <c r="O72" s="104"/>
      <c r="IL72" s="106"/>
      <c r="IM72" s="1"/>
      <c r="IN72" s="1"/>
      <c r="IO72" s="1"/>
      <c r="IP72" s="1"/>
      <c r="IQ72" s="1"/>
      <c r="IR72" s="1"/>
      <c r="IS72" s="1"/>
      <c r="IT72" s="1"/>
    </row>
    <row r="73" spans="1:254" s="105" customFormat="1" ht="12.95" customHeight="1" x14ac:dyDescent="0.15">
      <c r="A73" s="21" t="s">
        <v>293</v>
      </c>
      <c r="B73" s="150"/>
      <c r="C73" s="929" t="str">
        <f>IF(G65="増強型",IF(50&gt;F67,"+0",IF(60&gt;F67,"+1",IF(70&gt;F67,"+2",IF(F67&gt;=70,"+3")))),"活性補正")</f>
        <v>活性補正</v>
      </c>
      <c r="D73" s="20" t="s">
        <v>667</v>
      </c>
      <c r="E73" s="150"/>
      <c r="F73" s="18"/>
      <c r="G73" s="930" t="s">
        <v>668</v>
      </c>
      <c r="H73" s="930"/>
      <c r="I73" s="107" t="s">
        <v>669</v>
      </c>
      <c r="J73" s="104"/>
      <c r="K73" s="104" t="s">
        <v>670</v>
      </c>
      <c r="L73" s="108"/>
      <c r="M73" s="103" t="s">
        <v>666</v>
      </c>
      <c r="N73" s="104" t="s">
        <v>647</v>
      </c>
      <c r="O73" s="104"/>
      <c r="IL73" s="106"/>
      <c r="IM73" s="1"/>
      <c r="IN73" s="1"/>
      <c r="IO73" s="1"/>
      <c r="IP73" s="1"/>
      <c r="IQ73" s="1"/>
      <c r="IR73" s="1"/>
      <c r="IS73" s="1"/>
      <c r="IT73" s="1"/>
    </row>
    <row r="74" spans="1:254" s="153" customFormat="1" ht="12.95" customHeight="1" thickBot="1" x14ac:dyDescent="0.2">
      <c r="A74" s="21" t="s">
        <v>444</v>
      </c>
      <c r="B74" s="150"/>
      <c r="C74" s="929"/>
      <c r="D74" s="20" t="s">
        <v>449</v>
      </c>
      <c r="E74" s="150"/>
      <c r="F74" s="109" t="str">
        <f>IF(G65="覚醒型",IF(50&gt;F67,"+0",IF(60&gt;F67,"+1",IF(70&gt;F67,"+2",IF(F67&gt;=70,"+3")))),"活性補正")</f>
        <v>活性補正</v>
      </c>
      <c r="G74" s="931" t="s">
        <v>671</v>
      </c>
      <c r="H74" s="931"/>
      <c r="I74" s="110" t="s">
        <v>672</v>
      </c>
      <c r="J74" s="111"/>
      <c r="K74" s="111" t="s">
        <v>673</v>
      </c>
      <c r="L74" s="112">
        <f>L73</f>
        <v>0</v>
      </c>
      <c r="M74" s="151" t="s">
        <v>661</v>
      </c>
      <c r="N74" s="152" t="s">
        <v>647</v>
      </c>
      <c r="O74" s="152">
        <v>0</v>
      </c>
      <c r="IL74" s="154"/>
      <c r="IM74" s="1"/>
      <c r="IN74" s="1"/>
      <c r="IO74" s="1"/>
      <c r="IP74" s="1"/>
      <c r="IQ74" s="1"/>
      <c r="IR74" s="1"/>
      <c r="IS74" s="1"/>
      <c r="IT74" s="1"/>
    </row>
    <row r="75" spans="1:254" s="1" customFormat="1" ht="12" customHeight="1" x14ac:dyDescent="0.15">
      <c r="A75" s="45" t="s">
        <v>33</v>
      </c>
      <c r="B75" s="155"/>
      <c r="C75" s="45" t="s">
        <v>125</v>
      </c>
      <c r="D75" s="155"/>
      <c r="E75" s="46" t="s">
        <v>185</v>
      </c>
      <c r="F75" s="155"/>
      <c r="G75" s="46" t="s">
        <v>240</v>
      </c>
      <c r="H75" s="155"/>
      <c r="I75" s="46" t="s">
        <v>283</v>
      </c>
      <c r="J75" s="155"/>
      <c r="K75" s="46" t="s">
        <v>324</v>
      </c>
      <c r="L75" s="156"/>
    </row>
    <row r="76" spans="1:254" s="1" customFormat="1" ht="12" customHeight="1" thickBot="1" x14ac:dyDescent="0.2">
      <c r="A76" s="47" t="s">
        <v>87</v>
      </c>
      <c r="B76" s="157"/>
      <c r="C76" s="47" t="s">
        <v>154</v>
      </c>
      <c r="D76" s="157"/>
      <c r="E76" s="23" t="s">
        <v>213</v>
      </c>
      <c r="F76" s="157"/>
      <c r="G76" s="23" t="s">
        <v>264</v>
      </c>
      <c r="H76" s="157"/>
      <c r="I76" s="23" t="s">
        <v>302</v>
      </c>
      <c r="J76" s="157"/>
      <c r="K76" s="23" t="s">
        <v>248</v>
      </c>
      <c r="L76" s="158"/>
    </row>
    <row r="78" spans="1:254" s="84" customFormat="1" ht="12.95" customHeight="1" thickBot="1" x14ac:dyDescent="0.2">
      <c r="A78" s="961" t="s">
        <v>435</v>
      </c>
      <c r="B78" s="961"/>
      <c r="C78" s="961"/>
      <c r="D78" s="961"/>
      <c r="E78" s="962" t="s">
        <v>453</v>
      </c>
      <c r="F78" s="962"/>
      <c r="G78" s="959" t="s">
        <v>1</v>
      </c>
      <c r="H78" s="959"/>
      <c r="I78" s="959" t="s">
        <v>308</v>
      </c>
      <c r="J78" s="959"/>
      <c r="K78" s="959"/>
      <c r="L78" s="959"/>
      <c r="M78" s="960" t="s">
        <v>646</v>
      </c>
      <c r="N78" s="951" t="s">
        <v>647</v>
      </c>
      <c r="O78" s="951" t="s">
        <v>688</v>
      </c>
      <c r="P78" s="951"/>
      <c r="Q78" s="951"/>
      <c r="R78" s="951"/>
      <c r="S78" s="951"/>
      <c r="T78" s="951"/>
      <c r="U78" s="951"/>
      <c r="V78" s="951"/>
      <c r="W78" s="951"/>
      <c r="X78" s="951"/>
      <c r="Y78" s="951"/>
      <c r="Z78" s="951"/>
      <c r="AA78" s="951"/>
      <c r="AB78" s="951"/>
      <c r="AC78" s="951"/>
      <c r="AD78" s="951"/>
      <c r="AE78" s="951"/>
      <c r="AF78" s="951"/>
      <c r="AG78" s="951"/>
      <c r="AH78" s="951"/>
      <c r="AI78" s="951"/>
      <c r="AJ78" s="951"/>
      <c r="AK78" s="951"/>
      <c r="AL78" s="951"/>
      <c r="AM78" s="951"/>
      <c r="AN78" s="951"/>
      <c r="AO78" s="951"/>
      <c r="AP78" s="951"/>
      <c r="AQ78" s="951"/>
      <c r="AR78" s="951"/>
      <c r="AS78" s="951"/>
      <c r="AT78" s="951"/>
      <c r="AU78" s="951"/>
      <c r="AV78" s="951"/>
      <c r="AW78" s="951"/>
      <c r="AX78" s="951"/>
      <c r="AY78" s="951"/>
      <c r="AZ78" s="951"/>
      <c r="BA78" s="951"/>
      <c r="BB78" s="951"/>
      <c r="BC78" s="951"/>
      <c r="BD78" s="951"/>
      <c r="BE78" s="951"/>
      <c r="BF78" s="951"/>
      <c r="BG78" s="951"/>
      <c r="BH78" s="951"/>
      <c r="BI78" s="951"/>
      <c r="BJ78" s="951"/>
      <c r="BK78" s="951"/>
      <c r="BL78" s="951"/>
      <c r="BM78" s="951"/>
      <c r="BN78" s="951"/>
      <c r="BO78" s="951"/>
      <c r="BP78" s="951"/>
      <c r="BQ78" s="951"/>
      <c r="BR78" s="951"/>
      <c r="BS78" s="951"/>
      <c r="BT78" s="951"/>
      <c r="BU78" s="951"/>
      <c r="BV78" s="951"/>
      <c r="BW78" s="951"/>
      <c r="BX78" s="951"/>
      <c r="BY78" s="951"/>
      <c r="BZ78" s="951"/>
      <c r="CA78" s="951"/>
      <c r="CB78" s="951"/>
      <c r="CC78" s="951"/>
      <c r="CD78" s="951"/>
      <c r="CE78" s="951"/>
      <c r="CF78" s="951"/>
      <c r="CG78" s="951"/>
      <c r="CH78" s="951"/>
      <c r="CI78" s="951"/>
      <c r="CJ78" s="951"/>
      <c r="CK78" s="951"/>
      <c r="CL78" s="951"/>
      <c r="CM78" s="951"/>
      <c r="CN78" s="951"/>
      <c r="CO78" s="951"/>
      <c r="CP78" s="951"/>
      <c r="CQ78" s="951"/>
      <c r="CR78" s="951"/>
      <c r="CS78" s="951"/>
      <c r="CT78" s="951"/>
      <c r="CU78" s="951"/>
      <c r="CV78" s="951"/>
      <c r="CW78" s="951"/>
      <c r="CX78" s="951"/>
      <c r="CY78" s="951"/>
      <c r="CZ78" s="951"/>
      <c r="DA78" s="951"/>
      <c r="DB78" s="951"/>
      <c r="DC78" s="951"/>
      <c r="DD78" s="951"/>
      <c r="DE78" s="951"/>
      <c r="DF78" s="951"/>
      <c r="DG78" s="951"/>
      <c r="DH78" s="951"/>
      <c r="DI78" s="951"/>
      <c r="DJ78" s="951"/>
      <c r="DK78" s="951"/>
      <c r="DL78" s="951"/>
      <c r="DM78" s="951"/>
      <c r="DN78" s="951"/>
      <c r="DO78" s="951"/>
      <c r="DP78" s="951"/>
      <c r="DQ78" s="951"/>
      <c r="DR78" s="951"/>
      <c r="DS78" s="951"/>
      <c r="DT78" s="951"/>
      <c r="DU78" s="951"/>
      <c r="DV78" s="951"/>
      <c r="DW78" s="951"/>
      <c r="DX78" s="951"/>
      <c r="DY78" s="951"/>
      <c r="DZ78" s="951"/>
      <c r="EA78" s="951"/>
      <c r="EB78" s="951"/>
      <c r="EC78" s="951"/>
      <c r="ED78" s="951"/>
      <c r="EE78" s="951"/>
      <c r="EF78" s="951"/>
      <c r="EG78" s="951"/>
      <c r="EH78" s="951"/>
      <c r="EI78" s="951"/>
      <c r="EJ78" s="951"/>
      <c r="EK78" s="951"/>
      <c r="EL78" s="951"/>
      <c r="EM78" s="951"/>
      <c r="EN78" s="951"/>
      <c r="EO78" s="951"/>
      <c r="EP78" s="951"/>
      <c r="EQ78" s="951"/>
      <c r="ER78" s="951"/>
      <c r="ES78" s="951"/>
      <c r="ET78" s="951"/>
      <c r="EU78" s="951"/>
      <c r="EV78" s="951"/>
      <c r="EW78" s="951"/>
      <c r="EX78" s="951"/>
      <c r="EY78" s="951"/>
      <c r="EZ78" s="951"/>
      <c r="FA78" s="951"/>
      <c r="FB78" s="951"/>
      <c r="FC78" s="951"/>
      <c r="FD78" s="951"/>
      <c r="FE78" s="951"/>
      <c r="FF78" s="951"/>
      <c r="FG78" s="951"/>
      <c r="FH78" s="951"/>
      <c r="FI78" s="951"/>
      <c r="FJ78" s="951"/>
      <c r="FK78" s="951"/>
      <c r="FL78" s="951"/>
      <c r="FM78" s="951"/>
      <c r="FN78" s="951"/>
      <c r="FO78" s="951"/>
      <c r="FP78" s="951"/>
      <c r="FQ78" s="951"/>
      <c r="FR78" s="951"/>
      <c r="FS78" s="951"/>
      <c r="FT78" s="951"/>
      <c r="FU78" s="951"/>
      <c r="FV78" s="951"/>
      <c r="FW78" s="951"/>
      <c r="FX78" s="951"/>
      <c r="FY78" s="951"/>
      <c r="FZ78" s="951"/>
      <c r="GA78" s="951"/>
      <c r="GB78" s="951"/>
      <c r="GC78" s="951"/>
      <c r="GD78" s="951"/>
      <c r="GE78" s="951"/>
      <c r="GF78" s="951"/>
      <c r="GG78" s="951"/>
      <c r="GH78" s="951"/>
      <c r="GI78" s="951"/>
      <c r="GJ78" s="951"/>
      <c r="GK78" s="951"/>
      <c r="GL78" s="951"/>
      <c r="GM78" s="951"/>
      <c r="GN78" s="951"/>
      <c r="GO78" s="951"/>
      <c r="GP78" s="951"/>
      <c r="GQ78" s="951"/>
      <c r="GR78" s="951"/>
      <c r="GS78" s="951"/>
      <c r="GT78" s="951"/>
      <c r="GU78" s="951"/>
      <c r="GV78" s="951"/>
      <c r="GW78" s="951"/>
      <c r="GX78" s="951"/>
      <c r="GY78" s="951"/>
      <c r="GZ78" s="951"/>
      <c r="HA78" s="951"/>
      <c r="HB78" s="951"/>
      <c r="HC78" s="951"/>
      <c r="HD78" s="951"/>
      <c r="HE78" s="951"/>
      <c r="HF78" s="951"/>
      <c r="HG78" s="951"/>
      <c r="HH78" s="951"/>
      <c r="HI78" s="951"/>
      <c r="HJ78" s="951"/>
      <c r="HK78" s="951"/>
      <c r="HL78" s="951"/>
      <c r="HM78" s="951"/>
      <c r="HN78" s="951"/>
      <c r="HO78" s="951"/>
      <c r="HP78" s="951"/>
      <c r="HQ78" s="951"/>
      <c r="HR78" s="951"/>
      <c r="HS78" s="951"/>
      <c r="HT78" s="951"/>
      <c r="HU78" s="951"/>
      <c r="HV78" s="951"/>
      <c r="HW78" s="951"/>
      <c r="HX78" s="951"/>
      <c r="HY78" s="951"/>
      <c r="HZ78" s="951"/>
      <c r="IA78" s="951"/>
      <c r="IB78" s="951"/>
      <c r="IC78" s="951"/>
      <c r="ID78" s="951"/>
      <c r="IE78" s="951"/>
      <c r="IF78" s="951"/>
      <c r="IG78" s="951"/>
      <c r="IH78" s="951"/>
      <c r="II78" s="951"/>
      <c r="IJ78" s="951"/>
      <c r="IK78" s="951"/>
      <c r="IL78" s="950"/>
      <c r="IM78" s="1"/>
      <c r="IN78" s="1"/>
      <c r="IO78" s="1"/>
      <c r="IP78" s="1"/>
      <c r="IQ78" s="1"/>
      <c r="IR78" s="1"/>
      <c r="IS78" s="1"/>
      <c r="IT78" s="1"/>
    </row>
    <row r="79" spans="1:254" s="84" customFormat="1" ht="12.95" customHeight="1" thickBot="1" x14ac:dyDescent="0.2">
      <c r="A79" s="952"/>
      <c r="B79" s="952"/>
      <c r="C79" s="952"/>
      <c r="D79" s="952"/>
      <c r="E79" s="953"/>
      <c r="F79" s="953"/>
      <c r="G79" s="940" t="s">
        <v>18</v>
      </c>
      <c r="H79" s="940"/>
      <c r="I79" s="954" t="s">
        <v>292</v>
      </c>
      <c r="J79" s="954"/>
      <c r="K79" s="955" t="s">
        <v>292</v>
      </c>
      <c r="L79" s="955"/>
      <c r="M79" s="960"/>
      <c r="N79" s="951"/>
      <c r="O79" s="951"/>
      <c r="P79" s="951"/>
      <c r="Q79" s="951"/>
      <c r="R79" s="951"/>
      <c r="S79" s="951"/>
      <c r="T79" s="951"/>
      <c r="U79" s="951"/>
      <c r="V79" s="951"/>
      <c r="W79" s="951"/>
      <c r="X79" s="951"/>
      <c r="Y79" s="951"/>
      <c r="Z79" s="951"/>
      <c r="AA79" s="951"/>
      <c r="AB79" s="951"/>
      <c r="AC79" s="951"/>
      <c r="AD79" s="951"/>
      <c r="AE79" s="951"/>
      <c r="AF79" s="951"/>
      <c r="AG79" s="951"/>
      <c r="AH79" s="951"/>
      <c r="AI79" s="951"/>
      <c r="AJ79" s="951"/>
      <c r="AK79" s="951"/>
      <c r="AL79" s="951"/>
      <c r="AM79" s="951"/>
      <c r="AN79" s="951"/>
      <c r="AO79" s="951"/>
      <c r="AP79" s="951"/>
      <c r="AQ79" s="951"/>
      <c r="AR79" s="951"/>
      <c r="AS79" s="951"/>
      <c r="AT79" s="951"/>
      <c r="AU79" s="951"/>
      <c r="AV79" s="951"/>
      <c r="AW79" s="951"/>
      <c r="AX79" s="951"/>
      <c r="AY79" s="951"/>
      <c r="AZ79" s="951"/>
      <c r="BA79" s="951"/>
      <c r="BB79" s="951"/>
      <c r="BC79" s="951"/>
      <c r="BD79" s="951"/>
      <c r="BE79" s="951"/>
      <c r="BF79" s="951"/>
      <c r="BG79" s="951"/>
      <c r="BH79" s="951"/>
      <c r="BI79" s="951"/>
      <c r="BJ79" s="951"/>
      <c r="BK79" s="951"/>
      <c r="BL79" s="951"/>
      <c r="BM79" s="951"/>
      <c r="BN79" s="951"/>
      <c r="BO79" s="951"/>
      <c r="BP79" s="951"/>
      <c r="BQ79" s="951"/>
      <c r="BR79" s="951"/>
      <c r="BS79" s="951"/>
      <c r="BT79" s="951"/>
      <c r="BU79" s="951"/>
      <c r="BV79" s="951"/>
      <c r="BW79" s="951"/>
      <c r="BX79" s="951"/>
      <c r="BY79" s="951"/>
      <c r="BZ79" s="951"/>
      <c r="CA79" s="951"/>
      <c r="CB79" s="951"/>
      <c r="CC79" s="951"/>
      <c r="CD79" s="951"/>
      <c r="CE79" s="951"/>
      <c r="CF79" s="951"/>
      <c r="CG79" s="951"/>
      <c r="CH79" s="951"/>
      <c r="CI79" s="951"/>
      <c r="CJ79" s="951"/>
      <c r="CK79" s="951"/>
      <c r="CL79" s="951"/>
      <c r="CM79" s="951"/>
      <c r="CN79" s="951"/>
      <c r="CO79" s="951"/>
      <c r="CP79" s="951"/>
      <c r="CQ79" s="951"/>
      <c r="CR79" s="951"/>
      <c r="CS79" s="951"/>
      <c r="CT79" s="951"/>
      <c r="CU79" s="951"/>
      <c r="CV79" s="951"/>
      <c r="CW79" s="951"/>
      <c r="CX79" s="951"/>
      <c r="CY79" s="951"/>
      <c r="CZ79" s="951"/>
      <c r="DA79" s="951"/>
      <c r="DB79" s="951"/>
      <c r="DC79" s="951"/>
      <c r="DD79" s="951"/>
      <c r="DE79" s="951"/>
      <c r="DF79" s="951"/>
      <c r="DG79" s="951"/>
      <c r="DH79" s="951"/>
      <c r="DI79" s="951"/>
      <c r="DJ79" s="951"/>
      <c r="DK79" s="951"/>
      <c r="DL79" s="951"/>
      <c r="DM79" s="951"/>
      <c r="DN79" s="951"/>
      <c r="DO79" s="951"/>
      <c r="DP79" s="951"/>
      <c r="DQ79" s="951"/>
      <c r="DR79" s="951"/>
      <c r="DS79" s="951"/>
      <c r="DT79" s="951"/>
      <c r="DU79" s="951"/>
      <c r="DV79" s="951"/>
      <c r="DW79" s="951"/>
      <c r="DX79" s="951"/>
      <c r="DY79" s="951"/>
      <c r="DZ79" s="951"/>
      <c r="EA79" s="951"/>
      <c r="EB79" s="951"/>
      <c r="EC79" s="951"/>
      <c r="ED79" s="951"/>
      <c r="EE79" s="951"/>
      <c r="EF79" s="951"/>
      <c r="EG79" s="951"/>
      <c r="EH79" s="951"/>
      <c r="EI79" s="951"/>
      <c r="EJ79" s="951"/>
      <c r="EK79" s="951"/>
      <c r="EL79" s="951"/>
      <c r="EM79" s="951"/>
      <c r="EN79" s="951"/>
      <c r="EO79" s="951"/>
      <c r="EP79" s="951"/>
      <c r="EQ79" s="951"/>
      <c r="ER79" s="951"/>
      <c r="ES79" s="951"/>
      <c r="ET79" s="951"/>
      <c r="EU79" s="951"/>
      <c r="EV79" s="951"/>
      <c r="EW79" s="951"/>
      <c r="EX79" s="951"/>
      <c r="EY79" s="951"/>
      <c r="EZ79" s="951"/>
      <c r="FA79" s="951"/>
      <c r="FB79" s="951"/>
      <c r="FC79" s="951"/>
      <c r="FD79" s="951"/>
      <c r="FE79" s="951"/>
      <c r="FF79" s="951"/>
      <c r="FG79" s="951"/>
      <c r="FH79" s="951"/>
      <c r="FI79" s="951"/>
      <c r="FJ79" s="951"/>
      <c r="FK79" s="951"/>
      <c r="FL79" s="951"/>
      <c r="FM79" s="951"/>
      <c r="FN79" s="951"/>
      <c r="FO79" s="951"/>
      <c r="FP79" s="951"/>
      <c r="FQ79" s="951"/>
      <c r="FR79" s="951"/>
      <c r="FS79" s="951"/>
      <c r="FT79" s="951"/>
      <c r="FU79" s="951"/>
      <c r="FV79" s="951"/>
      <c r="FW79" s="951"/>
      <c r="FX79" s="951"/>
      <c r="FY79" s="951"/>
      <c r="FZ79" s="951"/>
      <c r="GA79" s="951"/>
      <c r="GB79" s="951"/>
      <c r="GC79" s="951"/>
      <c r="GD79" s="951"/>
      <c r="GE79" s="951"/>
      <c r="GF79" s="951"/>
      <c r="GG79" s="951"/>
      <c r="GH79" s="951"/>
      <c r="GI79" s="951"/>
      <c r="GJ79" s="951"/>
      <c r="GK79" s="951"/>
      <c r="GL79" s="951"/>
      <c r="GM79" s="951"/>
      <c r="GN79" s="951"/>
      <c r="GO79" s="951"/>
      <c r="GP79" s="951"/>
      <c r="GQ79" s="951"/>
      <c r="GR79" s="951"/>
      <c r="GS79" s="951"/>
      <c r="GT79" s="951"/>
      <c r="GU79" s="951"/>
      <c r="GV79" s="951"/>
      <c r="GW79" s="951"/>
      <c r="GX79" s="951"/>
      <c r="GY79" s="951"/>
      <c r="GZ79" s="951"/>
      <c r="HA79" s="951"/>
      <c r="HB79" s="951"/>
      <c r="HC79" s="951"/>
      <c r="HD79" s="951"/>
      <c r="HE79" s="951"/>
      <c r="HF79" s="951"/>
      <c r="HG79" s="951"/>
      <c r="HH79" s="951"/>
      <c r="HI79" s="951"/>
      <c r="HJ79" s="951"/>
      <c r="HK79" s="951"/>
      <c r="HL79" s="951"/>
      <c r="HM79" s="951"/>
      <c r="HN79" s="951"/>
      <c r="HO79" s="951"/>
      <c r="HP79" s="951"/>
      <c r="HQ79" s="951"/>
      <c r="HR79" s="951"/>
      <c r="HS79" s="951"/>
      <c r="HT79" s="951"/>
      <c r="HU79" s="951"/>
      <c r="HV79" s="951"/>
      <c r="HW79" s="951"/>
      <c r="HX79" s="951"/>
      <c r="HY79" s="951"/>
      <c r="HZ79" s="951"/>
      <c r="IA79" s="951"/>
      <c r="IB79" s="951"/>
      <c r="IC79" s="951"/>
      <c r="ID79" s="951"/>
      <c r="IE79" s="951"/>
      <c r="IF79" s="951"/>
      <c r="IG79" s="951"/>
      <c r="IH79" s="951"/>
      <c r="II79" s="951"/>
      <c r="IJ79" s="951"/>
      <c r="IK79" s="951"/>
      <c r="IL79" s="951"/>
      <c r="IM79" s="1"/>
      <c r="IN79" s="1"/>
      <c r="IO79" s="1"/>
      <c r="IP79" s="1"/>
      <c r="IQ79" s="1"/>
      <c r="IR79" s="1"/>
      <c r="IS79" s="1"/>
      <c r="IT79" s="1"/>
    </row>
    <row r="80" spans="1:254" s="84" customFormat="1" ht="12.95" customHeight="1" thickBot="1" x14ac:dyDescent="0.2">
      <c r="A80" s="956" t="s">
        <v>653</v>
      </c>
      <c r="B80" s="956"/>
      <c r="C80" s="957" t="s">
        <v>441</v>
      </c>
      <c r="D80" s="957"/>
      <c r="E80" s="958" t="s">
        <v>513</v>
      </c>
      <c r="F80" s="958"/>
      <c r="G80" s="946" t="s">
        <v>4</v>
      </c>
      <c r="H80" s="946"/>
      <c r="I80" s="947" t="s">
        <v>654</v>
      </c>
      <c r="J80" s="947"/>
      <c r="K80" s="948" t="s">
        <v>655</v>
      </c>
      <c r="L80" s="948"/>
      <c r="M80" s="960"/>
      <c r="N80" s="951"/>
      <c r="O80" s="951"/>
      <c r="P80" s="951"/>
      <c r="Q80" s="951"/>
      <c r="R80" s="951"/>
      <c r="S80" s="951"/>
      <c r="T80" s="951"/>
      <c r="U80" s="951"/>
      <c r="V80" s="951"/>
      <c r="W80" s="951"/>
      <c r="X80" s="951"/>
      <c r="Y80" s="951"/>
      <c r="Z80" s="951"/>
      <c r="AA80" s="951"/>
      <c r="AB80" s="951"/>
      <c r="AC80" s="951"/>
      <c r="AD80" s="951"/>
      <c r="AE80" s="951"/>
      <c r="AF80" s="951"/>
      <c r="AG80" s="951"/>
      <c r="AH80" s="951"/>
      <c r="AI80" s="951"/>
      <c r="AJ80" s="951"/>
      <c r="AK80" s="951"/>
      <c r="AL80" s="951"/>
      <c r="AM80" s="951"/>
      <c r="AN80" s="951"/>
      <c r="AO80" s="951"/>
      <c r="AP80" s="951"/>
      <c r="AQ80" s="951"/>
      <c r="AR80" s="951"/>
      <c r="AS80" s="951"/>
      <c r="AT80" s="951"/>
      <c r="AU80" s="951"/>
      <c r="AV80" s="951"/>
      <c r="AW80" s="951"/>
      <c r="AX80" s="951"/>
      <c r="AY80" s="951"/>
      <c r="AZ80" s="951"/>
      <c r="BA80" s="951"/>
      <c r="BB80" s="951"/>
      <c r="BC80" s="951"/>
      <c r="BD80" s="951"/>
      <c r="BE80" s="951"/>
      <c r="BF80" s="951"/>
      <c r="BG80" s="951"/>
      <c r="BH80" s="951"/>
      <c r="BI80" s="951"/>
      <c r="BJ80" s="951"/>
      <c r="BK80" s="951"/>
      <c r="BL80" s="951"/>
      <c r="BM80" s="951"/>
      <c r="BN80" s="951"/>
      <c r="BO80" s="951"/>
      <c r="BP80" s="951"/>
      <c r="BQ80" s="951"/>
      <c r="BR80" s="951"/>
      <c r="BS80" s="951"/>
      <c r="BT80" s="951"/>
      <c r="BU80" s="951"/>
      <c r="BV80" s="951"/>
      <c r="BW80" s="951"/>
      <c r="BX80" s="951"/>
      <c r="BY80" s="951"/>
      <c r="BZ80" s="951"/>
      <c r="CA80" s="951"/>
      <c r="CB80" s="951"/>
      <c r="CC80" s="951"/>
      <c r="CD80" s="951"/>
      <c r="CE80" s="951"/>
      <c r="CF80" s="951"/>
      <c r="CG80" s="951"/>
      <c r="CH80" s="951"/>
      <c r="CI80" s="951"/>
      <c r="CJ80" s="951"/>
      <c r="CK80" s="951"/>
      <c r="CL80" s="951"/>
      <c r="CM80" s="951"/>
      <c r="CN80" s="951"/>
      <c r="CO80" s="951"/>
      <c r="CP80" s="951"/>
      <c r="CQ80" s="951"/>
      <c r="CR80" s="951"/>
      <c r="CS80" s="951"/>
      <c r="CT80" s="951"/>
      <c r="CU80" s="951"/>
      <c r="CV80" s="951"/>
      <c r="CW80" s="951"/>
      <c r="CX80" s="951"/>
      <c r="CY80" s="951"/>
      <c r="CZ80" s="951"/>
      <c r="DA80" s="951"/>
      <c r="DB80" s="951"/>
      <c r="DC80" s="951"/>
      <c r="DD80" s="951"/>
      <c r="DE80" s="951"/>
      <c r="DF80" s="951"/>
      <c r="DG80" s="951"/>
      <c r="DH80" s="951"/>
      <c r="DI80" s="951"/>
      <c r="DJ80" s="951"/>
      <c r="DK80" s="951"/>
      <c r="DL80" s="951"/>
      <c r="DM80" s="951"/>
      <c r="DN80" s="951"/>
      <c r="DO80" s="951"/>
      <c r="DP80" s="951"/>
      <c r="DQ80" s="951"/>
      <c r="DR80" s="951"/>
      <c r="DS80" s="951"/>
      <c r="DT80" s="951"/>
      <c r="DU80" s="951"/>
      <c r="DV80" s="951"/>
      <c r="DW80" s="951"/>
      <c r="DX80" s="951"/>
      <c r="DY80" s="951"/>
      <c r="DZ80" s="951"/>
      <c r="EA80" s="951"/>
      <c r="EB80" s="951"/>
      <c r="EC80" s="951"/>
      <c r="ED80" s="951"/>
      <c r="EE80" s="951"/>
      <c r="EF80" s="951"/>
      <c r="EG80" s="951"/>
      <c r="EH80" s="951"/>
      <c r="EI80" s="951"/>
      <c r="EJ80" s="951"/>
      <c r="EK80" s="951"/>
      <c r="EL80" s="951"/>
      <c r="EM80" s="951"/>
      <c r="EN80" s="951"/>
      <c r="EO80" s="951"/>
      <c r="EP80" s="951"/>
      <c r="EQ80" s="951"/>
      <c r="ER80" s="951"/>
      <c r="ES80" s="951"/>
      <c r="ET80" s="951"/>
      <c r="EU80" s="951"/>
      <c r="EV80" s="951"/>
      <c r="EW80" s="951"/>
      <c r="EX80" s="951"/>
      <c r="EY80" s="951"/>
      <c r="EZ80" s="951"/>
      <c r="FA80" s="951"/>
      <c r="FB80" s="951"/>
      <c r="FC80" s="951"/>
      <c r="FD80" s="951"/>
      <c r="FE80" s="951"/>
      <c r="FF80" s="951"/>
      <c r="FG80" s="951"/>
      <c r="FH80" s="951"/>
      <c r="FI80" s="951"/>
      <c r="FJ80" s="951"/>
      <c r="FK80" s="951"/>
      <c r="FL80" s="951"/>
      <c r="FM80" s="951"/>
      <c r="FN80" s="951"/>
      <c r="FO80" s="951"/>
      <c r="FP80" s="951"/>
      <c r="FQ80" s="951"/>
      <c r="FR80" s="951"/>
      <c r="FS80" s="951"/>
      <c r="FT80" s="951"/>
      <c r="FU80" s="951"/>
      <c r="FV80" s="951"/>
      <c r="FW80" s="951"/>
      <c r="FX80" s="951"/>
      <c r="FY80" s="951"/>
      <c r="FZ80" s="951"/>
      <c r="GA80" s="951"/>
      <c r="GB80" s="951"/>
      <c r="GC80" s="951"/>
      <c r="GD80" s="951"/>
      <c r="GE80" s="951"/>
      <c r="GF80" s="951"/>
      <c r="GG80" s="951"/>
      <c r="GH80" s="951"/>
      <c r="GI80" s="951"/>
      <c r="GJ80" s="951"/>
      <c r="GK80" s="951"/>
      <c r="GL80" s="951"/>
      <c r="GM80" s="951"/>
      <c r="GN80" s="951"/>
      <c r="GO80" s="951"/>
      <c r="GP80" s="951"/>
      <c r="GQ80" s="951"/>
      <c r="GR80" s="951"/>
      <c r="GS80" s="951"/>
      <c r="GT80" s="951"/>
      <c r="GU80" s="951"/>
      <c r="GV80" s="951"/>
      <c r="GW80" s="951"/>
      <c r="GX80" s="951"/>
      <c r="GY80" s="951"/>
      <c r="GZ80" s="951"/>
      <c r="HA80" s="951"/>
      <c r="HB80" s="951"/>
      <c r="HC80" s="951"/>
      <c r="HD80" s="951"/>
      <c r="HE80" s="951"/>
      <c r="HF80" s="951"/>
      <c r="HG80" s="951"/>
      <c r="HH80" s="951"/>
      <c r="HI80" s="951"/>
      <c r="HJ80" s="951"/>
      <c r="HK80" s="951"/>
      <c r="HL80" s="951"/>
      <c r="HM80" s="951"/>
      <c r="HN80" s="951"/>
      <c r="HO80" s="951"/>
      <c r="HP80" s="951"/>
      <c r="HQ80" s="951"/>
      <c r="HR80" s="951"/>
      <c r="HS80" s="951"/>
      <c r="HT80" s="951"/>
      <c r="HU80" s="951"/>
      <c r="HV80" s="951"/>
      <c r="HW80" s="951"/>
      <c r="HX80" s="951"/>
      <c r="HY80" s="951"/>
      <c r="HZ80" s="951"/>
      <c r="IA80" s="951"/>
      <c r="IB80" s="951"/>
      <c r="IC80" s="951"/>
      <c r="ID80" s="951"/>
      <c r="IE80" s="951"/>
      <c r="IF80" s="951"/>
      <c r="IG80" s="951"/>
      <c r="IH80" s="951"/>
      <c r="II80" s="951"/>
      <c r="IJ80" s="951"/>
      <c r="IK80" s="951"/>
      <c r="IL80" s="951"/>
      <c r="IM80" s="1"/>
      <c r="IN80" s="1"/>
      <c r="IO80" s="1"/>
      <c r="IP80" s="1"/>
      <c r="IQ80" s="1"/>
      <c r="IR80" s="1"/>
      <c r="IS80" s="1"/>
      <c r="IT80" s="1"/>
    </row>
    <row r="81" spans="1:254" s="84" customFormat="1" ht="12.95" customHeight="1" thickBot="1" x14ac:dyDescent="0.2">
      <c r="A81" s="85">
        <f>B81+SUM(O85:IL85)</f>
        <v>0</v>
      </c>
      <c r="B81" s="9">
        <f>J85+L85</f>
        <v>0</v>
      </c>
      <c r="C81" s="86">
        <f>D81-SUM(O86:IL86)+SUM(O87:IL87)</f>
        <v>0</v>
      </c>
      <c r="D81" s="10">
        <f>J87+L87</f>
        <v>0</v>
      </c>
      <c r="E81" s="11">
        <f>J88+L88</f>
        <v>0</v>
      </c>
      <c r="F81" s="12">
        <f>E81+SUM(O88:IL88)</f>
        <v>0</v>
      </c>
      <c r="G81" s="940" t="s">
        <v>18</v>
      </c>
      <c r="H81" s="940"/>
      <c r="I81" s="941" t="s">
        <v>18</v>
      </c>
      <c r="J81" s="941"/>
      <c r="K81" s="942" t="s">
        <v>18</v>
      </c>
      <c r="L81" s="942"/>
      <c r="M81" s="960"/>
      <c r="N81" s="960"/>
      <c r="O81" s="951"/>
      <c r="P81" s="951"/>
      <c r="Q81" s="951"/>
      <c r="R81" s="951"/>
      <c r="S81" s="951"/>
      <c r="T81" s="951"/>
      <c r="U81" s="951"/>
      <c r="V81" s="951"/>
      <c r="W81" s="951"/>
      <c r="X81" s="951"/>
      <c r="Y81" s="951"/>
      <c r="Z81" s="951"/>
      <c r="AA81" s="951"/>
      <c r="AB81" s="951"/>
      <c r="AC81" s="951"/>
      <c r="AD81" s="951"/>
      <c r="AE81" s="951"/>
      <c r="AF81" s="951"/>
      <c r="AG81" s="951"/>
      <c r="AH81" s="951"/>
      <c r="AI81" s="951"/>
      <c r="AJ81" s="951"/>
      <c r="AK81" s="951"/>
      <c r="AL81" s="951"/>
      <c r="AM81" s="951"/>
      <c r="AN81" s="951"/>
      <c r="AO81" s="951"/>
      <c r="AP81" s="951"/>
      <c r="AQ81" s="951"/>
      <c r="AR81" s="951"/>
      <c r="AS81" s="951"/>
      <c r="AT81" s="951"/>
      <c r="AU81" s="951"/>
      <c r="AV81" s="951"/>
      <c r="AW81" s="951"/>
      <c r="AX81" s="951"/>
      <c r="AY81" s="951"/>
      <c r="AZ81" s="951"/>
      <c r="BA81" s="951"/>
      <c r="BB81" s="951"/>
      <c r="BC81" s="951"/>
      <c r="BD81" s="951"/>
      <c r="BE81" s="951"/>
      <c r="BF81" s="951"/>
      <c r="BG81" s="951"/>
      <c r="BH81" s="951"/>
      <c r="BI81" s="951"/>
      <c r="BJ81" s="951"/>
      <c r="BK81" s="951"/>
      <c r="BL81" s="951"/>
      <c r="BM81" s="951"/>
      <c r="BN81" s="951"/>
      <c r="BO81" s="951"/>
      <c r="BP81" s="951"/>
      <c r="BQ81" s="951"/>
      <c r="BR81" s="951"/>
      <c r="BS81" s="951"/>
      <c r="BT81" s="951"/>
      <c r="BU81" s="951"/>
      <c r="BV81" s="951"/>
      <c r="BW81" s="951"/>
      <c r="BX81" s="951"/>
      <c r="BY81" s="951"/>
      <c r="BZ81" s="951"/>
      <c r="CA81" s="951"/>
      <c r="CB81" s="951"/>
      <c r="CC81" s="951"/>
      <c r="CD81" s="951"/>
      <c r="CE81" s="951"/>
      <c r="CF81" s="951"/>
      <c r="CG81" s="951"/>
      <c r="CH81" s="951"/>
      <c r="CI81" s="951"/>
      <c r="CJ81" s="951"/>
      <c r="CK81" s="951"/>
      <c r="CL81" s="951"/>
      <c r="CM81" s="951"/>
      <c r="CN81" s="951"/>
      <c r="CO81" s="951"/>
      <c r="CP81" s="951"/>
      <c r="CQ81" s="951"/>
      <c r="CR81" s="951"/>
      <c r="CS81" s="951"/>
      <c r="CT81" s="951"/>
      <c r="CU81" s="951"/>
      <c r="CV81" s="951"/>
      <c r="CW81" s="951"/>
      <c r="CX81" s="951"/>
      <c r="CY81" s="951"/>
      <c r="CZ81" s="951"/>
      <c r="DA81" s="951"/>
      <c r="DB81" s="951"/>
      <c r="DC81" s="951"/>
      <c r="DD81" s="951"/>
      <c r="DE81" s="951"/>
      <c r="DF81" s="951"/>
      <c r="DG81" s="951"/>
      <c r="DH81" s="951"/>
      <c r="DI81" s="951"/>
      <c r="DJ81" s="951"/>
      <c r="DK81" s="951"/>
      <c r="DL81" s="951"/>
      <c r="DM81" s="951"/>
      <c r="DN81" s="951"/>
      <c r="DO81" s="951"/>
      <c r="DP81" s="951"/>
      <c r="DQ81" s="951"/>
      <c r="DR81" s="951"/>
      <c r="DS81" s="951"/>
      <c r="DT81" s="951"/>
      <c r="DU81" s="951"/>
      <c r="DV81" s="951"/>
      <c r="DW81" s="951"/>
      <c r="DX81" s="951"/>
      <c r="DY81" s="951"/>
      <c r="DZ81" s="951"/>
      <c r="EA81" s="951"/>
      <c r="EB81" s="951"/>
      <c r="EC81" s="951"/>
      <c r="ED81" s="951"/>
      <c r="EE81" s="951"/>
      <c r="EF81" s="951"/>
      <c r="EG81" s="951"/>
      <c r="EH81" s="951"/>
      <c r="EI81" s="951"/>
      <c r="EJ81" s="951"/>
      <c r="EK81" s="951"/>
      <c r="EL81" s="951"/>
      <c r="EM81" s="951"/>
      <c r="EN81" s="951"/>
      <c r="EO81" s="951"/>
      <c r="EP81" s="951"/>
      <c r="EQ81" s="951"/>
      <c r="ER81" s="951"/>
      <c r="ES81" s="951"/>
      <c r="ET81" s="951"/>
      <c r="EU81" s="951"/>
      <c r="EV81" s="951"/>
      <c r="EW81" s="951"/>
      <c r="EX81" s="951"/>
      <c r="EY81" s="951"/>
      <c r="EZ81" s="951"/>
      <c r="FA81" s="951"/>
      <c r="FB81" s="951"/>
      <c r="FC81" s="951"/>
      <c r="FD81" s="951"/>
      <c r="FE81" s="951"/>
      <c r="FF81" s="951"/>
      <c r="FG81" s="951"/>
      <c r="FH81" s="951"/>
      <c r="FI81" s="951"/>
      <c r="FJ81" s="951"/>
      <c r="FK81" s="951"/>
      <c r="FL81" s="951"/>
      <c r="FM81" s="951"/>
      <c r="FN81" s="951"/>
      <c r="FO81" s="951"/>
      <c r="FP81" s="951"/>
      <c r="FQ81" s="951"/>
      <c r="FR81" s="951"/>
      <c r="FS81" s="951"/>
      <c r="FT81" s="951"/>
      <c r="FU81" s="951"/>
      <c r="FV81" s="951"/>
      <c r="FW81" s="951"/>
      <c r="FX81" s="951"/>
      <c r="FY81" s="951"/>
      <c r="FZ81" s="951"/>
      <c r="GA81" s="951"/>
      <c r="GB81" s="951"/>
      <c r="GC81" s="951"/>
      <c r="GD81" s="951"/>
      <c r="GE81" s="951"/>
      <c r="GF81" s="951"/>
      <c r="GG81" s="951"/>
      <c r="GH81" s="951"/>
      <c r="GI81" s="951"/>
      <c r="GJ81" s="951"/>
      <c r="GK81" s="951"/>
      <c r="GL81" s="951"/>
      <c r="GM81" s="951"/>
      <c r="GN81" s="951"/>
      <c r="GO81" s="951"/>
      <c r="GP81" s="951"/>
      <c r="GQ81" s="951"/>
      <c r="GR81" s="951"/>
      <c r="GS81" s="951"/>
      <c r="GT81" s="951"/>
      <c r="GU81" s="951"/>
      <c r="GV81" s="951"/>
      <c r="GW81" s="951"/>
      <c r="GX81" s="951"/>
      <c r="GY81" s="951"/>
      <c r="GZ81" s="951"/>
      <c r="HA81" s="951"/>
      <c r="HB81" s="951"/>
      <c r="HC81" s="951"/>
      <c r="HD81" s="951"/>
      <c r="HE81" s="951"/>
      <c r="HF81" s="951"/>
      <c r="HG81" s="951"/>
      <c r="HH81" s="951"/>
      <c r="HI81" s="951"/>
      <c r="HJ81" s="951"/>
      <c r="HK81" s="951"/>
      <c r="HL81" s="951"/>
      <c r="HM81" s="951"/>
      <c r="HN81" s="951"/>
      <c r="HO81" s="951"/>
      <c r="HP81" s="951"/>
      <c r="HQ81" s="951"/>
      <c r="HR81" s="951"/>
      <c r="HS81" s="951"/>
      <c r="HT81" s="951"/>
      <c r="HU81" s="951"/>
      <c r="HV81" s="951"/>
      <c r="HW81" s="951"/>
      <c r="HX81" s="951"/>
      <c r="HY81" s="951"/>
      <c r="HZ81" s="951"/>
      <c r="IA81" s="951"/>
      <c r="IB81" s="951"/>
      <c r="IC81" s="951"/>
      <c r="ID81" s="951"/>
      <c r="IE81" s="951"/>
      <c r="IF81" s="951"/>
      <c r="IG81" s="951"/>
      <c r="IH81" s="951"/>
      <c r="II81" s="951"/>
      <c r="IJ81" s="951"/>
      <c r="IK81" s="951"/>
      <c r="IL81" s="951"/>
      <c r="IM81" s="1"/>
      <c r="IN81" s="1"/>
      <c r="IO81" s="1"/>
      <c r="IP81" s="1"/>
      <c r="IQ81" s="1"/>
      <c r="IR81" s="1"/>
      <c r="IS81" s="1"/>
      <c r="IT81" s="1"/>
    </row>
    <row r="82" spans="1:254" s="84" customFormat="1" ht="12" customHeight="1" thickBot="1" x14ac:dyDescent="0.2">
      <c r="A82" s="943" t="s">
        <v>447</v>
      </c>
      <c r="B82" s="944"/>
      <c r="C82" s="87" t="s">
        <v>656</v>
      </c>
      <c r="D82" s="88" t="s">
        <v>657</v>
      </c>
      <c r="E82" s="945" t="str">
        <f>IF(F81&lt;100,IF(F81&lt;50,"通常状態",IF(F81&lt;60,"暴走Lv1 ",IF(F81&lt;70,"暴走Lv2",IF(F81&lt;80,"暴走Lv3",IF(F81&lt;90,"暴走Lv4","暴走Lv5"))))),IF(F81&lt;110,"臨界Lv1",IF(F81&lt;120,"臨界Lv2",IF(F81&lt;130,"臨界Lv3",IF(F81&lt;140,"臨界Lv4",IF(F81&lt;150,"臨界Lv5",IF(F81&lt;150,"活性Lv5","因子崩壊")))))))</f>
        <v>通常状態</v>
      </c>
      <c r="F82" s="945"/>
      <c r="G82" s="946" t="s">
        <v>15</v>
      </c>
      <c r="H82" s="946"/>
      <c r="I82" s="947" t="s">
        <v>467</v>
      </c>
      <c r="J82" s="947"/>
      <c r="K82" s="948" t="s">
        <v>658</v>
      </c>
      <c r="L82" s="948"/>
      <c r="M82" s="960"/>
      <c r="N82" s="960"/>
      <c r="O82" s="951"/>
      <c r="P82" s="951"/>
      <c r="Q82" s="951"/>
      <c r="R82" s="951"/>
      <c r="S82" s="951"/>
      <c r="T82" s="951"/>
      <c r="U82" s="951"/>
      <c r="V82" s="951"/>
      <c r="W82" s="951"/>
      <c r="X82" s="951"/>
      <c r="Y82" s="951"/>
      <c r="Z82" s="951"/>
      <c r="AA82" s="951"/>
      <c r="AB82" s="951"/>
      <c r="AC82" s="951"/>
      <c r="AD82" s="951"/>
      <c r="AE82" s="951"/>
      <c r="AF82" s="951"/>
      <c r="AG82" s="951"/>
      <c r="AH82" s="951"/>
      <c r="AI82" s="951"/>
      <c r="AJ82" s="951"/>
      <c r="AK82" s="951"/>
      <c r="AL82" s="951"/>
      <c r="AM82" s="951"/>
      <c r="AN82" s="951"/>
      <c r="AO82" s="951"/>
      <c r="AP82" s="951"/>
      <c r="AQ82" s="951"/>
      <c r="AR82" s="951"/>
      <c r="AS82" s="951"/>
      <c r="AT82" s="951"/>
      <c r="AU82" s="951"/>
      <c r="AV82" s="951"/>
      <c r="AW82" s="951"/>
      <c r="AX82" s="951"/>
      <c r="AY82" s="951"/>
      <c r="AZ82" s="951"/>
      <c r="BA82" s="951"/>
      <c r="BB82" s="951"/>
      <c r="BC82" s="951"/>
      <c r="BD82" s="951"/>
      <c r="BE82" s="951"/>
      <c r="BF82" s="951"/>
      <c r="BG82" s="951"/>
      <c r="BH82" s="951"/>
      <c r="BI82" s="951"/>
      <c r="BJ82" s="951"/>
      <c r="BK82" s="951"/>
      <c r="BL82" s="951"/>
      <c r="BM82" s="951"/>
      <c r="BN82" s="951"/>
      <c r="BO82" s="951"/>
      <c r="BP82" s="951"/>
      <c r="BQ82" s="951"/>
      <c r="BR82" s="951"/>
      <c r="BS82" s="951"/>
      <c r="BT82" s="951"/>
      <c r="BU82" s="951"/>
      <c r="BV82" s="951"/>
      <c r="BW82" s="951"/>
      <c r="BX82" s="951"/>
      <c r="BY82" s="951"/>
      <c r="BZ82" s="951"/>
      <c r="CA82" s="951"/>
      <c r="CB82" s="951"/>
      <c r="CC82" s="951"/>
      <c r="CD82" s="951"/>
      <c r="CE82" s="951"/>
      <c r="CF82" s="951"/>
      <c r="CG82" s="951"/>
      <c r="CH82" s="951"/>
      <c r="CI82" s="951"/>
      <c r="CJ82" s="951"/>
      <c r="CK82" s="951"/>
      <c r="CL82" s="951"/>
      <c r="CM82" s="951"/>
      <c r="CN82" s="951"/>
      <c r="CO82" s="951"/>
      <c r="CP82" s="951"/>
      <c r="CQ82" s="951"/>
      <c r="CR82" s="951"/>
      <c r="CS82" s="951"/>
      <c r="CT82" s="951"/>
      <c r="CU82" s="951"/>
      <c r="CV82" s="951"/>
      <c r="CW82" s="951"/>
      <c r="CX82" s="951"/>
      <c r="CY82" s="951"/>
      <c r="CZ82" s="951"/>
      <c r="DA82" s="951"/>
      <c r="DB82" s="951"/>
      <c r="DC82" s="951"/>
      <c r="DD82" s="951"/>
      <c r="DE82" s="951"/>
      <c r="DF82" s="951"/>
      <c r="DG82" s="951"/>
      <c r="DH82" s="951"/>
      <c r="DI82" s="951"/>
      <c r="DJ82" s="951"/>
      <c r="DK82" s="951"/>
      <c r="DL82" s="951"/>
      <c r="DM82" s="951"/>
      <c r="DN82" s="951"/>
      <c r="DO82" s="951"/>
      <c r="DP82" s="951"/>
      <c r="DQ82" s="951"/>
      <c r="DR82" s="951"/>
      <c r="DS82" s="951"/>
      <c r="DT82" s="951"/>
      <c r="DU82" s="951"/>
      <c r="DV82" s="951"/>
      <c r="DW82" s="951"/>
      <c r="DX82" s="951"/>
      <c r="DY82" s="951"/>
      <c r="DZ82" s="951"/>
      <c r="EA82" s="951"/>
      <c r="EB82" s="951"/>
      <c r="EC82" s="951"/>
      <c r="ED82" s="951"/>
      <c r="EE82" s="951"/>
      <c r="EF82" s="951"/>
      <c r="EG82" s="951"/>
      <c r="EH82" s="951"/>
      <c r="EI82" s="951"/>
      <c r="EJ82" s="951"/>
      <c r="EK82" s="951"/>
      <c r="EL82" s="951"/>
      <c r="EM82" s="951"/>
      <c r="EN82" s="951"/>
      <c r="EO82" s="951"/>
      <c r="EP82" s="951"/>
      <c r="EQ82" s="951"/>
      <c r="ER82" s="951"/>
      <c r="ES82" s="951"/>
      <c r="ET82" s="951"/>
      <c r="EU82" s="951"/>
      <c r="EV82" s="951"/>
      <c r="EW82" s="951"/>
      <c r="EX82" s="951"/>
      <c r="EY82" s="951"/>
      <c r="EZ82" s="951"/>
      <c r="FA82" s="951"/>
      <c r="FB82" s="951"/>
      <c r="FC82" s="951"/>
      <c r="FD82" s="951"/>
      <c r="FE82" s="951"/>
      <c r="FF82" s="951"/>
      <c r="FG82" s="951"/>
      <c r="FH82" s="951"/>
      <c r="FI82" s="951"/>
      <c r="FJ82" s="951"/>
      <c r="FK82" s="951"/>
      <c r="FL82" s="951"/>
      <c r="FM82" s="951"/>
      <c r="FN82" s="951"/>
      <c r="FO82" s="951"/>
      <c r="FP82" s="951"/>
      <c r="FQ82" s="951"/>
      <c r="FR82" s="951"/>
      <c r="FS82" s="951"/>
      <c r="FT82" s="951"/>
      <c r="FU82" s="951"/>
      <c r="FV82" s="951"/>
      <c r="FW82" s="951"/>
      <c r="FX82" s="951"/>
      <c r="FY82" s="951"/>
      <c r="FZ82" s="951"/>
      <c r="GA82" s="951"/>
      <c r="GB82" s="951"/>
      <c r="GC82" s="951"/>
      <c r="GD82" s="951"/>
      <c r="GE82" s="951"/>
      <c r="GF82" s="951"/>
      <c r="GG82" s="951"/>
      <c r="GH82" s="951"/>
      <c r="GI82" s="951"/>
      <c r="GJ82" s="951"/>
      <c r="GK82" s="951"/>
      <c r="GL82" s="951"/>
      <c r="GM82" s="951"/>
      <c r="GN82" s="951"/>
      <c r="GO82" s="951"/>
      <c r="GP82" s="951"/>
      <c r="GQ82" s="951"/>
      <c r="GR82" s="951"/>
      <c r="GS82" s="951"/>
      <c r="GT82" s="951"/>
      <c r="GU82" s="951"/>
      <c r="GV82" s="951"/>
      <c r="GW82" s="951"/>
      <c r="GX82" s="951"/>
      <c r="GY82" s="951"/>
      <c r="GZ82" s="951"/>
      <c r="HA82" s="951"/>
      <c r="HB82" s="951"/>
      <c r="HC82" s="951"/>
      <c r="HD82" s="951"/>
      <c r="HE82" s="951"/>
      <c r="HF82" s="951"/>
      <c r="HG82" s="951"/>
      <c r="HH82" s="951"/>
      <c r="HI82" s="951"/>
      <c r="HJ82" s="951"/>
      <c r="HK82" s="951"/>
      <c r="HL82" s="951"/>
      <c r="HM82" s="951"/>
      <c r="HN82" s="951"/>
      <c r="HO82" s="951"/>
      <c r="HP82" s="951"/>
      <c r="HQ82" s="951"/>
      <c r="HR82" s="951"/>
      <c r="HS82" s="951"/>
      <c r="HT82" s="951"/>
      <c r="HU82" s="951"/>
      <c r="HV82" s="951"/>
      <c r="HW82" s="951"/>
      <c r="HX82" s="951"/>
      <c r="HY82" s="951"/>
      <c r="HZ82" s="951"/>
      <c r="IA82" s="951"/>
      <c r="IB82" s="951"/>
      <c r="IC82" s="951"/>
      <c r="ID82" s="951"/>
      <c r="IE82" s="951"/>
      <c r="IF82" s="951"/>
      <c r="IG82" s="951"/>
      <c r="IH82" s="951"/>
      <c r="II82" s="951"/>
      <c r="IJ82" s="951"/>
      <c r="IK82" s="951"/>
      <c r="IL82" s="951"/>
      <c r="IM82" s="1"/>
      <c r="IN82" s="1"/>
      <c r="IO82" s="1"/>
      <c r="IP82" s="1"/>
      <c r="IQ82" s="1"/>
      <c r="IR82" s="1"/>
      <c r="IS82" s="1"/>
      <c r="IT82" s="1"/>
    </row>
    <row r="83" spans="1:254" s="84" customFormat="1" ht="12.95" customHeight="1" thickBot="1" x14ac:dyDescent="0.2">
      <c r="A83" s="943"/>
      <c r="B83" s="944"/>
      <c r="C83" s="89">
        <f>SUM(L86:IQ86)</f>
        <v>0</v>
      </c>
      <c r="D83" s="13">
        <f>ROUNDDOWN((C83/5),0)+SUM(I84:IL84)</f>
        <v>0</v>
      </c>
      <c r="E83" s="949" t="str">
        <f>IF(F81&lt;50,"未活性",IF(F81&lt;60,"活性Lv1",IF(F81&lt;70,"活性Lv2",IF(F81&lt;80,"活性Lv3",IF(F81&lt;90,"活性Lv4",IF(F81&lt;100,"活性Lv5",IF(F81&lt;150,"活性Lv5","強制キャラロスト")))))))</f>
        <v>未活性</v>
      </c>
      <c r="F83" s="949"/>
      <c r="G83" s="932" t="s">
        <v>18</v>
      </c>
      <c r="H83" s="932"/>
      <c r="I83" s="933" t="s">
        <v>18</v>
      </c>
      <c r="J83" s="933"/>
      <c r="K83" s="934" t="str">
        <f>IF(OR(A81&lt;=B81/2,F81&gt;=90),IF(F81&gt;=120,"オーバーフロー","発動中"),"-")</f>
        <v>発動中</v>
      </c>
      <c r="L83" s="934"/>
      <c r="M83" s="960"/>
      <c r="N83" s="960"/>
      <c r="O83" s="951"/>
      <c r="P83" s="951"/>
      <c r="Q83" s="951"/>
      <c r="R83" s="951"/>
      <c r="S83" s="951"/>
      <c r="T83" s="951"/>
      <c r="U83" s="951"/>
      <c r="V83" s="951"/>
      <c r="W83" s="951"/>
      <c r="X83" s="951"/>
      <c r="Y83" s="951"/>
      <c r="Z83" s="951"/>
      <c r="AA83" s="951"/>
      <c r="AB83" s="951"/>
      <c r="AC83" s="951"/>
      <c r="AD83" s="951"/>
      <c r="AE83" s="951"/>
      <c r="AF83" s="951"/>
      <c r="AG83" s="951"/>
      <c r="AH83" s="951"/>
      <c r="AI83" s="951"/>
      <c r="AJ83" s="951"/>
      <c r="AK83" s="951"/>
      <c r="AL83" s="951"/>
      <c r="AM83" s="951"/>
      <c r="AN83" s="951"/>
      <c r="AO83" s="951"/>
      <c r="AP83" s="951"/>
      <c r="AQ83" s="951"/>
      <c r="AR83" s="951"/>
      <c r="AS83" s="951"/>
      <c r="AT83" s="951"/>
      <c r="AU83" s="951"/>
      <c r="AV83" s="951"/>
      <c r="AW83" s="951"/>
      <c r="AX83" s="951"/>
      <c r="AY83" s="951"/>
      <c r="AZ83" s="951"/>
      <c r="BA83" s="951"/>
      <c r="BB83" s="951"/>
      <c r="BC83" s="951"/>
      <c r="BD83" s="951"/>
      <c r="BE83" s="951"/>
      <c r="BF83" s="951"/>
      <c r="BG83" s="951"/>
      <c r="BH83" s="951"/>
      <c r="BI83" s="951"/>
      <c r="BJ83" s="951"/>
      <c r="BK83" s="951"/>
      <c r="BL83" s="951"/>
      <c r="BM83" s="951"/>
      <c r="BN83" s="951"/>
      <c r="BO83" s="951"/>
      <c r="BP83" s="951"/>
      <c r="BQ83" s="951"/>
      <c r="BR83" s="951"/>
      <c r="BS83" s="951"/>
      <c r="BT83" s="951"/>
      <c r="BU83" s="951"/>
      <c r="BV83" s="951"/>
      <c r="BW83" s="951"/>
      <c r="BX83" s="951"/>
      <c r="BY83" s="951"/>
      <c r="BZ83" s="951"/>
      <c r="CA83" s="951"/>
      <c r="CB83" s="951"/>
      <c r="CC83" s="951"/>
      <c r="CD83" s="951"/>
      <c r="CE83" s="951"/>
      <c r="CF83" s="951"/>
      <c r="CG83" s="951"/>
      <c r="CH83" s="951"/>
      <c r="CI83" s="951"/>
      <c r="CJ83" s="951"/>
      <c r="CK83" s="951"/>
      <c r="CL83" s="951"/>
      <c r="CM83" s="951"/>
      <c r="CN83" s="951"/>
      <c r="CO83" s="951"/>
      <c r="CP83" s="951"/>
      <c r="CQ83" s="951"/>
      <c r="CR83" s="951"/>
      <c r="CS83" s="951"/>
      <c r="CT83" s="951"/>
      <c r="CU83" s="951"/>
      <c r="CV83" s="951"/>
      <c r="CW83" s="951"/>
      <c r="CX83" s="951"/>
      <c r="CY83" s="951"/>
      <c r="CZ83" s="951"/>
      <c r="DA83" s="951"/>
      <c r="DB83" s="951"/>
      <c r="DC83" s="951"/>
      <c r="DD83" s="951"/>
      <c r="DE83" s="951"/>
      <c r="DF83" s="951"/>
      <c r="DG83" s="951"/>
      <c r="DH83" s="951"/>
      <c r="DI83" s="951"/>
      <c r="DJ83" s="951"/>
      <c r="DK83" s="951"/>
      <c r="DL83" s="951"/>
      <c r="DM83" s="951"/>
      <c r="DN83" s="951"/>
      <c r="DO83" s="951"/>
      <c r="DP83" s="951"/>
      <c r="DQ83" s="951"/>
      <c r="DR83" s="951"/>
      <c r="DS83" s="951"/>
      <c r="DT83" s="951"/>
      <c r="DU83" s="951"/>
      <c r="DV83" s="951"/>
      <c r="DW83" s="951"/>
      <c r="DX83" s="951"/>
      <c r="DY83" s="951"/>
      <c r="DZ83" s="951"/>
      <c r="EA83" s="951"/>
      <c r="EB83" s="951"/>
      <c r="EC83" s="951"/>
      <c r="ED83" s="951"/>
      <c r="EE83" s="951"/>
      <c r="EF83" s="951"/>
      <c r="EG83" s="951"/>
      <c r="EH83" s="951"/>
      <c r="EI83" s="951"/>
      <c r="EJ83" s="951"/>
      <c r="EK83" s="951"/>
      <c r="EL83" s="951"/>
      <c r="EM83" s="951"/>
      <c r="EN83" s="951"/>
      <c r="EO83" s="951"/>
      <c r="EP83" s="951"/>
      <c r="EQ83" s="951"/>
      <c r="ER83" s="951"/>
      <c r="ES83" s="951"/>
      <c r="ET83" s="951"/>
      <c r="EU83" s="951"/>
      <c r="EV83" s="951"/>
      <c r="EW83" s="951"/>
      <c r="EX83" s="951"/>
      <c r="EY83" s="951"/>
      <c r="EZ83" s="951"/>
      <c r="FA83" s="951"/>
      <c r="FB83" s="951"/>
      <c r="FC83" s="951"/>
      <c r="FD83" s="951"/>
      <c r="FE83" s="951"/>
      <c r="FF83" s="951"/>
      <c r="FG83" s="951"/>
      <c r="FH83" s="951"/>
      <c r="FI83" s="951"/>
      <c r="FJ83" s="951"/>
      <c r="FK83" s="951"/>
      <c r="FL83" s="951"/>
      <c r="FM83" s="951"/>
      <c r="FN83" s="951"/>
      <c r="FO83" s="951"/>
      <c r="FP83" s="951"/>
      <c r="FQ83" s="951"/>
      <c r="FR83" s="951"/>
      <c r="FS83" s="951"/>
      <c r="FT83" s="951"/>
      <c r="FU83" s="951"/>
      <c r="FV83" s="951"/>
      <c r="FW83" s="951"/>
      <c r="FX83" s="951"/>
      <c r="FY83" s="951"/>
      <c r="FZ83" s="951"/>
      <c r="GA83" s="951"/>
      <c r="GB83" s="951"/>
      <c r="GC83" s="951"/>
      <c r="GD83" s="951"/>
      <c r="GE83" s="951"/>
      <c r="GF83" s="951"/>
      <c r="GG83" s="951"/>
      <c r="GH83" s="951"/>
      <c r="GI83" s="951"/>
      <c r="GJ83" s="951"/>
      <c r="GK83" s="951"/>
      <c r="GL83" s="951"/>
      <c r="GM83" s="951"/>
      <c r="GN83" s="951"/>
      <c r="GO83" s="951"/>
      <c r="GP83" s="951"/>
      <c r="GQ83" s="951"/>
      <c r="GR83" s="951"/>
      <c r="GS83" s="951"/>
      <c r="GT83" s="951"/>
      <c r="GU83" s="951"/>
      <c r="GV83" s="951"/>
      <c r="GW83" s="951"/>
      <c r="GX83" s="951"/>
      <c r="GY83" s="951"/>
      <c r="GZ83" s="951"/>
      <c r="HA83" s="951"/>
      <c r="HB83" s="951"/>
      <c r="HC83" s="951"/>
      <c r="HD83" s="951"/>
      <c r="HE83" s="951"/>
      <c r="HF83" s="951"/>
      <c r="HG83" s="951"/>
      <c r="HH83" s="951"/>
      <c r="HI83" s="951"/>
      <c r="HJ83" s="951"/>
      <c r="HK83" s="951"/>
      <c r="HL83" s="951"/>
      <c r="HM83" s="951"/>
      <c r="HN83" s="951"/>
      <c r="HO83" s="951"/>
      <c r="HP83" s="951"/>
      <c r="HQ83" s="951"/>
      <c r="HR83" s="951"/>
      <c r="HS83" s="951"/>
      <c r="HT83" s="951"/>
      <c r="HU83" s="951"/>
      <c r="HV83" s="951"/>
      <c r="HW83" s="951"/>
      <c r="HX83" s="951"/>
      <c r="HY83" s="951"/>
      <c r="HZ83" s="951"/>
      <c r="IA83" s="951"/>
      <c r="IB83" s="951"/>
      <c r="IC83" s="951"/>
      <c r="ID83" s="951"/>
      <c r="IE83" s="951"/>
      <c r="IF83" s="951"/>
      <c r="IG83" s="951"/>
      <c r="IH83" s="951"/>
      <c r="II83" s="951"/>
      <c r="IJ83" s="951"/>
      <c r="IK83" s="951"/>
      <c r="IL83" s="951"/>
      <c r="IM83" s="1"/>
      <c r="IN83" s="1"/>
      <c r="IO83" s="1"/>
      <c r="IP83" s="1"/>
      <c r="IQ83" s="1"/>
      <c r="IR83" s="1"/>
      <c r="IS83" s="1"/>
      <c r="IT83" s="1"/>
    </row>
    <row r="84" spans="1:254" s="92" customFormat="1" ht="12.95" customHeight="1" thickBot="1" x14ac:dyDescent="0.2">
      <c r="A84" s="90" t="s">
        <v>439</v>
      </c>
      <c r="B84" s="41"/>
      <c r="C84" s="935" t="str">
        <f>IF(G79="反応型",IF(50&gt;F81,"+0",IF(60&gt;F81,"+1",IF(70&gt;F81,"+2",IF(F81&gt;=70,"+3")))),"活性補正")</f>
        <v>活性補正</v>
      </c>
      <c r="D84" s="46" t="s">
        <v>440</v>
      </c>
      <c r="E84" s="42"/>
      <c r="F84" s="936" t="str">
        <f>IF(G79="増強型",IF(50&gt;F81,"+0",IF(60&gt;F81,"+1",IF(70&gt;F81,"+2",IF(F81&gt;=70,"+3")))),"活性補正")</f>
        <v>活性補正</v>
      </c>
      <c r="G84" s="937" t="s">
        <v>659</v>
      </c>
      <c r="H84" s="937"/>
      <c r="I84" s="938" t="s">
        <v>660</v>
      </c>
      <c r="J84" s="938"/>
      <c r="K84" s="938"/>
      <c r="L84" s="938"/>
      <c r="M84" s="91" t="s">
        <v>661</v>
      </c>
      <c r="N84" s="92" t="s">
        <v>647</v>
      </c>
      <c r="O84" s="92">
        <v>0</v>
      </c>
      <c r="IL84" s="93"/>
      <c r="IM84" s="1"/>
      <c r="IN84" s="1"/>
      <c r="IO84" s="1"/>
      <c r="IP84" s="1"/>
      <c r="IQ84" s="1"/>
      <c r="IR84" s="1"/>
      <c r="IS84" s="1"/>
      <c r="IT84" s="1"/>
    </row>
    <row r="85" spans="1:254" s="98" customFormat="1" ht="12.95" customHeight="1" thickBot="1" x14ac:dyDescent="0.2">
      <c r="A85" s="21" t="s">
        <v>442</v>
      </c>
      <c r="B85" s="43"/>
      <c r="C85" s="935"/>
      <c r="D85" s="20" t="s">
        <v>443</v>
      </c>
      <c r="E85" s="44"/>
      <c r="F85" s="936"/>
      <c r="G85" s="939" t="s">
        <v>662</v>
      </c>
      <c r="H85" s="939"/>
      <c r="I85" s="94" t="s">
        <v>663</v>
      </c>
      <c r="J85" s="95"/>
      <c r="K85" s="95" t="s">
        <v>664</v>
      </c>
      <c r="L85" s="96"/>
      <c r="M85" s="97" t="s">
        <v>661</v>
      </c>
      <c r="N85" s="95" t="s">
        <v>647</v>
      </c>
      <c r="O85" s="95"/>
      <c r="IL85" s="99"/>
      <c r="IM85" s="1"/>
      <c r="IN85" s="1"/>
      <c r="IO85" s="1"/>
      <c r="IP85" s="1"/>
      <c r="IQ85" s="1"/>
      <c r="IR85" s="1"/>
      <c r="IS85" s="1"/>
      <c r="IT85" s="1"/>
    </row>
    <row r="86" spans="1:254" s="105" customFormat="1" ht="12" customHeight="1" x14ac:dyDescent="0.15">
      <c r="A86" s="21" t="s">
        <v>445</v>
      </c>
      <c r="B86" s="43"/>
      <c r="C86" s="935"/>
      <c r="D86" s="20" t="s">
        <v>446</v>
      </c>
      <c r="E86" s="44"/>
      <c r="F86" s="936"/>
      <c r="G86" s="930" t="s">
        <v>665</v>
      </c>
      <c r="H86" s="930"/>
      <c r="I86" s="100"/>
      <c r="J86" s="101"/>
      <c r="K86" s="101"/>
      <c r="L86" s="102"/>
      <c r="M86" s="103" t="s">
        <v>666</v>
      </c>
      <c r="N86" s="104" t="s">
        <v>647</v>
      </c>
      <c r="O86" s="104"/>
      <c r="IL86" s="106"/>
      <c r="IM86" s="1"/>
      <c r="IN86" s="1"/>
      <c r="IO86" s="1"/>
      <c r="IP86" s="1"/>
      <c r="IQ86" s="1"/>
      <c r="IR86" s="1"/>
      <c r="IS86" s="1"/>
      <c r="IT86" s="1"/>
    </row>
    <row r="87" spans="1:254" s="105" customFormat="1" ht="12.95" customHeight="1" x14ac:dyDescent="0.15">
      <c r="A87" s="21" t="s">
        <v>293</v>
      </c>
      <c r="B87" s="150"/>
      <c r="C87" s="929" t="str">
        <f>IF(G79="増強型",IF(50&gt;F81,"+0",IF(60&gt;F81,"+1",IF(70&gt;F81,"+2",IF(F81&gt;=70,"+3")))),"活性補正")</f>
        <v>活性補正</v>
      </c>
      <c r="D87" s="20" t="s">
        <v>667</v>
      </c>
      <c r="E87" s="150"/>
      <c r="F87" s="18"/>
      <c r="G87" s="930" t="s">
        <v>668</v>
      </c>
      <c r="H87" s="930"/>
      <c r="I87" s="107" t="s">
        <v>669</v>
      </c>
      <c r="J87" s="104"/>
      <c r="K87" s="104" t="s">
        <v>670</v>
      </c>
      <c r="L87" s="108"/>
      <c r="M87" s="103" t="s">
        <v>666</v>
      </c>
      <c r="N87" s="104" t="s">
        <v>647</v>
      </c>
      <c r="O87" s="104"/>
      <c r="IL87" s="106"/>
      <c r="IM87" s="1"/>
      <c r="IN87" s="1"/>
      <c r="IO87" s="1"/>
      <c r="IP87" s="1"/>
      <c r="IQ87" s="1"/>
      <c r="IR87" s="1"/>
      <c r="IS87" s="1"/>
      <c r="IT87" s="1"/>
    </row>
    <row r="88" spans="1:254" s="153" customFormat="1" ht="12.95" customHeight="1" thickBot="1" x14ac:dyDescent="0.2">
      <c r="A88" s="21" t="s">
        <v>444</v>
      </c>
      <c r="B88" s="150"/>
      <c r="C88" s="929"/>
      <c r="D88" s="20" t="s">
        <v>449</v>
      </c>
      <c r="E88" s="150"/>
      <c r="F88" s="109" t="str">
        <f>IF(G79="覚醒型",IF(50&gt;F81,"+0",IF(60&gt;F81,"+1",IF(70&gt;F81,"+2",IF(F81&gt;=70,"+3")))),"活性補正")</f>
        <v>活性補正</v>
      </c>
      <c r="G88" s="931" t="s">
        <v>671</v>
      </c>
      <c r="H88" s="931"/>
      <c r="I88" s="110" t="s">
        <v>672</v>
      </c>
      <c r="J88" s="111"/>
      <c r="K88" s="111" t="s">
        <v>673</v>
      </c>
      <c r="L88" s="112">
        <f>L87</f>
        <v>0</v>
      </c>
      <c r="M88" s="151" t="s">
        <v>661</v>
      </c>
      <c r="N88" s="152" t="s">
        <v>647</v>
      </c>
      <c r="O88" s="152">
        <v>0</v>
      </c>
      <c r="IL88" s="154"/>
      <c r="IM88" s="1"/>
      <c r="IN88" s="1"/>
      <c r="IO88" s="1"/>
      <c r="IP88" s="1"/>
      <c r="IQ88" s="1"/>
      <c r="IR88" s="1"/>
      <c r="IS88" s="1"/>
      <c r="IT88" s="1"/>
    </row>
    <row r="89" spans="1:254" s="1" customFormat="1" ht="12" customHeight="1" x14ac:dyDescent="0.15">
      <c r="A89" s="45" t="s">
        <v>33</v>
      </c>
      <c r="B89" s="155"/>
      <c r="C89" s="45" t="s">
        <v>125</v>
      </c>
      <c r="D89" s="155"/>
      <c r="E89" s="46" t="s">
        <v>185</v>
      </c>
      <c r="F89" s="155"/>
      <c r="G89" s="46" t="s">
        <v>240</v>
      </c>
      <c r="H89" s="155"/>
      <c r="I89" s="46" t="s">
        <v>283</v>
      </c>
      <c r="J89" s="155"/>
      <c r="K89" s="46" t="s">
        <v>324</v>
      </c>
      <c r="L89" s="156"/>
    </row>
    <row r="90" spans="1:254" s="1" customFormat="1" ht="12" customHeight="1" thickBot="1" x14ac:dyDescent="0.2">
      <c r="A90" s="47" t="s">
        <v>87</v>
      </c>
      <c r="B90" s="157"/>
      <c r="C90" s="47" t="s">
        <v>154</v>
      </c>
      <c r="D90" s="157"/>
      <c r="E90" s="23" t="s">
        <v>213</v>
      </c>
      <c r="F90" s="157"/>
      <c r="G90" s="23" t="s">
        <v>264</v>
      </c>
      <c r="H90" s="157"/>
      <c r="I90" s="23" t="s">
        <v>302</v>
      </c>
      <c r="J90" s="157"/>
      <c r="K90" s="23" t="s">
        <v>248</v>
      </c>
      <c r="L90" s="158"/>
    </row>
    <row r="92" spans="1:254" s="84" customFormat="1" ht="12.95" customHeight="1" thickBot="1" x14ac:dyDescent="0.2">
      <c r="A92" s="961" t="s">
        <v>435</v>
      </c>
      <c r="B92" s="961"/>
      <c r="C92" s="961"/>
      <c r="D92" s="961"/>
      <c r="E92" s="962" t="s">
        <v>453</v>
      </c>
      <c r="F92" s="962"/>
      <c r="G92" s="959" t="s">
        <v>1</v>
      </c>
      <c r="H92" s="959"/>
      <c r="I92" s="959" t="s">
        <v>308</v>
      </c>
      <c r="J92" s="959"/>
      <c r="K92" s="959"/>
      <c r="L92" s="959"/>
      <c r="M92" s="960" t="s">
        <v>646</v>
      </c>
      <c r="N92" s="951" t="s">
        <v>647</v>
      </c>
      <c r="O92" s="951" t="s">
        <v>688</v>
      </c>
      <c r="P92" s="951"/>
      <c r="Q92" s="951"/>
      <c r="R92" s="951"/>
      <c r="S92" s="951"/>
      <c r="T92" s="951"/>
      <c r="U92" s="951"/>
      <c r="V92" s="951"/>
      <c r="W92" s="951"/>
      <c r="X92" s="951"/>
      <c r="Y92" s="951"/>
      <c r="Z92" s="951"/>
      <c r="AA92" s="951"/>
      <c r="AB92" s="951"/>
      <c r="AC92" s="951"/>
      <c r="AD92" s="951"/>
      <c r="AE92" s="951"/>
      <c r="AF92" s="951"/>
      <c r="AG92" s="951"/>
      <c r="AH92" s="951"/>
      <c r="AI92" s="951"/>
      <c r="AJ92" s="951"/>
      <c r="AK92" s="951"/>
      <c r="AL92" s="951"/>
      <c r="AM92" s="951"/>
      <c r="AN92" s="951"/>
      <c r="AO92" s="951"/>
      <c r="AP92" s="951"/>
      <c r="AQ92" s="951"/>
      <c r="AR92" s="951"/>
      <c r="AS92" s="951"/>
      <c r="AT92" s="951"/>
      <c r="AU92" s="951"/>
      <c r="AV92" s="951"/>
      <c r="AW92" s="951"/>
      <c r="AX92" s="951"/>
      <c r="AY92" s="951"/>
      <c r="AZ92" s="951"/>
      <c r="BA92" s="951"/>
      <c r="BB92" s="951"/>
      <c r="BC92" s="951"/>
      <c r="BD92" s="951"/>
      <c r="BE92" s="951"/>
      <c r="BF92" s="951"/>
      <c r="BG92" s="951"/>
      <c r="BH92" s="951"/>
      <c r="BI92" s="951"/>
      <c r="BJ92" s="951"/>
      <c r="BK92" s="951"/>
      <c r="BL92" s="951"/>
      <c r="BM92" s="951"/>
      <c r="BN92" s="951"/>
      <c r="BO92" s="951"/>
      <c r="BP92" s="951"/>
      <c r="BQ92" s="951"/>
      <c r="BR92" s="951"/>
      <c r="BS92" s="951"/>
      <c r="BT92" s="951"/>
      <c r="BU92" s="951"/>
      <c r="BV92" s="951"/>
      <c r="BW92" s="951"/>
      <c r="BX92" s="951"/>
      <c r="BY92" s="951"/>
      <c r="BZ92" s="951"/>
      <c r="CA92" s="951"/>
      <c r="CB92" s="951"/>
      <c r="CC92" s="951"/>
      <c r="CD92" s="951"/>
      <c r="CE92" s="951"/>
      <c r="CF92" s="951"/>
      <c r="CG92" s="951"/>
      <c r="CH92" s="951"/>
      <c r="CI92" s="951"/>
      <c r="CJ92" s="951"/>
      <c r="CK92" s="951"/>
      <c r="CL92" s="951"/>
      <c r="CM92" s="951"/>
      <c r="CN92" s="951"/>
      <c r="CO92" s="951"/>
      <c r="CP92" s="951"/>
      <c r="CQ92" s="951"/>
      <c r="CR92" s="951"/>
      <c r="CS92" s="951"/>
      <c r="CT92" s="951"/>
      <c r="CU92" s="951"/>
      <c r="CV92" s="951"/>
      <c r="CW92" s="951"/>
      <c r="CX92" s="951"/>
      <c r="CY92" s="951"/>
      <c r="CZ92" s="951"/>
      <c r="DA92" s="951"/>
      <c r="DB92" s="951"/>
      <c r="DC92" s="951"/>
      <c r="DD92" s="951"/>
      <c r="DE92" s="951"/>
      <c r="DF92" s="951"/>
      <c r="DG92" s="951"/>
      <c r="DH92" s="951"/>
      <c r="DI92" s="951"/>
      <c r="DJ92" s="951"/>
      <c r="DK92" s="951"/>
      <c r="DL92" s="951"/>
      <c r="DM92" s="951"/>
      <c r="DN92" s="951"/>
      <c r="DO92" s="951"/>
      <c r="DP92" s="951"/>
      <c r="DQ92" s="951"/>
      <c r="DR92" s="951"/>
      <c r="DS92" s="951"/>
      <c r="DT92" s="951"/>
      <c r="DU92" s="951"/>
      <c r="DV92" s="951"/>
      <c r="DW92" s="951"/>
      <c r="DX92" s="951"/>
      <c r="DY92" s="951"/>
      <c r="DZ92" s="951"/>
      <c r="EA92" s="951"/>
      <c r="EB92" s="951"/>
      <c r="EC92" s="951"/>
      <c r="ED92" s="951"/>
      <c r="EE92" s="951"/>
      <c r="EF92" s="951"/>
      <c r="EG92" s="951"/>
      <c r="EH92" s="951"/>
      <c r="EI92" s="951"/>
      <c r="EJ92" s="951"/>
      <c r="EK92" s="951"/>
      <c r="EL92" s="951"/>
      <c r="EM92" s="951"/>
      <c r="EN92" s="951"/>
      <c r="EO92" s="951"/>
      <c r="EP92" s="951"/>
      <c r="EQ92" s="951"/>
      <c r="ER92" s="951"/>
      <c r="ES92" s="951"/>
      <c r="ET92" s="951"/>
      <c r="EU92" s="951"/>
      <c r="EV92" s="951"/>
      <c r="EW92" s="951"/>
      <c r="EX92" s="951"/>
      <c r="EY92" s="951"/>
      <c r="EZ92" s="951"/>
      <c r="FA92" s="951"/>
      <c r="FB92" s="951"/>
      <c r="FC92" s="951"/>
      <c r="FD92" s="951"/>
      <c r="FE92" s="951"/>
      <c r="FF92" s="951"/>
      <c r="FG92" s="951"/>
      <c r="FH92" s="951"/>
      <c r="FI92" s="951"/>
      <c r="FJ92" s="951"/>
      <c r="FK92" s="951"/>
      <c r="FL92" s="951"/>
      <c r="FM92" s="951"/>
      <c r="FN92" s="951"/>
      <c r="FO92" s="951"/>
      <c r="FP92" s="951"/>
      <c r="FQ92" s="951"/>
      <c r="FR92" s="951"/>
      <c r="FS92" s="951"/>
      <c r="FT92" s="951"/>
      <c r="FU92" s="951"/>
      <c r="FV92" s="951"/>
      <c r="FW92" s="951"/>
      <c r="FX92" s="951"/>
      <c r="FY92" s="951"/>
      <c r="FZ92" s="951"/>
      <c r="GA92" s="951"/>
      <c r="GB92" s="951"/>
      <c r="GC92" s="951"/>
      <c r="GD92" s="951"/>
      <c r="GE92" s="951"/>
      <c r="GF92" s="951"/>
      <c r="GG92" s="951"/>
      <c r="GH92" s="951"/>
      <c r="GI92" s="951"/>
      <c r="GJ92" s="951"/>
      <c r="GK92" s="951"/>
      <c r="GL92" s="951"/>
      <c r="GM92" s="951"/>
      <c r="GN92" s="951"/>
      <c r="GO92" s="951"/>
      <c r="GP92" s="951"/>
      <c r="GQ92" s="951"/>
      <c r="GR92" s="951"/>
      <c r="GS92" s="951"/>
      <c r="GT92" s="951"/>
      <c r="GU92" s="951"/>
      <c r="GV92" s="951"/>
      <c r="GW92" s="951"/>
      <c r="GX92" s="951"/>
      <c r="GY92" s="951"/>
      <c r="GZ92" s="951"/>
      <c r="HA92" s="951"/>
      <c r="HB92" s="951"/>
      <c r="HC92" s="951"/>
      <c r="HD92" s="951"/>
      <c r="HE92" s="951"/>
      <c r="HF92" s="951"/>
      <c r="HG92" s="951"/>
      <c r="HH92" s="951"/>
      <c r="HI92" s="951"/>
      <c r="HJ92" s="951"/>
      <c r="HK92" s="951"/>
      <c r="HL92" s="951"/>
      <c r="HM92" s="951"/>
      <c r="HN92" s="951"/>
      <c r="HO92" s="951"/>
      <c r="HP92" s="951"/>
      <c r="HQ92" s="951"/>
      <c r="HR92" s="951"/>
      <c r="HS92" s="951"/>
      <c r="HT92" s="951"/>
      <c r="HU92" s="951"/>
      <c r="HV92" s="951"/>
      <c r="HW92" s="951"/>
      <c r="HX92" s="951"/>
      <c r="HY92" s="951"/>
      <c r="HZ92" s="951"/>
      <c r="IA92" s="951"/>
      <c r="IB92" s="951"/>
      <c r="IC92" s="951"/>
      <c r="ID92" s="951"/>
      <c r="IE92" s="951"/>
      <c r="IF92" s="951"/>
      <c r="IG92" s="951"/>
      <c r="IH92" s="951"/>
      <c r="II92" s="951"/>
      <c r="IJ92" s="951"/>
      <c r="IK92" s="951"/>
      <c r="IL92" s="950"/>
      <c r="IM92" s="1"/>
      <c r="IN92" s="1"/>
      <c r="IO92" s="1"/>
      <c r="IP92" s="1"/>
      <c r="IQ92" s="1"/>
      <c r="IR92" s="1"/>
      <c r="IS92" s="1"/>
      <c r="IT92" s="1"/>
    </row>
    <row r="93" spans="1:254" s="84" customFormat="1" ht="12.95" customHeight="1" thickBot="1" x14ac:dyDescent="0.2">
      <c r="A93" s="952"/>
      <c r="B93" s="952"/>
      <c r="C93" s="952"/>
      <c r="D93" s="952"/>
      <c r="E93" s="953"/>
      <c r="F93" s="953"/>
      <c r="G93" s="940" t="s">
        <v>18</v>
      </c>
      <c r="H93" s="940"/>
      <c r="I93" s="954" t="s">
        <v>292</v>
      </c>
      <c r="J93" s="954"/>
      <c r="K93" s="955" t="s">
        <v>292</v>
      </c>
      <c r="L93" s="955"/>
      <c r="M93" s="960"/>
      <c r="N93" s="951"/>
      <c r="O93" s="951"/>
      <c r="P93" s="951"/>
      <c r="Q93" s="951"/>
      <c r="R93" s="951"/>
      <c r="S93" s="951"/>
      <c r="T93" s="951"/>
      <c r="U93" s="951"/>
      <c r="V93" s="951"/>
      <c r="W93" s="951"/>
      <c r="X93" s="951"/>
      <c r="Y93" s="951"/>
      <c r="Z93" s="951"/>
      <c r="AA93" s="951"/>
      <c r="AB93" s="951"/>
      <c r="AC93" s="951"/>
      <c r="AD93" s="951"/>
      <c r="AE93" s="951"/>
      <c r="AF93" s="951"/>
      <c r="AG93" s="951"/>
      <c r="AH93" s="951"/>
      <c r="AI93" s="951"/>
      <c r="AJ93" s="951"/>
      <c r="AK93" s="951"/>
      <c r="AL93" s="951"/>
      <c r="AM93" s="951"/>
      <c r="AN93" s="951"/>
      <c r="AO93" s="951"/>
      <c r="AP93" s="951"/>
      <c r="AQ93" s="951"/>
      <c r="AR93" s="951"/>
      <c r="AS93" s="951"/>
      <c r="AT93" s="951"/>
      <c r="AU93" s="951"/>
      <c r="AV93" s="951"/>
      <c r="AW93" s="951"/>
      <c r="AX93" s="951"/>
      <c r="AY93" s="951"/>
      <c r="AZ93" s="951"/>
      <c r="BA93" s="951"/>
      <c r="BB93" s="951"/>
      <c r="BC93" s="951"/>
      <c r="BD93" s="951"/>
      <c r="BE93" s="951"/>
      <c r="BF93" s="951"/>
      <c r="BG93" s="951"/>
      <c r="BH93" s="951"/>
      <c r="BI93" s="951"/>
      <c r="BJ93" s="951"/>
      <c r="BK93" s="951"/>
      <c r="BL93" s="951"/>
      <c r="BM93" s="951"/>
      <c r="BN93" s="951"/>
      <c r="BO93" s="951"/>
      <c r="BP93" s="951"/>
      <c r="BQ93" s="951"/>
      <c r="BR93" s="951"/>
      <c r="BS93" s="951"/>
      <c r="BT93" s="951"/>
      <c r="BU93" s="951"/>
      <c r="BV93" s="951"/>
      <c r="BW93" s="951"/>
      <c r="BX93" s="951"/>
      <c r="BY93" s="951"/>
      <c r="BZ93" s="951"/>
      <c r="CA93" s="951"/>
      <c r="CB93" s="951"/>
      <c r="CC93" s="951"/>
      <c r="CD93" s="951"/>
      <c r="CE93" s="951"/>
      <c r="CF93" s="951"/>
      <c r="CG93" s="951"/>
      <c r="CH93" s="951"/>
      <c r="CI93" s="951"/>
      <c r="CJ93" s="951"/>
      <c r="CK93" s="951"/>
      <c r="CL93" s="951"/>
      <c r="CM93" s="951"/>
      <c r="CN93" s="951"/>
      <c r="CO93" s="951"/>
      <c r="CP93" s="951"/>
      <c r="CQ93" s="951"/>
      <c r="CR93" s="951"/>
      <c r="CS93" s="951"/>
      <c r="CT93" s="951"/>
      <c r="CU93" s="951"/>
      <c r="CV93" s="951"/>
      <c r="CW93" s="951"/>
      <c r="CX93" s="951"/>
      <c r="CY93" s="951"/>
      <c r="CZ93" s="951"/>
      <c r="DA93" s="951"/>
      <c r="DB93" s="951"/>
      <c r="DC93" s="951"/>
      <c r="DD93" s="951"/>
      <c r="DE93" s="951"/>
      <c r="DF93" s="951"/>
      <c r="DG93" s="951"/>
      <c r="DH93" s="951"/>
      <c r="DI93" s="951"/>
      <c r="DJ93" s="951"/>
      <c r="DK93" s="951"/>
      <c r="DL93" s="951"/>
      <c r="DM93" s="951"/>
      <c r="DN93" s="951"/>
      <c r="DO93" s="951"/>
      <c r="DP93" s="951"/>
      <c r="DQ93" s="951"/>
      <c r="DR93" s="951"/>
      <c r="DS93" s="951"/>
      <c r="DT93" s="951"/>
      <c r="DU93" s="951"/>
      <c r="DV93" s="951"/>
      <c r="DW93" s="951"/>
      <c r="DX93" s="951"/>
      <c r="DY93" s="951"/>
      <c r="DZ93" s="951"/>
      <c r="EA93" s="951"/>
      <c r="EB93" s="951"/>
      <c r="EC93" s="951"/>
      <c r="ED93" s="951"/>
      <c r="EE93" s="951"/>
      <c r="EF93" s="951"/>
      <c r="EG93" s="951"/>
      <c r="EH93" s="951"/>
      <c r="EI93" s="951"/>
      <c r="EJ93" s="951"/>
      <c r="EK93" s="951"/>
      <c r="EL93" s="951"/>
      <c r="EM93" s="951"/>
      <c r="EN93" s="951"/>
      <c r="EO93" s="951"/>
      <c r="EP93" s="951"/>
      <c r="EQ93" s="951"/>
      <c r="ER93" s="951"/>
      <c r="ES93" s="951"/>
      <c r="ET93" s="951"/>
      <c r="EU93" s="951"/>
      <c r="EV93" s="951"/>
      <c r="EW93" s="951"/>
      <c r="EX93" s="951"/>
      <c r="EY93" s="951"/>
      <c r="EZ93" s="951"/>
      <c r="FA93" s="951"/>
      <c r="FB93" s="951"/>
      <c r="FC93" s="951"/>
      <c r="FD93" s="951"/>
      <c r="FE93" s="951"/>
      <c r="FF93" s="951"/>
      <c r="FG93" s="951"/>
      <c r="FH93" s="951"/>
      <c r="FI93" s="951"/>
      <c r="FJ93" s="951"/>
      <c r="FK93" s="951"/>
      <c r="FL93" s="951"/>
      <c r="FM93" s="951"/>
      <c r="FN93" s="951"/>
      <c r="FO93" s="951"/>
      <c r="FP93" s="951"/>
      <c r="FQ93" s="951"/>
      <c r="FR93" s="951"/>
      <c r="FS93" s="951"/>
      <c r="FT93" s="951"/>
      <c r="FU93" s="951"/>
      <c r="FV93" s="951"/>
      <c r="FW93" s="951"/>
      <c r="FX93" s="951"/>
      <c r="FY93" s="951"/>
      <c r="FZ93" s="951"/>
      <c r="GA93" s="951"/>
      <c r="GB93" s="951"/>
      <c r="GC93" s="951"/>
      <c r="GD93" s="951"/>
      <c r="GE93" s="951"/>
      <c r="GF93" s="951"/>
      <c r="GG93" s="951"/>
      <c r="GH93" s="951"/>
      <c r="GI93" s="951"/>
      <c r="GJ93" s="951"/>
      <c r="GK93" s="951"/>
      <c r="GL93" s="951"/>
      <c r="GM93" s="951"/>
      <c r="GN93" s="951"/>
      <c r="GO93" s="951"/>
      <c r="GP93" s="951"/>
      <c r="GQ93" s="951"/>
      <c r="GR93" s="951"/>
      <c r="GS93" s="951"/>
      <c r="GT93" s="951"/>
      <c r="GU93" s="951"/>
      <c r="GV93" s="951"/>
      <c r="GW93" s="951"/>
      <c r="GX93" s="951"/>
      <c r="GY93" s="951"/>
      <c r="GZ93" s="951"/>
      <c r="HA93" s="951"/>
      <c r="HB93" s="951"/>
      <c r="HC93" s="951"/>
      <c r="HD93" s="951"/>
      <c r="HE93" s="951"/>
      <c r="HF93" s="951"/>
      <c r="HG93" s="951"/>
      <c r="HH93" s="951"/>
      <c r="HI93" s="951"/>
      <c r="HJ93" s="951"/>
      <c r="HK93" s="951"/>
      <c r="HL93" s="951"/>
      <c r="HM93" s="951"/>
      <c r="HN93" s="951"/>
      <c r="HO93" s="951"/>
      <c r="HP93" s="951"/>
      <c r="HQ93" s="951"/>
      <c r="HR93" s="951"/>
      <c r="HS93" s="951"/>
      <c r="HT93" s="951"/>
      <c r="HU93" s="951"/>
      <c r="HV93" s="951"/>
      <c r="HW93" s="951"/>
      <c r="HX93" s="951"/>
      <c r="HY93" s="951"/>
      <c r="HZ93" s="951"/>
      <c r="IA93" s="951"/>
      <c r="IB93" s="951"/>
      <c r="IC93" s="951"/>
      <c r="ID93" s="951"/>
      <c r="IE93" s="951"/>
      <c r="IF93" s="951"/>
      <c r="IG93" s="951"/>
      <c r="IH93" s="951"/>
      <c r="II93" s="951"/>
      <c r="IJ93" s="951"/>
      <c r="IK93" s="951"/>
      <c r="IL93" s="951"/>
      <c r="IM93" s="1"/>
      <c r="IN93" s="1"/>
      <c r="IO93" s="1"/>
      <c r="IP93" s="1"/>
      <c r="IQ93" s="1"/>
      <c r="IR93" s="1"/>
      <c r="IS93" s="1"/>
      <c r="IT93" s="1"/>
    </row>
    <row r="94" spans="1:254" s="84" customFormat="1" ht="12.95" customHeight="1" thickBot="1" x14ac:dyDescent="0.2">
      <c r="A94" s="956" t="s">
        <v>653</v>
      </c>
      <c r="B94" s="956"/>
      <c r="C94" s="957" t="s">
        <v>441</v>
      </c>
      <c r="D94" s="957"/>
      <c r="E94" s="958" t="s">
        <v>513</v>
      </c>
      <c r="F94" s="958"/>
      <c r="G94" s="946" t="s">
        <v>4</v>
      </c>
      <c r="H94" s="946"/>
      <c r="I94" s="947" t="s">
        <v>654</v>
      </c>
      <c r="J94" s="947"/>
      <c r="K94" s="948" t="s">
        <v>655</v>
      </c>
      <c r="L94" s="948"/>
      <c r="M94" s="960"/>
      <c r="N94" s="951"/>
      <c r="O94" s="951"/>
      <c r="P94" s="951"/>
      <c r="Q94" s="951"/>
      <c r="R94" s="951"/>
      <c r="S94" s="951"/>
      <c r="T94" s="951"/>
      <c r="U94" s="951"/>
      <c r="V94" s="951"/>
      <c r="W94" s="951"/>
      <c r="X94" s="951"/>
      <c r="Y94" s="951"/>
      <c r="Z94" s="951"/>
      <c r="AA94" s="951"/>
      <c r="AB94" s="951"/>
      <c r="AC94" s="951"/>
      <c r="AD94" s="951"/>
      <c r="AE94" s="951"/>
      <c r="AF94" s="951"/>
      <c r="AG94" s="951"/>
      <c r="AH94" s="951"/>
      <c r="AI94" s="951"/>
      <c r="AJ94" s="951"/>
      <c r="AK94" s="951"/>
      <c r="AL94" s="951"/>
      <c r="AM94" s="951"/>
      <c r="AN94" s="951"/>
      <c r="AO94" s="951"/>
      <c r="AP94" s="951"/>
      <c r="AQ94" s="951"/>
      <c r="AR94" s="951"/>
      <c r="AS94" s="951"/>
      <c r="AT94" s="951"/>
      <c r="AU94" s="951"/>
      <c r="AV94" s="951"/>
      <c r="AW94" s="951"/>
      <c r="AX94" s="951"/>
      <c r="AY94" s="951"/>
      <c r="AZ94" s="951"/>
      <c r="BA94" s="951"/>
      <c r="BB94" s="951"/>
      <c r="BC94" s="951"/>
      <c r="BD94" s="951"/>
      <c r="BE94" s="951"/>
      <c r="BF94" s="951"/>
      <c r="BG94" s="951"/>
      <c r="BH94" s="951"/>
      <c r="BI94" s="951"/>
      <c r="BJ94" s="951"/>
      <c r="BK94" s="951"/>
      <c r="BL94" s="951"/>
      <c r="BM94" s="951"/>
      <c r="BN94" s="951"/>
      <c r="BO94" s="951"/>
      <c r="BP94" s="951"/>
      <c r="BQ94" s="951"/>
      <c r="BR94" s="951"/>
      <c r="BS94" s="951"/>
      <c r="BT94" s="951"/>
      <c r="BU94" s="951"/>
      <c r="BV94" s="951"/>
      <c r="BW94" s="951"/>
      <c r="BX94" s="951"/>
      <c r="BY94" s="951"/>
      <c r="BZ94" s="951"/>
      <c r="CA94" s="951"/>
      <c r="CB94" s="951"/>
      <c r="CC94" s="951"/>
      <c r="CD94" s="951"/>
      <c r="CE94" s="951"/>
      <c r="CF94" s="951"/>
      <c r="CG94" s="951"/>
      <c r="CH94" s="951"/>
      <c r="CI94" s="951"/>
      <c r="CJ94" s="951"/>
      <c r="CK94" s="951"/>
      <c r="CL94" s="951"/>
      <c r="CM94" s="951"/>
      <c r="CN94" s="951"/>
      <c r="CO94" s="951"/>
      <c r="CP94" s="951"/>
      <c r="CQ94" s="951"/>
      <c r="CR94" s="951"/>
      <c r="CS94" s="951"/>
      <c r="CT94" s="951"/>
      <c r="CU94" s="951"/>
      <c r="CV94" s="951"/>
      <c r="CW94" s="951"/>
      <c r="CX94" s="951"/>
      <c r="CY94" s="951"/>
      <c r="CZ94" s="951"/>
      <c r="DA94" s="951"/>
      <c r="DB94" s="951"/>
      <c r="DC94" s="951"/>
      <c r="DD94" s="951"/>
      <c r="DE94" s="951"/>
      <c r="DF94" s="951"/>
      <c r="DG94" s="951"/>
      <c r="DH94" s="951"/>
      <c r="DI94" s="951"/>
      <c r="DJ94" s="951"/>
      <c r="DK94" s="951"/>
      <c r="DL94" s="951"/>
      <c r="DM94" s="951"/>
      <c r="DN94" s="951"/>
      <c r="DO94" s="951"/>
      <c r="DP94" s="951"/>
      <c r="DQ94" s="951"/>
      <c r="DR94" s="951"/>
      <c r="DS94" s="951"/>
      <c r="DT94" s="951"/>
      <c r="DU94" s="951"/>
      <c r="DV94" s="951"/>
      <c r="DW94" s="951"/>
      <c r="DX94" s="951"/>
      <c r="DY94" s="951"/>
      <c r="DZ94" s="951"/>
      <c r="EA94" s="951"/>
      <c r="EB94" s="951"/>
      <c r="EC94" s="951"/>
      <c r="ED94" s="951"/>
      <c r="EE94" s="951"/>
      <c r="EF94" s="951"/>
      <c r="EG94" s="951"/>
      <c r="EH94" s="951"/>
      <c r="EI94" s="951"/>
      <c r="EJ94" s="951"/>
      <c r="EK94" s="951"/>
      <c r="EL94" s="951"/>
      <c r="EM94" s="951"/>
      <c r="EN94" s="951"/>
      <c r="EO94" s="951"/>
      <c r="EP94" s="951"/>
      <c r="EQ94" s="951"/>
      <c r="ER94" s="951"/>
      <c r="ES94" s="951"/>
      <c r="ET94" s="951"/>
      <c r="EU94" s="951"/>
      <c r="EV94" s="951"/>
      <c r="EW94" s="951"/>
      <c r="EX94" s="951"/>
      <c r="EY94" s="951"/>
      <c r="EZ94" s="951"/>
      <c r="FA94" s="951"/>
      <c r="FB94" s="951"/>
      <c r="FC94" s="951"/>
      <c r="FD94" s="951"/>
      <c r="FE94" s="951"/>
      <c r="FF94" s="951"/>
      <c r="FG94" s="951"/>
      <c r="FH94" s="951"/>
      <c r="FI94" s="951"/>
      <c r="FJ94" s="951"/>
      <c r="FK94" s="951"/>
      <c r="FL94" s="951"/>
      <c r="FM94" s="951"/>
      <c r="FN94" s="951"/>
      <c r="FO94" s="951"/>
      <c r="FP94" s="951"/>
      <c r="FQ94" s="951"/>
      <c r="FR94" s="951"/>
      <c r="FS94" s="951"/>
      <c r="FT94" s="951"/>
      <c r="FU94" s="951"/>
      <c r="FV94" s="951"/>
      <c r="FW94" s="951"/>
      <c r="FX94" s="951"/>
      <c r="FY94" s="951"/>
      <c r="FZ94" s="951"/>
      <c r="GA94" s="951"/>
      <c r="GB94" s="951"/>
      <c r="GC94" s="951"/>
      <c r="GD94" s="951"/>
      <c r="GE94" s="951"/>
      <c r="GF94" s="951"/>
      <c r="GG94" s="951"/>
      <c r="GH94" s="951"/>
      <c r="GI94" s="951"/>
      <c r="GJ94" s="951"/>
      <c r="GK94" s="951"/>
      <c r="GL94" s="951"/>
      <c r="GM94" s="951"/>
      <c r="GN94" s="951"/>
      <c r="GO94" s="951"/>
      <c r="GP94" s="951"/>
      <c r="GQ94" s="951"/>
      <c r="GR94" s="951"/>
      <c r="GS94" s="951"/>
      <c r="GT94" s="951"/>
      <c r="GU94" s="951"/>
      <c r="GV94" s="951"/>
      <c r="GW94" s="951"/>
      <c r="GX94" s="951"/>
      <c r="GY94" s="951"/>
      <c r="GZ94" s="951"/>
      <c r="HA94" s="951"/>
      <c r="HB94" s="951"/>
      <c r="HC94" s="951"/>
      <c r="HD94" s="951"/>
      <c r="HE94" s="951"/>
      <c r="HF94" s="951"/>
      <c r="HG94" s="951"/>
      <c r="HH94" s="951"/>
      <c r="HI94" s="951"/>
      <c r="HJ94" s="951"/>
      <c r="HK94" s="951"/>
      <c r="HL94" s="951"/>
      <c r="HM94" s="951"/>
      <c r="HN94" s="951"/>
      <c r="HO94" s="951"/>
      <c r="HP94" s="951"/>
      <c r="HQ94" s="951"/>
      <c r="HR94" s="951"/>
      <c r="HS94" s="951"/>
      <c r="HT94" s="951"/>
      <c r="HU94" s="951"/>
      <c r="HV94" s="951"/>
      <c r="HW94" s="951"/>
      <c r="HX94" s="951"/>
      <c r="HY94" s="951"/>
      <c r="HZ94" s="951"/>
      <c r="IA94" s="951"/>
      <c r="IB94" s="951"/>
      <c r="IC94" s="951"/>
      <c r="ID94" s="951"/>
      <c r="IE94" s="951"/>
      <c r="IF94" s="951"/>
      <c r="IG94" s="951"/>
      <c r="IH94" s="951"/>
      <c r="II94" s="951"/>
      <c r="IJ94" s="951"/>
      <c r="IK94" s="951"/>
      <c r="IL94" s="951"/>
      <c r="IM94" s="1"/>
      <c r="IN94" s="1"/>
      <c r="IO94" s="1"/>
      <c r="IP94" s="1"/>
      <c r="IQ94" s="1"/>
      <c r="IR94" s="1"/>
      <c r="IS94" s="1"/>
      <c r="IT94" s="1"/>
    </row>
    <row r="95" spans="1:254" s="84" customFormat="1" ht="12.95" customHeight="1" thickBot="1" x14ac:dyDescent="0.2">
      <c r="A95" s="85">
        <f>B95+SUM(O99:IL99)</f>
        <v>0</v>
      </c>
      <c r="B95" s="9">
        <f>J99+L99</f>
        <v>0</v>
      </c>
      <c r="C95" s="86">
        <f>D95-SUM(O100:IL100)+SUM(O101:IL101)</f>
        <v>0</v>
      </c>
      <c r="D95" s="10">
        <f>J101+L101</f>
        <v>0</v>
      </c>
      <c r="E95" s="11">
        <f>J102+L102</f>
        <v>0</v>
      </c>
      <c r="F95" s="12">
        <f>E95+SUM(O102:IL102)</f>
        <v>0</v>
      </c>
      <c r="G95" s="940" t="s">
        <v>18</v>
      </c>
      <c r="H95" s="940"/>
      <c r="I95" s="941" t="s">
        <v>18</v>
      </c>
      <c r="J95" s="941"/>
      <c r="K95" s="942" t="s">
        <v>18</v>
      </c>
      <c r="L95" s="942"/>
      <c r="M95" s="960"/>
      <c r="N95" s="960"/>
      <c r="O95" s="951"/>
      <c r="P95" s="951"/>
      <c r="Q95" s="951"/>
      <c r="R95" s="951"/>
      <c r="S95" s="951"/>
      <c r="T95" s="951"/>
      <c r="U95" s="951"/>
      <c r="V95" s="951"/>
      <c r="W95" s="951"/>
      <c r="X95" s="951"/>
      <c r="Y95" s="951"/>
      <c r="Z95" s="951"/>
      <c r="AA95" s="951"/>
      <c r="AB95" s="951"/>
      <c r="AC95" s="951"/>
      <c r="AD95" s="951"/>
      <c r="AE95" s="951"/>
      <c r="AF95" s="951"/>
      <c r="AG95" s="951"/>
      <c r="AH95" s="951"/>
      <c r="AI95" s="951"/>
      <c r="AJ95" s="951"/>
      <c r="AK95" s="951"/>
      <c r="AL95" s="951"/>
      <c r="AM95" s="951"/>
      <c r="AN95" s="951"/>
      <c r="AO95" s="951"/>
      <c r="AP95" s="951"/>
      <c r="AQ95" s="951"/>
      <c r="AR95" s="951"/>
      <c r="AS95" s="951"/>
      <c r="AT95" s="951"/>
      <c r="AU95" s="951"/>
      <c r="AV95" s="951"/>
      <c r="AW95" s="951"/>
      <c r="AX95" s="951"/>
      <c r="AY95" s="951"/>
      <c r="AZ95" s="951"/>
      <c r="BA95" s="951"/>
      <c r="BB95" s="951"/>
      <c r="BC95" s="951"/>
      <c r="BD95" s="951"/>
      <c r="BE95" s="951"/>
      <c r="BF95" s="951"/>
      <c r="BG95" s="951"/>
      <c r="BH95" s="951"/>
      <c r="BI95" s="951"/>
      <c r="BJ95" s="951"/>
      <c r="BK95" s="951"/>
      <c r="BL95" s="951"/>
      <c r="BM95" s="951"/>
      <c r="BN95" s="951"/>
      <c r="BO95" s="951"/>
      <c r="BP95" s="951"/>
      <c r="BQ95" s="951"/>
      <c r="BR95" s="951"/>
      <c r="BS95" s="951"/>
      <c r="BT95" s="951"/>
      <c r="BU95" s="951"/>
      <c r="BV95" s="951"/>
      <c r="BW95" s="951"/>
      <c r="BX95" s="951"/>
      <c r="BY95" s="951"/>
      <c r="BZ95" s="951"/>
      <c r="CA95" s="951"/>
      <c r="CB95" s="951"/>
      <c r="CC95" s="951"/>
      <c r="CD95" s="951"/>
      <c r="CE95" s="951"/>
      <c r="CF95" s="951"/>
      <c r="CG95" s="951"/>
      <c r="CH95" s="951"/>
      <c r="CI95" s="951"/>
      <c r="CJ95" s="951"/>
      <c r="CK95" s="951"/>
      <c r="CL95" s="951"/>
      <c r="CM95" s="951"/>
      <c r="CN95" s="951"/>
      <c r="CO95" s="951"/>
      <c r="CP95" s="951"/>
      <c r="CQ95" s="951"/>
      <c r="CR95" s="951"/>
      <c r="CS95" s="951"/>
      <c r="CT95" s="951"/>
      <c r="CU95" s="951"/>
      <c r="CV95" s="951"/>
      <c r="CW95" s="951"/>
      <c r="CX95" s="951"/>
      <c r="CY95" s="951"/>
      <c r="CZ95" s="951"/>
      <c r="DA95" s="951"/>
      <c r="DB95" s="951"/>
      <c r="DC95" s="951"/>
      <c r="DD95" s="951"/>
      <c r="DE95" s="951"/>
      <c r="DF95" s="951"/>
      <c r="DG95" s="951"/>
      <c r="DH95" s="951"/>
      <c r="DI95" s="951"/>
      <c r="DJ95" s="951"/>
      <c r="DK95" s="951"/>
      <c r="DL95" s="951"/>
      <c r="DM95" s="951"/>
      <c r="DN95" s="951"/>
      <c r="DO95" s="951"/>
      <c r="DP95" s="951"/>
      <c r="DQ95" s="951"/>
      <c r="DR95" s="951"/>
      <c r="DS95" s="951"/>
      <c r="DT95" s="951"/>
      <c r="DU95" s="951"/>
      <c r="DV95" s="951"/>
      <c r="DW95" s="951"/>
      <c r="DX95" s="951"/>
      <c r="DY95" s="951"/>
      <c r="DZ95" s="951"/>
      <c r="EA95" s="951"/>
      <c r="EB95" s="951"/>
      <c r="EC95" s="951"/>
      <c r="ED95" s="951"/>
      <c r="EE95" s="951"/>
      <c r="EF95" s="951"/>
      <c r="EG95" s="951"/>
      <c r="EH95" s="951"/>
      <c r="EI95" s="951"/>
      <c r="EJ95" s="951"/>
      <c r="EK95" s="951"/>
      <c r="EL95" s="951"/>
      <c r="EM95" s="951"/>
      <c r="EN95" s="951"/>
      <c r="EO95" s="951"/>
      <c r="EP95" s="951"/>
      <c r="EQ95" s="951"/>
      <c r="ER95" s="951"/>
      <c r="ES95" s="951"/>
      <c r="ET95" s="951"/>
      <c r="EU95" s="951"/>
      <c r="EV95" s="951"/>
      <c r="EW95" s="951"/>
      <c r="EX95" s="951"/>
      <c r="EY95" s="951"/>
      <c r="EZ95" s="951"/>
      <c r="FA95" s="951"/>
      <c r="FB95" s="951"/>
      <c r="FC95" s="951"/>
      <c r="FD95" s="951"/>
      <c r="FE95" s="951"/>
      <c r="FF95" s="951"/>
      <c r="FG95" s="951"/>
      <c r="FH95" s="951"/>
      <c r="FI95" s="951"/>
      <c r="FJ95" s="951"/>
      <c r="FK95" s="951"/>
      <c r="FL95" s="951"/>
      <c r="FM95" s="951"/>
      <c r="FN95" s="951"/>
      <c r="FO95" s="951"/>
      <c r="FP95" s="951"/>
      <c r="FQ95" s="951"/>
      <c r="FR95" s="951"/>
      <c r="FS95" s="951"/>
      <c r="FT95" s="951"/>
      <c r="FU95" s="951"/>
      <c r="FV95" s="951"/>
      <c r="FW95" s="951"/>
      <c r="FX95" s="951"/>
      <c r="FY95" s="951"/>
      <c r="FZ95" s="951"/>
      <c r="GA95" s="951"/>
      <c r="GB95" s="951"/>
      <c r="GC95" s="951"/>
      <c r="GD95" s="951"/>
      <c r="GE95" s="951"/>
      <c r="GF95" s="951"/>
      <c r="GG95" s="951"/>
      <c r="GH95" s="951"/>
      <c r="GI95" s="951"/>
      <c r="GJ95" s="951"/>
      <c r="GK95" s="951"/>
      <c r="GL95" s="951"/>
      <c r="GM95" s="951"/>
      <c r="GN95" s="951"/>
      <c r="GO95" s="951"/>
      <c r="GP95" s="951"/>
      <c r="GQ95" s="951"/>
      <c r="GR95" s="951"/>
      <c r="GS95" s="951"/>
      <c r="GT95" s="951"/>
      <c r="GU95" s="951"/>
      <c r="GV95" s="951"/>
      <c r="GW95" s="951"/>
      <c r="GX95" s="951"/>
      <c r="GY95" s="951"/>
      <c r="GZ95" s="951"/>
      <c r="HA95" s="951"/>
      <c r="HB95" s="951"/>
      <c r="HC95" s="951"/>
      <c r="HD95" s="951"/>
      <c r="HE95" s="951"/>
      <c r="HF95" s="951"/>
      <c r="HG95" s="951"/>
      <c r="HH95" s="951"/>
      <c r="HI95" s="951"/>
      <c r="HJ95" s="951"/>
      <c r="HK95" s="951"/>
      <c r="HL95" s="951"/>
      <c r="HM95" s="951"/>
      <c r="HN95" s="951"/>
      <c r="HO95" s="951"/>
      <c r="HP95" s="951"/>
      <c r="HQ95" s="951"/>
      <c r="HR95" s="951"/>
      <c r="HS95" s="951"/>
      <c r="HT95" s="951"/>
      <c r="HU95" s="951"/>
      <c r="HV95" s="951"/>
      <c r="HW95" s="951"/>
      <c r="HX95" s="951"/>
      <c r="HY95" s="951"/>
      <c r="HZ95" s="951"/>
      <c r="IA95" s="951"/>
      <c r="IB95" s="951"/>
      <c r="IC95" s="951"/>
      <c r="ID95" s="951"/>
      <c r="IE95" s="951"/>
      <c r="IF95" s="951"/>
      <c r="IG95" s="951"/>
      <c r="IH95" s="951"/>
      <c r="II95" s="951"/>
      <c r="IJ95" s="951"/>
      <c r="IK95" s="951"/>
      <c r="IL95" s="951"/>
      <c r="IM95" s="1"/>
      <c r="IN95" s="1"/>
      <c r="IO95" s="1"/>
      <c r="IP95" s="1"/>
      <c r="IQ95" s="1"/>
      <c r="IR95" s="1"/>
      <c r="IS95" s="1"/>
      <c r="IT95" s="1"/>
    </row>
    <row r="96" spans="1:254" s="84" customFormat="1" ht="12" customHeight="1" thickBot="1" x14ac:dyDescent="0.2">
      <c r="A96" s="943" t="s">
        <v>447</v>
      </c>
      <c r="B96" s="944"/>
      <c r="C96" s="87" t="s">
        <v>656</v>
      </c>
      <c r="D96" s="88" t="s">
        <v>657</v>
      </c>
      <c r="E96" s="945" t="str">
        <f>IF(F95&lt;100,IF(F95&lt;50,"通常状態",IF(F95&lt;60,"暴走Lv1 ",IF(F95&lt;70,"暴走Lv2",IF(F95&lt;80,"暴走Lv3",IF(F95&lt;90,"暴走Lv4","暴走Lv5"))))),IF(F95&lt;110,"臨界Lv1",IF(F95&lt;120,"臨界Lv2",IF(F95&lt;130,"臨界Lv3",IF(F95&lt;140,"臨界Lv4",IF(F95&lt;150,"臨界Lv5",IF(F95&lt;150,"活性Lv5","因子崩壊")))))))</f>
        <v>通常状態</v>
      </c>
      <c r="F96" s="945"/>
      <c r="G96" s="946" t="s">
        <v>15</v>
      </c>
      <c r="H96" s="946"/>
      <c r="I96" s="947" t="s">
        <v>467</v>
      </c>
      <c r="J96" s="947"/>
      <c r="K96" s="948" t="s">
        <v>658</v>
      </c>
      <c r="L96" s="948"/>
      <c r="M96" s="960"/>
      <c r="N96" s="960"/>
      <c r="O96" s="951"/>
      <c r="P96" s="951"/>
      <c r="Q96" s="951"/>
      <c r="R96" s="951"/>
      <c r="S96" s="951"/>
      <c r="T96" s="951"/>
      <c r="U96" s="951"/>
      <c r="V96" s="951"/>
      <c r="W96" s="951"/>
      <c r="X96" s="951"/>
      <c r="Y96" s="951"/>
      <c r="Z96" s="951"/>
      <c r="AA96" s="951"/>
      <c r="AB96" s="951"/>
      <c r="AC96" s="951"/>
      <c r="AD96" s="951"/>
      <c r="AE96" s="951"/>
      <c r="AF96" s="951"/>
      <c r="AG96" s="951"/>
      <c r="AH96" s="951"/>
      <c r="AI96" s="951"/>
      <c r="AJ96" s="951"/>
      <c r="AK96" s="951"/>
      <c r="AL96" s="951"/>
      <c r="AM96" s="951"/>
      <c r="AN96" s="951"/>
      <c r="AO96" s="951"/>
      <c r="AP96" s="951"/>
      <c r="AQ96" s="951"/>
      <c r="AR96" s="951"/>
      <c r="AS96" s="951"/>
      <c r="AT96" s="951"/>
      <c r="AU96" s="951"/>
      <c r="AV96" s="951"/>
      <c r="AW96" s="951"/>
      <c r="AX96" s="951"/>
      <c r="AY96" s="951"/>
      <c r="AZ96" s="951"/>
      <c r="BA96" s="951"/>
      <c r="BB96" s="951"/>
      <c r="BC96" s="951"/>
      <c r="BD96" s="951"/>
      <c r="BE96" s="951"/>
      <c r="BF96" s="951"/>
      <c r="BG96" s="951"/>
      <c r="BH96" s="951"/>
      <c r="BI96" s="951"/>
      <c r="BJ96" s="951"/>
      <c r="BK96" s="951"/>
      <c r="BL96" s="951"/>
      <c r="BM96" s="951"/>
      <c r="BN96" s="951"/>
      <c r="BO96" s="951"/>
      <c r="BP96" s="951"/>
      <c r="BQ96" s="951"/>
      <c r="BR96" s="951"/>
      <c r="BS96" s="951"/>
      <c r="BT96" s="951"/>
      <c r="BU96" s="951"/>
      <c r="BV96" s="951"/>
      <c r="BW96" s="951"/>
      <c r="BX96" s="951"/>
      <c r="BY96" s="951"/>
      <c r="BZ96" s="951"/>
      <c r="CA96" s="951"/>
      <c r="CB96" s="951"/>
      <c r="CC96" s="951"/>
      <c r="CD96" s="951"/>
      <c r="CE96" s="951"/>
      <c r="CF96" s="951"/>
      <c r="CG96" s="951"/>
      <c r="CH96" s="951"/>
      <c r="CI96" s="951"/>
      <c r="CJ96" s="951"/>
      <c r="CK96" s="951"/>
      <c r="CL96" s="951"/>
      <c r="CM96" s="951"/>
      <c r="CN96" s="951"/>
      <c r="CO96" s="951"/>
      <c r="CP96" s="951"/>
      <c r="CQ96" s="951"/>
      <c r="CR96" s="951"/>
      <c r="CS96" s="951"/>
      <c r="CT96" s="951"/>
      <c r="CU96" s="951"/>
      <c r="CV96" s="951"/>
      <c r="CW96" s="951"/>
      <c r="CX96" s="951"/>
      <c r="CY96" s="951"/>
      <c r="CZ96" s="951"/>
      <c r="DA96" s="951"/>
      <c r="DB96" s="951"/>
      <c r="DC96" s="951"/>
      <c r="DD96" s="951"/>
      <c r="DE96" s="951"/>
      <c r="DF96" s="951"/>
      <c r="DG96" s="951"/>
      <c r="DH96" s="951"/>
      <c r="DI96" s="951"/>
      <c r="DJ96" s="951"/>
      <c r="DK96" s="951"/>
      <c r="DL96" s="951"/>
      <c r="DM96" s="951"/>
      <c r="DN96" s="951"/>
      <c r="DO96" s="951"/>
      <c r="DP96" s="951"/>
      <c r="DQ96" s="951"/>
      <c r="DR96" s="951"/>
      <c r="DS96" s="951"/>
      <c r="DT96" s="951"/>
      <c r="DU96" s="951"/>
      <c r="DV96" s="951"/>
      <c r="DW96" s="951"/>
      <c r="DX96" s="951"/>
      <c r="DY96" s="951"/>
      <c r="DZ96" s="951"/>
      <c r="EA96" s="951"/>
      <c r="EB96" s="951"/>
      <c r="EC96" s="951"/>
      <c r="ED96" s="951"/>
      <c r="EE96" s="951"/>
      <c r="EF96" s="951"/>
      <c r="EG96" s="951"/>
      <c r="EH96" s="951"/>
      <c r="EI96" s="951"/>
      <c r="EJ96" s="951"/>
      <c r="EK96" s="951"/>
      <c r="EL96" s="951"/>
      <c r="EM96" s="951"/>
      <c r="EN96" s="951"/>
      <c r="EO96" s="951"/>
      <c r="EP96" s="951"/>
      <c r="EQ96" s="951"/>
      <c r="ER96" s="951"/>
      <c r="ES96" s="951"/>
      <c r="ET96" s="951"/>
      <c r="EU96" s="951"/>
      <c r="EV96" s="951"/>
      <c r="EW96" s="951"/>
      <c r="EX96" s="951"/>
      <c r="EY96" s="951"/>
      <c r="EZ96" s="951"/>
      <c r="FA96" s="951"/>
      <c r="FB96" s="951"/>
      <c r="FC96" s="951"/>
      <c r="FD96" s="951"/>
      <c r="FE96" s="951"/>
      <c r="FF96" s="951"/>
      <c r="FG96" s="951"/>
      <c r="FH96" s="951"/>
      <c r="FI96" s="951"/>
      <c r="FJ96" s="951"/>
      <c r="FK96" s="951"/>
      <c r="FL96" s="951"/>
      <c r="FM96" s="951"/>
      <c r="FN96" s="951"/>
      <c r="FO96" s="951"/>
      <c r="FP96" s="951"/>
      <c r="FQ96" s="951"/>
      <c r="FR96" s="951"/>
      <c r="FS96" s="951"/>
      <c r="FT96" s="951"/>
      <c r="FU96" s="951"/>
      <c r="FV96" s="951"/>
      <c r="FW96" s="951"/>
      <c r="FX96" s="951"/>
      <c r="FY96" s="951"/>
      <c r="FZ96" s="951"/>
      <c r="GA96" s="951"/>
      <c r="GB96" s="951"/>
      <c r="GC96" s="951"/>
      <c r="GD96" s="951"/>
      <c r="GE96" s="951"/>
      <c r="GF96" s="951"/>
      <c r="GG96" s="951"/>
      <c r="GH96" s="951"/>
      <c r="GI96" s="951"/>
      <c r="GJ96" s="951"/>
      <c r="GK96" s="951"/>
      <c r="GL96" s="951"/>
      <c r="GM96" s="951"/>
      <c r="GN96" s="951"/>
      <c r="GO96" s="951"/>
      <c r="GP96" s="951"/>
      <c r="GQ96" s="951"/>
      <c r="GR96" s="951"/>
      <c r="GS96" s="951"/>
      <c r="GT96" s="951"/>
      <c r="GU96" s="951"/>
      <c r="GV96" s="951"/>
      <c r="GW96" s="951"/>
      <c r="GX96" s="951"/>
      <c r="GY96" s="951"/>
      <c r="GZ96" s="951"/>
      <c r="HA96" s="951"/>
      <c r="HB96" s="951"/>
      <c r="HC96" s="951"/>
      <c r="HD96" s="951"/>
      <c r="HE96" s="951"/>
      <c r="HF96" s="951"/>
      <c r="HG96" s="951"/>
      <c r="HH96" s="951"/>
      <c r="HI96" s="951"/>
      <c r="HJ96" s="951"/>
      <c r="HK96" s="951"/>
      <c r="HL96" s="951"/>
      <c r="HM96" s="951"/>
      <c r="HN96" s="951"/>
      <c r="HO96" s="951"/>
      <c r="HP96" s="951"/>
      <c r="HQ96" s="951"/>
      <c r="HR96" s="951"/>
      <c r="HS96" s="951"/>
      <c r="HT96" s="951"/>
      <c r="HU96" s="951"/>
      <c r="HV96" s="951"/>
      <c r="HW96" s="951"/>
      <c r="HX96" s="951"/>
      <c r="HY96" s="951"/>
      <c r="HZ96" s="951"/>
      <c r="IA96" s="951"/>
      <c r="IB96" s="951"/>
      <c r="IC96" s="951"/>
      <c r="ID96" s="951"/>
      <c r="IE96" s="951"/>
      <c r="IF96" s="951"/>
      <c r="IG96" s="951"/>
      <c r="IH96" s="951"/>
      <c r="II96" s="951"/>
      <c r="IJ96" s="951"/>
      <c r="IK96" s="951"/>
      <c r="IL96" s="951"/>
      <c r="IM96" s="1"/>
      <c r="IN96" s="1"/>
      <c r="IO96" s="1"/>
      <c r="IP96" s="1"/>
      <c r="IQ96" s="1"/>
      <c r="IR96" s="1"/>
      <c r="IS96" s="1"/>
      <c r="IT96" s="1"/>
    </row>
    <row r="97" spans="1:254" s="84" customFormat="1" ht="12.95" customHeight="1" thickBot="1" x14ac:dyDescent="0.2">
      <c r="A97" s="943"/>
      <c r="B97" s="944"/>
      <c r="C97" s="89">
        <f>SUM(L100:IQ100)</f>
        <v>0</v>
      </c>
      <c r="D97" s="13">
        <f>ROUNDDOWN((C97/5),0)+SUM(I98:IL98)</f>
        <v>0</v>
      </c>
      <c r="E97" s="949" t="str">
        <f>IF(F95&lt;50,"未活性",IF(F95&lt;60,"活性Lv1",IF(F95&lt;70,"活性Lv2",IF(F95&lt;80,"活性Lv3",IF(F95&lt;90,"活性Lv4",IF(F95&lt;100,"活性Lv5",IF(F95&lt;150,"活性Lv5","強制キャラロスト")))))))</f>
        <v>未活性</v>
      </c>
      <c r="F97" s="949"/>
      <c r="G97" s="932" t="s">
        <v>18</v>
      </c>
      <c r="H97" s="932"/>
      <c r="I97" s="933" t="s">
        <v>18</v>
      </c>
      <c r="J97" s="933"/>
      <c r="K97" s="934" t="str">
        <f>IF(OR(A95&lt;=B95/2,F95&gt;=90),IF(F95&gt;=120,"オーバーフロー","発動中"),"-")</f>
        <v>発動中</v>
      </c>
      <c r="L97" s="934"/>
      <c r="M97" s="960"/>
      <c r="N97" s="960"/>
      <c r="O97" s="951"/>
      <c r="P97" s="951"/>
      <c r="Q97" s="951"/>
      <c r="R97" s="951"/>
      <c r="S97" s="951"/>
      <c r="T97" s="951"/>
      <c r="U97" s="951"/>
      <c r="V97" s="951"/>
      <c r="W97" s="951"/>
      <c r="X97" s="951"/>
      <c r="Y97" s="951"/>
      <c r="Z97" s="951"/>
      <c r="AA97" s="951"/>
      <c r="AB97" s="951"/>
      <c r="AC97" s="951"/>
      <c r="AD97" s="951"/>
      <c r="AE97" s="951"/>
      <c r="AF97" s="951"/>
      <c r="AG97" s="951"/>
      <c r="AH97" s="951"/>
      <c r="AI97" s="951"/>
      <c r="AJ97" s="951"/>
      <c r="AK97" s="951"/>
      <c r="AL97" s="951"/>
      <c r="AM97" s="951"/>
      <c r="AN97" s="951"/>
      <c r="AO97" s="951"/>
      <c r="AP97" s="951"/>
      <c r="AQ97" s="951"/>
      <c r="AR97" s="951"/>
      <c r="AS97" s="951"/>
      <c r="AT97" s="951"/>
      <c r="AU97" s="951"/>
      <c r="AV97" s="951"/>
      <c r="AW97" s="951"/>
      <c r="AX97" s="951"/>
      <c r="AY97" s="951"/>
      <c r="AZ97" s="951"/>
      <c r="BA97" s="951"/>
      <c r="BB97" s="951"/>
      <c r="BC97" s="951"/>
      <c r="BD97" s="951"/>
      <c r="BE97" s="951"/>
      <c r="BF97" s="951"/>
      <c r="BG97" s="951"/>
      <c r="BH97" s="951"/>
      <c r="BI97" s="951"/>
      <c r="BJ97" s="951"/>
      <c r="BK97" s="951"/>
      <c r="BL97" s="951"/>
      <c r="BM97" s="951"/>
      <c r="BN97" s="951"/>
      <c r="BO97" s="951"/>
      <c r="BP97" s="951"/>
      <c r="BQ97" s="951"/>
      <c r="BR97" s="951"/>
      <c r="BS97" s="951"/>
      <c r="BT97" s="951"/>
      <c r="BU97" s="951"/>
      <c r="BV97" s="951"/>
      <c r="BW97" s="951"/>
      <c r="BX97" s="951"/>
      <c r="BY97" s="951"/>
      <c r="BZ97" s="951"/>
      <c r="CA97" s="951"/>
      <c r="CB97" s="951"/>
      <c r="CC97" s="951"/>
      <c r="CD97" s="951"/>
      <c r="CE97" s="951"/>
      <c r="CF97" s="951"/>
      <c r="CG97" s="951"/>
      <c r="CH97" s="951"/>
      <c r="CI97" s="951"/>
      <c r="CJ97" s="951"/>
      <c r="CK97" s="951"/>
      <c r="CL97" s="951"/>
      <c r="CM97" s="951"/>
      <c r="CN97" s="951"/>
      <c r="CO97" s="951"/>
      <c r="CP97" s="951"/>
      <c r="CQ97" s="951"/>
      <c r="CR97" s="951"/>
      <c r="CS97" s="951"/>
      <c r="CT97" s="951"/>
      <c r="CU97" s="951"/>
      <c r="CV97" s="951"/>
      <c r="CW97" s="951"/>
      <c r="CX97" s="951"/>
      <c r="CY97" s="951"/>
      <c r="CZ97" s="951"/>
      <c r="DA97" s="951"/>
      <c r="DB97" s="951"/>
      <c r="DC97" s="951"/>
      <c r="DD97" s="951"/>
      <c r="DE97" s="951"/>
      <c r="DF97" s="951"/>
      <c r="DG97" s="951"/>
      <c r="DH97" s="951"/>
      <c r="DI97" s="951"/>
      <c r="DJ97" s="951"/>
      <c r="DK97" s="951"/>
      <c r="DL97" s="951"/>
      <c r="DM97" s="951"/>
      <c r="DN97" s="951"/>
      <c r="DO97" s="951"/>
      <c r="DP97" s="951"/>
      <c r="DQ97" s="951"/>
      <c r="DR97" s="951"/>
      <c r="DS97" s="951"/>
      <c r="DT97" s="951"/>
      <c r="DU97" s="951"/>
      <c r="DV97" s="951"/>
      <c r="DW97" s="951"/>
      <c r="DX97" s="951"/>
      <c r="DY97" s="951"/>
      <c r="DZ97" s="951"/>
      <c r="EA97" s="951"/>
      <c r="EB97" s="951"/>
      <c r="EC97" s="951"/>
      <c r="ED97" s="951"/>
      <c r="EE97" s="951"/>
      <c r="EF97" s="951"/>
      <c r="EG97" s="951"/>
      <c r="EH97" s="951"/>
      <c r="EI97" s="951"/>
      <c r="EJ97" s="951"/>
      <c r="EK97" s="951"/>
      <c r="EL97" s="951"/>
      <c r="EM97" s="951"/>
      <c r="EN97" s="951"/>
      <c r="EO97" s="951"/>
      <c r="EP97" s="951"/>
      <c r="EQ97" s="951"/>
      <c r="ER97" s="951"/>
      <c r="ES97" s="951"/>
      <c r="ET97" s="951"/>
      <c r="EU97" s="951"/>
      <c r="EV97" s="951"/>
      <c r="EW97" s="951"/>
      <c r="EX97" s="951"/>
      <c r="EY97" s="951"/>
      <c r="EZ97" s="951"/>
      <c r="FA97" s="951"/>
      <c r="FB97" s="951"/>
      <c r="FC97" s="951"/>
      <c r="FD97" s="951"/>
      <c r="FE97" s="951"/>
      <c r="FF97" s="951"/>
      <c r="FG97" s="951"/>
      <c r="FH97" s="951"/>
      <c r="FI97" s="951"/>
      <c r="FJ97" s="951"/>
      <c r="FK97" s="951"/>
      <c r="FL97" s="951"/>
      <c r="FM97" s="951"/>
      <c r="FN97" s="951"/>
      <c r="FO97" s="951"/>
      <c r="FP97" s="951"/>
      <c r="FQ97" s="951"/>
      <c r="FR97" s="951"/>
      <c r="FS97" s="951"/>
      <c r="FT97" s="951"/>
      <c r="FU97" s="951"/>
      <c r="FV97" s="951"/>
      <c r="FW97" s="951"/>
      <c r="FX97" s="951"/>
      <c r="FY97" s="951"/>
      <c r="FZ97" s="951"/>
      <c r="GA97" s="951"/>
      <c r="GB97" s="951"/>
      <c r="GC97" s="951"/>
      <c r="GD97" s="951"/>
      <c r="GE97" s="951"/>
      <c r="GF97" s="951"/>
      <c r="GG97" s="951"/>
      <c r="GH97" s="951"/>
      <c r="GI97" s="951"/>
      <c r="GJ97" s="951"/>
      <c r="GK97" s="951"/>
      <c r="GL97" s="951"/>
      <c r="GM97" s="951"/>
      <c r="GN97" s="951"/>
      <c r="GO97" s="951"/>
      <c r="GP97" s="951"/>
      <c r="GQ97" s="951"/>
      <c r="GR97" s="951"/>
      <c r="GS97" s="951"/>
      <c r="GT97" s="951"/>
      <c r="GU97" s="951"/>
      <c r="GV97" s="951"/>
      <c r="GW97" s="951"/>
      <c r="GX97" s="951"/>
      <c r="GY97" s="951"/>
      <c r="GZ97" s="951"/>
      <c r="HA97" s="951"/>
      <c r="HB97" s="951"/>
      <c r="HC97" s="951"/>
      <c r="HD97" s="951"/>
      <c r="HE97" s="951"/>
      <c r="HF97" s="951"/>
      <c r="HG97" s="951"/>
      <c r="HH97" s="951"/>
      <c r="HI97" s="951"/>
      <c r="HJ97" s="951"/>
      <c r="HK97" s="951"/>
      <c r="HL97" s="951"/>
      <c r="HM97" s="951"/>
      <c r="HN97" s="951"/>
      <c r="HO97" s="951"/>
      <c r="HP97" s="951"/>
      <c r="HQ97" s="951"/>
      <c r="HR97" s="951"/>
      <c r="HS97" s="951"/>
      <c r="HT97" s="951"/>
      <c r="HU97" s="951"/>
      <c r="HV97" s="951"/>
      <c r="HW97" s="951"/>
      <c r="HX97" s="951"/>
      <c r="HY97" s="951"/>
      <c r="HZ97" s="951"/>
      <c r="IA97" s="951"/>
      <c r="IB97" s="951"/>
      <c r="IC97" s="951"/>
      <c r="ID97" s="951"/>
      <c r="IE97" s="951"/>
      <c r="IF97" s="951"/>
      <c r="IG97" s="951"/>
      <c r="IH97" s="951"/>
      <c r="II97" s="951"/>
      <c r="IJ97" s="951"/>
      <c r="IK97" s="951"/>
      <c r="IL97" s="951"/>
      <c r="IM97" s="1"/>
      <c r="IN97" s="1"/>
      <c r="IO97" s="1"/>
      <c r="IP97" s="1"/>
      <c r="IQ97" s="1"/>
      <c r="IR97" s="1"/>
      <c r="IS97" s="1"/>
      <c r="IT97" s="1"/>
    </row>
    <row r="98" spans="1:254" s="92" customFormat="1" ht="12.95" customHeight="1" thickBot="1" x14ac:dyDescent="0.2">
      <c r="A98" s="90" t="s">
        <v>439</v>
      </c>
      <c r="B98" s="41"/>
      <c r="C98" s="935" t="str">
        <f>IF(G93="反応型",IF(50&gt;F95,"+0",IF(60&gt;F95,"+1",IF(70&gt;F95,"+2",IF(F95&gt;=70,"+3")))),"活性補正")</f>
        <v>活性補正</v>
      </c>
      <c r="D98" s="46" t="s">
        <v>440</v>
      </c>
      <c r="E98" s="42"/>
      <c r="F98" s="936" t="str">
        <f>IF(G93="増強型",IF(50&gt;F95,"+0",IF(60&gt;F95,"+1",IF(70&gt;F95,"+2",IF(F95&gt;=70,"+3")))),"活性補正")</f>
        <v>活性補正</v>
      </c>
      <c r="G98" s="937" t="s">
        <v>659</v>
      </c>
      <c r="H98" s="937"/>
      <c r="I98" s="938" t="s">
        <v>660</v>
      </c>
      <c r="J98" s="938"/>
      <c r="K98" s="938"/>
      <c r="L98" s="938"/>
      <c r="M98" s="91" t="s">
        <v>661</v>
      </c>
      <c r="N98" s="92" t="s">
        <v>647</v>
      </c>
      <c r="O98" s="92">
        <v>0</v>
      </c>
      <c r="IL98" s="93"/>
      <c r="IM98" s="1"/>
      <c r="IN98" s="1"/>
      <c r="IO98" s="1"/>
      <c r="IP98" s="1"/>
      <c r="IQ98" s="1"/>
      <c r="IR98" s="1"/>
      <c r="IS98" s="1"/>
      <c r="IT98" s="1"/>
    </row>
    <row r="99" spans="1:254" s="98" customFormat="1" ht="12.95" customHeight="1" thickBot="1" x14ac:dyDescent="0.2">
      <c r="A99" s="21" t="s">
        <v>442</v>
      </c>
      <c r="B99" s="43"/>
      <c r="C99" s="935"/>
      <c r="D99" s="20" t="s">
        <v>443</v>
      </c>
      <c r="E99" s="44"/>
      <c r="F99" s="936"/>
      <c r="G99" s="939" t="s">
        <v>662</v>
      </c>
      <c r="H99" s="939"/>
      <c r="I99" s="94" t="s">
        <v>663</v>
      </c>
      <c r="J99" s="95"/>
      <c r="K99" s="95" t="s">
        <v>664</v>
      </c>
      <c r="L99" s="96"/>
      <c r="M99" s="97" t="s">
        <v>661</v>
      </c>
      <c r="N99" s="95" t="s">
        <v>647</v>
      </c>
      <c r="O99" s="95"/>
      <c r="IL99" s="99"/>
      <c r="IM99" s="1"/>
      <c r="IN99" s="1"/>
      <c r="IO99" s="1"/>
      <c r="IP99" s="1"/>
      <c r="IQ99" s="1"/>
      <c r="IR99" s="1"/>
      <c r="IS99" s="1"/>
      <c r="IT99" s="1"/>
    </row>
    <row r="100" spans="1:254" s="105" customFormat="1" ht="12" customHeight="1" x14ac:dyDescent="0.15">
      <c r="A100" s="21" t="s">
        <v>445</v>
      </c>
      <c r="B100" s="43"/>
      <c r="C100" s="935"/>
      <c r="D100" s="20" t="s">
        <v>446</v>
      </c>
      <c r="E100" s="44"/>
      <c r="F100" s="936"/>
      <c r="G100" s="930" t="s">
        <v>665</v>
      </c>
      <c r="H100" s="930"/>
      <c r="I100" s="100"/>
      <c r="J100" s="101"/>
      <c r="K100" s="101"/>
      <c r="L100" s="102"/>
      <c r="M100" s="103" t="s">
        <v>666</v>
      </c>
      <c r="N100" s="104" t="s">
        <v>647</v>
      </c>
      <c r="O100" s="104"/>
      <c r="IL100" s="106"/>
      <c r="IM100" s="1"/>
      <c r="IN100" s="1"/>
      <c r="IO100" s="1"/>
      <c r="IP100" s="1"/>
      <c r="IQ100" s="1"/>
      <c r="IR100" s="1"/>
      <c r="IS100" s="1"/>
      <c r="IT100" s="1"/>
    </row>
    <row r="101" spans="1:254" s="105" customFormat="1" ht="12.95" customHeight="1" x14ac:dyDescent="0.15">
      <c r="A101" s="21" t="s">
        <v>293</v>
      </c>
      <c r="B101" s="150"/>
      <c r="C101" s="929" t="str">
        <f>IF(G93="増強型",IF(50&gt;F95,"+0",IF(60&gt;F95,"+1",IF(70&gt;F95,"+2",IF(F95&gt;=70,"+3")))),"活性補正")</f>
        <v>活性補正</v>
      </c>
      <c r="D101" s="20" t="s">
        <v>667</v>
      </c>
      <c r="E101" s="150"/>
      <c r="F101" s="18"/>
      <c r="G101" s="930" t="s">
        <v>668</v>
      </c>
      <c r="H101" s="930"/>
      <c r="I101" s="107" t="s">
        <v>669</v>
      </c>
      <c r="J101" s="104"/>
      <c r="K101" s="104" t="s">
        <v>670</v>
      </c>
      <c r="L101" s="108"/>
      <c r="M101" s="103" t="s">
        <v>666</v>
      </c>
      <c r="N101" s="104" t="s">
        <v>647</v>
      </c>
      <c r="O101" s="104"/>
      <c r="IL101" s="106"/>
      <c r="IM101" s="1"/>
      <c r="IN101" s="1"/>
      <c r="IO101" s="1"/>
      <c r="IP101" s="1"/>
      <c r="IQ101" s="1"/>
      <c r="IR101" s="1"/>
      <c r="IS101" s="1"/>
      <c r="IT101" s="1"/>
    </row>
    <row r="102" spans="1:254" s="153" customFormat="1" ht="12.95" customHeight="1" thickBot="1" x14ac:dyDescent="0.2">
      <c r="A102" s="21" t="s">
        <v>444</v>
      </c>
      <c r="B102" s="150"/>
      <c r="C102" s="929"/>
      <c r="D102" s="20" t="s">
        <v>449</v>
      </c>
      <c r="E102" s="150"/>
      <c r="F102" s="109" t="str">
        <f>IF(G93="覚醒型",IF(50&gt;F95,"+0",IF(60&gt;F95,"+1",IF(70&gt;F95,"+2",IF(F95&gt;=70,"+3")))),"活性補正")</f>
        <v>活性補正</v>
      </c>
      <c r="G102" s="931" t="s">
        <v>671</v>
      </c>
      <c r="H102" s="931"/>
      <c r="I102" s="110" t="s">
        <v>672</v>
      </c>
      <c r="J102" s="111"/>
      <c r="K102" s="111" t="s">
        <v>673</v>
      </c>
      <c r="L102" s="112">
        <f>L101</f>
        <v>0</v>
      </c>
      <c r="M102" s="151" t="s">
        <v>661</v>
      </c>
      <c r="N102" s="152" t="s">
        <v>647</v>
      </c>
      <c r="O102" s="152">
        <v>0</v>
      </c>
      <c r="IL102" s="154"/>
      <c r="IM102" s="1"/>
      <c r="IN102" s="1"/>
      <c r="IO102" s="1"/>
      <c r="IP102" s="1"/>
      <c r="IQ102" s="1"/>
      <c r="IR102" s="1"/>
      <c r="IS102" s="1"/>
      <c r="IT102" s="1"/>
    </row>
    <row r="103" spans="1:254" s="1" customFormat="1" ht="12" customHeight="1" x14ac:dyDescent="0.15">
      <c r="A103" s="45" t="s">
        <v>33</v>
      </c>
      <c r="B103" s="155"/>
      <c r="C103" s="45" t="s">
        <v>125</v>
      </c>
      <c r="D103" s="155"/>
      <c r="E103" s="46" t="s">
        <v>185</v>
      </c>
      <c r="F103" s="155"/>
      <c r="G103" s="46" t="s">
        <v>240</v>
      </c>
      <c r="H103" s="155"/>
      <c r="I103" s="46" t="s">
        <v>283</v>
      </c>
      <c r="J103" s="155"/>
      <c r="K103" s="46" t="s">
        <v>324</v>
      </c>
      <c r="L103" s="156"/>
    </row>
    <row r="104" spans="1:254" s="1" customFormat="1" ht="12" customHeight="1" thickBot="1" x14ac:dyDescent="0.2">
      <c r="A104" s="47" t="s">
        <v>87</v>
      </c>
      <c r="B104" s="157"/>
      <c r="C104" s="47" t="s">
        <v>154</v>
      </c>
      <c r="D104" s="157"/>
      <c r="E104" s="23" t="s">
        <v>213</v>
      </c>
      <c r="F104" s="157"/>
      <c r="G104" s="23" t="s">
        <v>264</v>
      </c>
      <c r="H104" s="157"/>
      <c r="I104" s="23" t="s">
        <v>302</v>
      </c>
      <c r="J104" s="157"/>
      <c r="K104" s="23" t="s">
        <v>248</v>
      </c>
      <c r="L104" s="158"/>
    </row>
    <row r="106" spans="1:254" s="84" customFormat="1" ht="12.95" customHeight="1" thickBot="1" x14ac:dyDescent="0.2">
      <c r="A106" s="961" t="s">
        <v>435</v>
      </c>
      <c r="B106" s="961"/>
      <c r="C106" s="961"/>
      <c r="D106" s="961"/>
      <c r="E106" s="962" t="s">
        <v>453</v>
      </c>
      <c r="F106" s="962"/>
      <c r="G106" s="959" t="s">
        <v>1</v>
      </c>
      <c r="H106" s="959"/>
      <c r="I106" s="959" t="s">
        <v>308</v>
      </c>
      <c r="J106" s="959"/>
      <c r="K106" s="959"/>
      <c r="L106" s="959"/>
      <c r="M106" s="960" t="s">
        <v>646</v>
      </c>
      <c r="N106" s="951" t="s">
        <v>647</v>
      </c>
      <c r="O106" s="951" t="s">
        <v>688</v>
      </c>
      <c r="P106" s="951"/>
      <c r="Q106" s="951"/>
      <c r="R106" s="951"/>
      <c r="S106" s="951"/>
      <c r="T106" s="951"/>
      <c r="U106" s="951"/>
      <c r="V106" s="951"/>
      <c r="W106" s="951"/>
      <c r="X106" s="951"/>
      <c r="Y106" s="951"/>
      <c r="Z106" s="951"/>
      <c r="AA106" s="951"/>
      <c r="AB106" s="951"/>
      <c r="AC106" s="951"/>
      <c r="AD106" s="951"/>
      <c r="AE106" s="951"/>
      <c r="AF106" s="951"/>
      <c r="AG106" s="951"/>
      <c r="AH106" s="951"/>
      <c r="AI106" s="951"/>
      <c r="AJ106" s="951"/>
      <c r="AK106" s="951"/>
      <c r="AL106" s="951"/>
      <c r="AM106" s="951"/>
      <c r="AN106" s="951"/>
      <c r="AO106" s="951"/>
      <c r="AP106" s="951"/>
      <c r="AQ106" s="951"/>
      <c r="AR106" s="951"/>
      <c r="AS106" s="951"/>
      <c r="AT106" s="951"/>
      <c r="AU106" s="951"/>
      <c r="AV106" s="951"/>
      <c r="AW106" s="951"/>
      <c r="AX106" s="951"/>
      <c r="AY106" s="951"/>
      <c r="AZ106" s="951"/>
      <c r="BA106" s="951"/>
      <c r="BB106" s="951"/>
      <c r="BC106" s="951"/>
      <c r="BD106" s="951"/>
      <c r="BE106" s="951"/>
      <c r="BF106" s="951"/>
      <c r="BG106" s="951"/>
      <c r="BH106" s="951"/>
      <c r="BI106" s="951"/>
      <c r="BJ106" s="951"/>
      <c r="BK106" s="951"/>
      <c r="BL106" s="951"/>
      <c r="BM106" s="951"/>
      <c r="BN106" s="951"/>
      <c r="BO106" s="951"/>
      <c r="BP106" s="951"/>
      <c r="BQ106" s="951"/>
      <c r="BR106" s="951"/>
      <c r="BS106" s="951"/>
      <c r="BT106" s="951"/>
      <c r="BU106" s="951"/>
      <c r="BV106" s="951"/>
      <c r="BW106" s="951"/>
      <c r="BX106" s="951"/>
      <c r="BY106" s="951"/>
      <c r="BZ106" s="951"/>
      <c r="CA106" s="951"/>
      <c r="CB106" s="951"/>
      <c r="CC106" s="951"/>
      <c r="CD106" s="951"/>
      <c r="CE106" s="951"/>
      <c r="CF106" s="951"/>
      <c r="CG106" s="951"/>
      <c r="CH106" s="951"/>
      <c r="CI106" s="951"/>
      <c r="CJ106" s="951"/>
      <c r="CK106" s="951"/>
      <c r="CL106" s="951"/>
      <c r="CM106" s="951"/>
      <c r="CN106" s="951"/>
      <c r="CO106" s="951"/>
      <c r="CP106" s="951"/>
      <c r="CQ106" s="951"/>
      <c r="CR106" s="951"/>
      <c r="CS106" s="951"/>
      <c r="CT106" s="951"/>
      <c r="CU106" s="951"/>
      <c r="CV106" s="951"/>
      <c r="CW106" s="951"/>
      <c r="CX106" s="951"/>
      <c r="CY106" s="951"/>
      <c r="CZ106" s="951"/>
      <c r="DA106" s="951"/>
      <c r="DB106" s="951"/>
      <c r="DC106" s="951"/>
      <c r="DD106" s="951"/>
      <c r="DE106" s="951"/>
      <c r="DF106" s="951"/>
      <c r="DG106" s="951"/>
      <c r="DH106" s="951"/>
      <c r="DI106" s="951"/>
      <c r="DJ106" s="951"/>
      <c r="DK106" s="951"/>
      <c r="DL106" s="951"/>
      <c r="DM106" s="951"/>
      <c r="DN106" s="951"/>
      <c r="DO106" s="951"/>
      <c r="DP106" s="951"/>
      <c r="DQ106" s="951"/>
      <c r="DR106" s="951"/>
      <c r="DS106" s="951"/>
      <c r="DT106" s="951"/>
      <c r="DU106" s="951"/>
      <c r="DV106" s="951"/>
      <c r="DW106" s="951"/>
      <c r="DX106" s="951"/>
      <c r="DY106" s="951"/>
      <c r="DZ106" s="951"/>
      <c r="EA106" s="951"/>
      <c r="EB106" s="951"/>
      <c r="EC106" s="951"/>
      <c r="ED106" s="951"/>
      <c r="EE106" s="951"/>
      <c r="EF106" s="951"/>
      <c r="EG106" s="951"/>
      <c r="EH106" s="951"/>
      <c r="EI106" s="951"/>
      <c r="EJ106" s="951"/>
      <c r="EK106" s="951"/>
      <c r="EL106" s="951"/>
      <c r="EM106" s="951"/>
      <c r="EN106" s="951"/>
      <c r="EO106" s="951"/>
      <c r="EP106" s="951"/>
      <c r="EQ106" s="951"/>
      <c r="ER106" s="951"/>
      <c r="ES106" s="951"/>
      <c r="ET106" s="951"/>
      <c r="EU106" s="951"/>
      <c r="EV106" s="951"/>
      <c r="EW106" s="951"/>
      <c r="EX106" s="951"/>
      <c r="EY106" s="951"/>
      <c r="EZ106" s="951"/>
      <c r="FA106" s="951"/>
      <c r="FB106" s="951"/>
      <c r="FC106" s="951"/>
      <c r="FD106" s="951"/>
      <c r="FE106" s="951"/>
      <c r="FF106" s="951"/>
      <c r="FG106" s="951"/>
      <c r="FH106" s="951"/>
      <c r="FI106" s="951"/>
      <c r="FJ106" s="951"/>
      <c r="FK106" s="951"/>
      <c r="FL106" s="951"/>
      <c r="FM106" s="951"/>
      <c r="FN106" s="951"/>
      <c r="FO106" s="951"/>
      <c r="FP106" s="951"/>
      <c r="FQ106" s="951"/>
      <c r="FR106" s="951"/>
      <c r="FS106" s="951"/>
      <c r="FT106" s="951"/>
      <c r="FU106" s="951"/>
      <c r="FV106" s="951"/>
      <c r="FW106" s="951"/>
      <c r="FX106" s="951"/>
      <c r="FY106" s="951"/>
      <c r="FZ106" s="951"/>
      <c r="GA106" s="951"/>
      <c r="GB106" s="951"/>
      <c r="GC106" s="951"/>
      <c r="GD106" s="951"/>
      <c r="GE106" s="951"/>
      <c r="GF106" s="951"/>
      <c r="GG106" s="951"/>
      <c r="GH106" s="951"/>
      <c r="GI106" s="951"/>
      <c r="GJ106" s="951"/>
      <c r="GK106" s="951"/>
      <c r="GL106" s="951"/>
      <c r="GM106" s="951"/>
      <c r="GN106" s="951"/>
      <c r="GO106" s="951"/>
      <c r="GP106" s="951"/>
      <c r="GQ106" s="951"/>
      <c r="GR106" s="951"/>
      <c r="GS106" s="951"/>
      <c r="GT106" s="951"/>
      <c r="GU106" s="951"/>
      <c r="GV106" s="951"/>
      <c r="GW106" s="951"/>
      <c r="GX106" s="951"/>
      <c r="GY106" s="951"/>
      <c r="GZ106" s="951"/>
      <c r="HA106" s="951"/>
      <c r="HB106" s="951"/>
      <c r="HC106" s="951"/>
      <c r="HD106" s="951"/>
      <c r="HE106" s="951"/>
      <c r="HF106" s="951"/>
      <c r="HG106" s="951"/>
      <c r="HH106" s="951"/>
      <c r="HI106" s="951"/>
      <c r="HJ106" s="951"/>
      <c r="HK106" s="951"/>
      <c r="HL106" s="951"/>
      <c r="HM106" s="951"/>
      <c r="HN106" s="951"/>
      <c r="HO106" s="951"/>
      <c r="HP106" s="951"/>
      <c r="HQ106" s="951"/>
      <c r="HR106" s="951"/>
      <c r="HS106" s="951"/>
      <c r="HT106" s="951"/>
      <c r="HU106" s="951"/>
      <c r="HV106" s="951"/>
      <c r="HW106" s="951"/>
      <c r="HX106" s="951"/>
      <c r="HY106" s="951"/>
      <c r="HZ106" s="951"/>
      <c r="IA106" s="951"/>
      <c r="IB106" s="951"/>
      <c r="IC106" s="951"/>
      <c r="ID106" s="951"/>
      <c r="IE106" s="951"/>
      <c r="IF106" s="951"/>
      <c r="IG106" s="951"/>
      <c r="IH106" s="951"/>
      <c r="II106" s="951"/>
      <c r="IJ106" s="951"/>
      <c r="IK106" s="951"/>
      <c r="IL106" s="950"/>
      <c r="IM106" s="1"/>
      <c r="IN106" s="1"/>
      <c r="IO106" s="1"/>
      <c r="IP106" s="1"/>
      <c r="IQ106" s="1"/>
      <c r="IR106" s="1"/>
      <c r="IS106" s="1"/>
      <c r="IT106" s="1"/>
    </row>
    <row r="107" spans="1:254" s="84" customFormat="1" ht="12.95" customHeight="1" thickBot="1" x14ac:dyDescent="0.2">
      <c r="A107" s="952"/>
      <c r="B107" s="952"/>
      <c r="C107" s="952"/>
      <c r="D107" s="952"/>
      <c r="E107" s="953"/>
      <c r="F107" s="953"/>
      <c r="G107" s="940" t="s">
        <v>18</v>
      </c>
      <c r="H107" s="940"/>
      <c r="I107" s="954" t="s">
        <v>292</v>
      </c>
      <c r="J107" s="954"/>
      <c r="K107" s="955" t="s">
        <v>292</v>
      </c>
      <c r="L107" s="955"/>
      <c r="M107" s="960"/>
      <c r="N107" s="951"/>
      <c r="O107" s="951"/>
      <c r="P107" s="951"/>
      <c r="Q107" s="951"/>
      <c r="R107" s="951"/>
      <c r="S107" s="951"/>
      <c r="T107" s="951"/>
      <c r="U107" s="951"/>
      <c r="V107" s="951"/>
      <c r="W107" s="951"/>
      <c r="X107" s="951"/>
      <c r="Y107" s="951"/>
      <c r="Z107" s="951"/>
      <c r="AA107" s="951"/>
      <c r="AB107" s="951"/>
      <c r="AC107" s="951"/>
      <c r="AD107" s="951"/>
      <c r="AE107" s="951"/>
      <c r="AF107" s="951"/>
      <c r="AG107" s="951"/>
      <c r="AH107" s="951"/>
      <c r="AI107" s="951"/>
      <c r="AJ107" s="951"/>
      <c r="AK107" s="951"/>
      <c r="AL107" s="951"/>
      <c r="AM107" s="951"/>
      <c r="AN107" s="951"/>
      <c r="AO107" s="951"/>
      <c r="AP107" s="951"/>
      <c r="AQ107" s="951"/>
      <c r="AR107" s="951"/>
      <c r="AS107" s="951"/>
      <c r="AT107" s="951"/>
      <c r="AU107" s="951"/>
      <c r="AV107" s="951"/>
      <c r="AW107" s="951"/>
      <c r="AX107" s="951"/>
      <c r="AY107" s="951"/>
      <c r="AZ107" s="951"/>
      <c r="BA107" s="951"/>
      <c r="BB107" s="951"/>
      <c r="BC107" s="951"/>
      <c r="BD107" s="951"/>
      <c r="BE107" s="951"/>
      <c r="BF107" s="951"/>
      <c r="BG107" s="951"/>
      <c r="BH107" s="951"/>
      <c r="BI107" s="951"/>
      <c r="BJ107" s="951"/>
      <c r="BK107" s="951"/>
      <c r="BL107" s="951"/>
      <c r="BM107" s="951"/>
      <c r="BN107" s="951"/>
      <c r="BO107" s="951"/>
      <c r="BP107" s="951"/>
      <c r="BQ107" s="951"/>
      <c r="BR107" s="951"/>
      <c r="BS107" s="951"/>
      <c r="BT107" s="951"/>
      <c r="BU107" s="951"/>
      <c r="BV107" s="951"/>
      <c r="BW107" s="951"/>
      <c r="BX107" s="951"/>
      <c r="BY107" s="951"/>
      <c r="BZ107" s="951"/>
      <c r="CA107" s="951"/>
      <c r="CB107" s="951"/>
      <c r="CC107" s="951"/>
      <c r="CD107" s="951"/>
      <c r="CE107" s="951"/>
      <c r="CF107" s="951"/>
      <c r="CG107" s="951"/>
      <c r="CH107" s="951"/>
      <c r="CI107" s="951"/>
      <c r="CJ107" s="951"/>
      <c r="CK107" s="951"/>
      <c r="CL107" s="951"/>
      <c r="CM107" s="951"/>
      <c r="CN107" s="951"/>
      <c r="CO107" s="951"/>
      <c r="CP107" s="951"/>
      <c r="CQ107" s="951"/>
      <c r="CR107" s="951"/>
      <c r="CS107" s="951"/>
      <c r="CT107" s="951"/>
      <c r="CU107" s="951"/>
      <c r="CV107" s="951"/>
      <c r="CW107" s="951"/>
      <c r="CX107" s="951"/>
      <c r="CY107" s="951"/>
      <c r="CZ107" s="951"/>
      <c r="DA107" s="951"/>
      <c r="DB107" s="951"/>
      <c r="DC107" s="951"/>
      <c r="DD107" s="951"/>
      <c r="DE107" s="951"/>
      <c r="DF107" s="951"/>
      <c r="DG107" s="951"/>
      <c r="DH107" s="951"/>
      <c r="DI107" s="951"/>
      <c r="DJ107" s="951"/>
      <c r="DK107" s="951"/>
      <c r="DL107" s="951"/>
      <c r="DM107" s="951"/>
      <c r="DN107" s="951"/>
      <c r="DO107" s="951"/>
      <c r="DP107" s="951"/>
      <c r="DQ107" s="951"/>
      <c r="DR107" s="951"/>
      <c r="DS107" s="951"/>
      <c r="DT107" s="951"/>
      <c r="DU107" s="951"/>
      <c r="DV107" s="951"/>
      <c r="DW107" s="951"/>
      <c r="DX107" s="951"/>
      <c r="DY107" s="951"/>
      <c r="DZ107" s="951"/>
      <c r="EA107" s="951"/>
      <c r="EB107" s="951"/>
      <c r="EC107" s="951"/>
      <c r="ED107" s="951"/>
      <c r="EE107" s="951"/>
      <c r="EF107" s="951"/>
      <c r="EG107" s="951"/>
      <c r="EH107" s="951"/>
      <c r="EI107" s="951"/>
      <c r="EJ107" s="951"/>
      <c r="EK107" s="951"/>
      <c r="EL107" s="951"/>
      <c r="EM107" s="951"/>
      <c r="EN107" s="951"/>
      <c r="EO107" s="951"/>
      <c r="EP107" s="951"/>
      <c r="EQ107" s="951"/>
      <c r="ER107" s="951"/>
      <c r="ES107" s="951"/>
      <c r="ET107" s="951"/>
      <c r="EU107" s="951"/>
      <c r="EV107" s="951"/>
      <c r="EW107" s="951"/>
      <c r="EX107" s="951"/>
      <c r="EY107" s="951"/>
      <c r="EZ107" s="951"/>
      <c r="FA107" s="951"/>
      <c r="FB107" s="951"/>
      <c r="FC107" s="951"/>
      <c r="FD107" s="951"/>
      <c r="FE107" s="951"/>
      <c r="FF107" s="951"/>
      <c r="FG107" s="951"/>
      <c r="FH107" s="951"/>
      <c r="FI107" s="951"/>
      <c r="FJ107" s="951"/>
      <c r="FK107" s="951"/>
      <c r="FL107" s="951"/>
      <c r="FM107" s="951"/>
      <c r="FN107" s="951"/>
      <c r="FO107" s="951"/>
      <c r="FP107" s="951"/>
      <c r="FQ107" s="951"/>
      <c r="FR107" s="951"/>
      <c r="FS107" s="951"/>
      <c r="FT107" s="951"/>
      <c r="FU107" s="951"/>
      <c r="FV107" s="951"/>
      <c r="FW107" s="951"/>
      <c r="FX107" s="951"/>
      <c r="FY107" s="951"/>
      <c r="FZ107" s="951"/>
      <c r="GA107" s="951"/>
      <c r="GB107" s="951"/>
      <c r="GC107" s="951"/>
      <c r="GD107" s="951"/>
      <c r="GE107" s="951"/>
      <c r="GF107" s="951"/>
      <c r="GG107" s="951"/>
      <c r="GH107" s="951"/>
      <c r="GI107" s="951"/>
      <c r="GJ107" s="951"/>
      <c r="GK107" s="951"/>
      <c r="GL107" s="951"/>
      <c r="GM107" s="951"/>
      <c r="GN107" s="951"/>
      <c r="GO107" s="951"/>
      <c r="GP107" s="951"/>
      <c r="GQ107" s="951"/>
      <c r="GR107" s="951"/>
      <c r="GS107" s="951"/>
      <c r="GT107" s="951"/>
      <c r="GU107" s="951"/>
      <c r="GV107" s="951"/>
      <c r="GW107" s="951"/>
      <c r="GX107" s="951"/>
      <c r="GY107" s="951"/>
      <c r="GZ107" s="951"/>
      <c r="HA107" s="951"/>
      <c r="HB107" s="951"/>
      <c r="HC107" s="951"/>
      <c r="HD107" s="951"/>
      <c r="HE107" s="951"/>
      <c r="HF107" s="951"/>
      <c r="HG107" s="951"/>
      <c r="HH107" s="951"/>
      <c r="HI107" s="951"/>
      <c r="HJ107" s="951"/>
      <c r="HK107" s="951"/>
      <c r="HL107" s="951"/>
      <c r="HM107" s="951"/>
      <c r="HN107" s="951"/>
      <c r="HO107" s="951"/>
      <c r="HP107" s="951"/>
      <c r="HQ107" s="951"/>
      <c r="HR107" s="951"/>
      <c r="HS107" s="951"/>
      <c r="HT107" s="951"/>
      <c r="HU107" s="951"/>
      <c r="HV107" s="951"/>
      <c r="HW107" s="951"/>
      <c r="HX107" s="951"/>
      <c r="HY107" s="951"/>
      <c r="HZ107" s="951"/>
      <c r="IA107" s="951"/>
      <c r="IB107" s="951"/>
      <c r="IC107" s="951"/>
      <c r="ID107" s="951"/>
      <c r="IE107" s="951"/>
      <c r="IF107" s="951"/>
      <c r="IG107" s="951"/>
      <c r="IH107" s="951"/>
      <c r="II107" s="951"/>
      <c r="IJ107" s="951"/>
      <c r="IK107" s="951"/>
      <c r="IL107" s="951"/>
      <c r="IM107" s="1"/>
      <c r="IN107" s="1"/>
      <c r="IO107" s="1"/>
      <c r="IP107" s="1"/>
      <c r="IQ107" s="1"/>
      <c r="IR107" s="1"/>
      <c r="IS107" s="1"/>
      <c r="IT107" s="1"/>
    </row>
    <row r="108" spans="1:254" s="84" customFormat="1" ht="12.95" customHeight="1" thickBot="1" x14ac:dyDescent="0.2">
      <c r="A108" s="956" t="s">
        <v>653</v>
      </c>
      <c r="B108" s="956"/>
      <c r="C108" s="957" t="s">
        <v>441</v>
      </c>
      <c r="D108" s="957"/>
      <c r="E108" s="958" t="s">
        <v>513</v>
      </c>
      <c r="F108" s="958"/>
      <c r="G108" s="946" t="s">
        <v>4</v>
      </c>
      <c r="H108" s="946"/>
      <c r="I108" s="947" t="s">
        <v>654</v>
      </c>
      <c r="J108" s="947"/>
      <c r="K108" s="948" t="s">
        <v>655</v>
      </c>
      <c r="L108" s="948"/>
      <c r="M108" s="960"/>
      <c r="N108" s="951"/>
      <c r="O108" s="951"/>
      <c r="P108" s="951"/>
      <c r="Q108" s="951"/>
      <c r="R108" s="951"/>
      <c r="S108" s="951"/>
      <c r="T108" s="951"/>
      <c r="U108" s="951"/>
      <c r="V108" s="951"/>
      <c r="W108" s="951"/>
      <c r="X108" s="951"/>
      <c r="Y108" s="951"/>
      <c r="Z108" s="951"/>
      <c r="AA108" s="951"/>
      <c r="AB108" s="951"/>
      <c r="AC108" s="951"/>
      <c r="AD108" s="951"/>
      <c r="AE108" s="951"/>
      <c r="AF108" s="951"/>
      <c r="AG108" s="951"/>
      <c r="AH108" s="951"/>
      <c r="AI108" s="951"/>
      <c r="AJ108" s="951"/>
      <c r="AK108" s="951"/>
      <c r="AL108" s="951"/>
      <c r="AM108" s="951"/>
      <c r="AN108" s="951"/>
      <c r="AO108" s="951"/>
      <c r="AP108" s="951"/>
      <c r="AQ108" s="951"/>
      <c r="AR108" s="951"/>
      <c r="AS108" s="951"/>
      <c r="AT108" s="951"/>
      <c r="AU108" s="951"/>
      <c r="AV108" s="951"/>
      <c r="AW108" s="951"/>
      <c r="AX108" s="951"/>
      <c r="AY108" s="951"/>
      <c r="AZ108" s="951"/>
      <c r="BA108" s="951"/>
      <c r="BB108" s="951"/>
      <c r="BC108" s="951"/>
      <c r="BD108" s="951"/>
      <c r="BE108" s="951"/>
      <c r="BF108" s="951"/>
      <c r="BG108" s="951"/>
      <c r="BH108" s="951"/>
      <c r="BI108" s="951"/>
      <c r="BJ108" s="951"/>
      <c r="BK108" s="951"/>
      <c r="BL108" s="951"/>
      <c r="BM108" s="951"/>
      <c r="BN108" s="951"/>
      <c r="BO108" s="951"/>
      <c r="BP108" s="951"/>
      <c r="BQ108" s="951"/>
      <c r="BR108" s="951"/>
      <c r="BS108" s="951"/>
      <c r="BT108" s="951"/>
      <c r="BU108" s="951"/>
      <c r="BV108" s="951"/>
      <c r="BW108" s="951"/>
      <c r="BX108" s="951"/>
      <c r="BY108" s="951"/>
      <c r="BZ108" s="951"/>
      <c r="CA108" s="951"/>
      <c r="CB108" s="951"/>
      <c r="CC108" s="951"/>
      <c r="CD108" s="951"/>
      <c r="CE108" s="951"/>
      <c r="CF108" s="951"/>
      <c r="CG108" s="951"/>
      <c r="CH108" s="951"/>
      <c r="CI108" s="951"/>
      <c r="CJ108" s="951"/>
      <c r="CK108" s="951"/>
      <c r="CL108" s="951"/>
      <c r="CM108" s="951"/>
      <c r="CN108" s="951"/>
      <c r="CO108" s="951"/>
      <c r="CP108" s="951"/>
      <c r="CQ108" s="951"/>
      <c r="CR108" s="951"/>
      <c r="CS108" s="951"/>
      <c r="CT108" s="951"/>
      <c r="CU108" s="951"/>
      <c r="CV108" s="951"/>
      <c r="CW108" s="951"/>
      <c r="CX108" s="951"/>
      <c r="CY108" s="951"/>
      <c r="CZ108" s="951"/>
      <c r="DA108" s="951"/>
      <c r="DB108" s="951"/>
      <c r="DC108" s="951"/>
      <c r="DD108" s="951"/>
      <c r="DE108" s="951"/>
      <c r="DF108" s="951"/>
      <c r="DG108" s="951"/>
      <c r="DH108" s="951"/>
      <c r="DI108" s="951"/>
      <c r="DJ108" s="951"/>
      <c r="DK108" s="951"/>
      <c r="DL108" s="951"/>
      <c r="DM108" s="951"/>
      <c r="DN108" s="951"/>
      <c r="DO108" s="951"/>
      <c r="DP108" s="951"/>
      <c r="DQ108" s="951"/>
      <c r="DR108" s="951"/>
      <c r="DS108" s="951"/>
      <c r="DT108" s="951"/>
      <c r="DU108" s="951"/>
      <c r="DV108" s="951"/>
      <c r="DW108" s="951"/>
      <c r="DX108" s="951"/>
      <c r="DY108" s="951"/>
      <c r="DZ108" s="951"/>
      <c r="EA108" s="951"/>
      <c r="EB108" s="951"/>
      <c r="EC108" s="951"/>
      <c r="ED108" s="951"/>
      <c r="EE108" s="951"/>
      <c r="EF108" s="951"/>
      <c r="EG108" s="951"/>
      <c r="EH108" s="951"/>
      <c r="EI108" s="951"/>
      <c r="EJ108" s="951"/>
      <c r="EK108" s="951"/>
      <c r="EL108" s="951"/>
      <c r="EM108" s="951"/>
      <c r="EN108" s="951"/>
      <c r="EO108" s="951"/>
      <c r="EP108" s="951"/>
      <c r="EQ108" s="951"/>
      <c r="ER108" s="951"/>
      <c r="ES108" s="951"/>
      <c r="ET108" s="951"/>
      <c r="EU108" s="951"/>
      <c r="EV108" s="951"/>
      <c r="EW108" s="951"/>
      <c r="EX108" s="951"/>
      <c r="EY108" s="951"/>
      <c r="EZ108" s="951"/>
      <c r="FA108" s="951"/>
      <c r="FB108" s="951"/>
      <c r="FC108" s="951"/>
      <c r="FD108" s="951"/>
      <c r="FE108" s="951"/>
      <c r="FF108" s="951"/>
      <c r="FG108" s="951"/>
      <c r="FH108" s="951"/>
      <c r="FI108" s="951"/>
      <c r="FJ108" s="951"/>
      <c r="FK108" s="951"/>
      <c r="FL108" s="951"/>
      <c r="FM108" s="951"/>
      <c r="FN108" s="951"/>
      <c r="FO108" s="951"/>
      <c r="FP108" s="951"/>
      <c r="FQ108" s="951"/>
      <c r="FR108" s="951"/>
      <c r="FS108" s="951"/>
      <c r="FT108" s="951"/>
      <c r="FU108" s="951"/>
      <c r="FV108" s="951"/>
      <c r="FW108" s="951"/>
      <c r="FX108" s="951"/>
      <c r="FY108" s="951"/>
      <c r="FZ108" s="951"/>
      <c r="GA108" s="951"/>
      <c r="GB108" s="951"/>
      <c r="GC108" s="951"/>
      <c r="GD108" s="951"/>
      <c r="GE108" s="951"/>
      <c r="GF108" s="951"/>
      <c r="GG108" s="951"/>
      <c r="GH108" s="951"/>
      <c r="GI108" s="951"/>
      <c r="GJ108" s="951"/>
      <c r="GK108" s="951"/>
      <c r="GL108" s="951"/>
      <c r="GM108" s="951"/>
      <c r="GN108" s="951"/>
      <c r="GO108" s="951"/>
      <c r="GP108" s="951"/>
      <c r="GQ108" s="951"/>
      <c r="GR108" s="951"/>
      <c r="GS108" s="951"/>
      <c r="GT108" s="951"/>
      <c r="GU108" s="951"/>
      <c r="GV108" s="951"/>
      <c r="GW108" s="951"/>
      <c r="GX108" s="951"/>
      <c r="GY108" s="951"/>
      <c r="GZ108" s="951"/>
      <c r="HA108" s="951"/>
      <c r="HB108" s="951"/>
      <c r="HC108" s="951"/>
      <c r="HD108" s="951"/>
      <c r="HE108" s="951"/>
      <c r="HF108" s="951"/>
      <c r="HG108" s="951"/>
      <c r="HH108" s="951"/>
      <c r="HI108" s="951"/>
      <c r="HJ108" s="951"/>
      <c r="HK108" s="951"/>
      <c r="HL108" s="951"/>
      <c r="HM108" s="951"/>
      <c r="HN108" s="951"/>
      <c r="HO108" s="951"/>
      <c r="HP108" s="951"/>
      <c r="HQ108" s="951"/>
      <c r="HR108" s="951"/>
      <c r="HS108" s="951"/>
      <c r="HT108" s="951"/>
      <c r="HU108" s="951"/>
      <c r="HV108" s="951"/>
      <c r="HW108" s="951"/>
      <c r="HX108" s="951"/>
      <c r="HY108" s="951"/>
      <c r="HZ108" s="951"/>
      <c r="IA108" s="951"/>
      <c r="IB108" s="951"/>
      <c r="IC108" s="951"/>
      <c r="ID108" s="951"/>
      <c r="IE108" s="951"/>
      <c r="IF108" s="951"/>
      <c r="IG108" s="951"/>
      <c r="IH108" s="951"/>
      <c r="II108" s="951"/>
      <c r="IJ108" s="951"/>
      <c r="IK108" s="951"/>
      <c r="IL108" s="951"/>
      <c r="IM108" s="1"/>
      <c r="IN108" s="1"/>
      <c r="IO108" s="1"/>
      <c r="IP108" s="1"/>
      <c r="IQ108" s="1"/>
      <c r="IR108" s="1"/>
      <c r="IS108" s="1"/>
      <c r="IT108" s="1"/>
    </row>
    <row r="109" spans="1:254" s="84" customFormat="1" ht="12.95" customHeight="1" thickBot="1" x14ac:dyDescent="0.2">
      <c r="A109" s="85">
        <f>B109+SUM(O113:IL113)</f>
        <v>0</v>
      </c>
      <c r="B109" s="9">
        <f>J113+L113</f>
        <v>0</v>
      </c>
      <c r="C109" s="86">
        <f>D109-SUM(O114:IL114)+SUM(O115:IL115)</f>
        <v>0</v>
      </c>
      <c r="D109" s="10">
        <f>J115+L115</f>
        <v>0</v>
      </c>
      <c r="E109" s="11">
        <f>J116+L116</f>
        <v>0</v>
      </c>
      <c r="F109" s="12">
        <f>E109+SUM(O116:IL116)</f>
        <v>0</v>
      </c>
      <c r="G109" s="940" t="s">
        <v>18</v>
      </c>
      <c r="H109" s="940"/>
      <c r="I109" s="941" t="s">
        <v>18</v>
      </c>
      <c r="J109" s="941"/>
      <c r="K109" s="942" t="s">
        <v>18</v>
      </c>
      <c r="L109" s="942"/>
      <c r="M109" s="960"/>
      <c r="N109" s="960"/>
      <c r="O109" s="951"/>
      <c r="P109" s="951"/>
      <c r="Q109" s="951"/>
      <c r="R109" s="951"/>
      <c r="S109" s="951"/>
      <c r="T109" s="951"/>
      <c r="U109" s="951"/>
      <c r="V109" s="951"/>
      <c r="W109" s="951"/>
      <c r="X109" s="951"/>
      <c r="Y109" s="951"/>
      <c r="Z109" s="951"/>
      <c r="AA109" s="951"/>
      <c r="AB109" s="951"/>
      <c r="AC109" s="951"/>
      <c r="AD109" s="951"/>
      <c r="AE109" s="951"/>
      <c r="AF109" s="951"/>
      <c r="AG109" s="951"/>
      <c r="AH109" s="951"/>
      <c r="AI109" s="951"/>
      <c r="AJ109" s="951"/>
      <c r="AK109" s="951"/>
      <c r="AL109" s="951"/>
      <c r="AM109" s="951"/>
      <c r="AN109" s="951"/>
      <c r="AO109" s="951"/>
      <c r="AP109" s="951"/>
      <c r="AQ109" s="951"/>
      <c r="AR109" s="951"/>
      <c r="AS109" s="951"/>
      <c r="AT109" s="951"/>
      <c r="AU109" s="951"/>
      <c r="AV109" s="951"/>
      <c r="AW109" s="951"/>
      <c r="AX109" s="951"/>
      <c r="AY109" s="951"/>
      <c r="AZ109" s="951"/>
      <c r="BA109" s="951"/>
      <c r="BB109" s="951"/>
      <c r="BC109" s="951"/>
      <c r="BD109" s="951"/>
      <c r="BE109" s="951"/>
      <c r="BF109" s="951"/>
      <c r="BG109" s="951"/>
      <c r="BH109" s="951"/>
      <c r="BI109" s="951"/>
      <c r="BJ109" s="951"/>
      <c r="BK109" s="951"/>
      <c r="BL109" s="951"/>
      <c r="BM109" s="951"/>
      <c r="BN109" s="951"/>
      <c r="BO109" s="951"/>
      <c r="BP109" s="951"/>
      <c r="BQ109" s="951"/>
      <c r="BR109" s="951"/>
      <c r="BS109" s="951"/>
      <c r="BT109" s="951"/>
      <c r="BU109" s="951"/>
      <c r="BV109" s="951"/>
      <c r="BW109" s="951"/>
      <c r="BX109" s="951"/>
      <c r="BY109" s="951"/>
      <c r="BZ109" s="951"/>
      <c r="CA109" s="951"/>
      <c r="CB109" s="951"/>
      <c r="CC109" s="951"/>
      <c r="CD109" s="951"/>
      <c r="CE109" s="951"/>
      <c r="CF109" s="951"/>
      <c r="CG109" s="951"/>
      <c r="CH109" s="951"/>
      <c r="CI109" s="951"/>
      <c r="CJ109" s="951"/>
      <c r="CK109" s="951"/>
      <c r="CL109" s="951"/>
      <c r="CM109" s="951"/>
      <c r="CN109" s="951"/>
      <c r="CO109" s="951"/>
      <c r="CP109" s="951"/>
      <c r="CQ109" s="951"/>
      <c r="CR109" s="951"/>
      <c r="CS109" s="951"/>
      <c r="CT109" s="951"/>
      <c r="CU109" s="951"/>
      <c r="CV109" s="951"/>
      <c r="CW109" s="951"/>
      <c r="CX109" s="951"/>
      <c r="CY109" s="951"/>
      <c r="CZ109" s="951"/>
      <c r="DA109" s="951"/>
      <c r="DB109" s="951"/>
      <c r="DC109" s="951"/>
      <c r="DD109" s="951"/>
      <c r="DE109" s="951"/>
      <c r="DF109" s="951"/>
      <c r="DG109" s="951"/>
      <c r="DH109" s="951"/>
      <c r="DI109" s="951"/>
      <c r="DJ109" s="951"/>
      <c r="DK109" s="951"/>
      <c r="DL109" s="951"/>
      <c r="DM109" s="951"/>
      <c r="DN109" s="951"/>
      <c r="DO109" s="951"/>
      <c r="DP109" s="951"/>
      <c r="DQ109" s="951"/>
      <c r="DR109" s="951"/>
      <c r="DS109" s="951"/>
      <c r="DT109" s="951"/>
      <c r="DU109" s="951"/>
      <c r="DV109" s="951"/>
      <c r="DW109" s="951"/>
      <c r="DX109" s="951"/>
      <c r="DY109" s="951"/>
      <c r="DZ109" s="951"/>
      <c r="EA109" s="951"/>
      <c r="EB109" s="951"/>
      <c r="EC109" s="951"/>
      <c r="ED109" s="951"/>
      <c r="EE109" s="951"/>
      <c r="EF109" s="951"/>
      <c r="EG109" s="951"/>
      <c r="EH109" s="951"/>
      <c r="EI109" s="951"/>
      <c r="EJ109" s="951"/>
      <c r="EK109" s="951"/>
      <c r="EL109" s="951"/>
      <c r="EM109" s="951"/>
      <c r="EN109" s="951"/>
      <c r="EO109" s="951"/>
      <c r="EP109" s="951"/>
      <c r="EQ109" s="951"/>
      <c r="ER109" s="951"/>
      <c r="ES109" s="951"/>
      <c r="ET109" s="951"/>
      <c r="EU109" s="951"/>
      <c r="EV109" s="951"/>
      <c r="EW109" s="951"/>
      <c r="EX109" s="951"/>
      <c r="EY109" s="951"/>
      <c r="EZ109" s="951"/>
      <c r="FA109" s="951"/>
      <c r="FB109" s="951"/>
      <c r="FC109" s="951"/>
      <c r="FD109" s="951"/>
      <c r="FE109" s="951"/>
      <c r="FF109" s="951"/>
      <c r="FG109" s="951"/>
      <c r="FH109" s="951"/>
      <c r="FI109" s="951"/>
      <c r="FJ109" s="951"/>
      <c r="FK109" s="951"/>
      <c r="FL109" s="951"/>
      <c r="FM109" s="951"/>
      <c r="FN109" s="951"/>
      <c r="FO109" s="951"/>
      <c r="FP109" s="951"/>
      <c r="FQ109" s="951"/>
      <c r="FR109" s="951"/>
      <c r="FS109" s="951"/>
      <c r="FT109" s="951"/>
      <c r="FU109" s="951"/>
      <c r="FV109" s="951"/>
      <c r="FW109" s="951"/>
      <c r="FX109" s="951"/>
      <c r="FY109" s="951"/>
      <c r="FZ109" s="951"/>
      <c r="GA109" s="951"/>
      <c r="GB109" s="951"/>
      <c r="GC109" s="951"/>
      <c r="GD109" s="951"/>
      <c r="GE109" s="951"/>
      <c r="GF109" s="951"/>
      <c r="GG109" s="951"/>
      <c r="GH109" s="951"/>
      <c r="GI109" s="951"/>
      <c r="GJ109" s="951"/>
      <c r="GK109" s="951"/>
      <c r="GL109" s="951"/>
      <c r="GM109" s="951"/>
      <c r="GN109" s="951"/>
      <c r="GO109" s="951"/>
      <c r="GP109" s="951"/>
      <c r="GQ109" s="951"/>
      <c r="GR109" s="951"/>
      <c r="GS109" s="951"/>
      <c r="GT109" s="951"/>
      <c r="GU109" s="951"/>
      <c r="GV109" s="951"/>
      <c r="GW109" s="951"/>
      <c r="GX109" s="951"/>
      <c r="GY109" s="951"/>
      <c r="GZ109" s="951"/>
      <c r="HA109" s="951"/>
      <c r="HB109" s="951"/>
      <c r="HC109" s="951"/>
      <c r="HD109" s="951"/>
      <c r="HE109" s="951"/>
      <c r="HF109" s="951"/>
      <c r="HG109" s="951"/>
      <c r="HH109" s="951"/>
      <c r="HI109" s="951"/>
      <c r="HJ109" s="951"/>
      <c r="HK109" s="951"/>
      <c r="HL109" s="951"/>
      <c r="HM109" s="951"/>
      <c r="HN109" s="951"/>
      <c r="HO109" s="951"/>
      <c r="HP109" s="951"/>
      <c r="HQ109" s="951"/>
      <c r="HR109" s="951"/>
      <c r="HS109" s="951"/>
      <c r="HT109" s="951"/>
      <c r="HU109" s="951"/>
      <c r="HV109" s="951"/>
      <c r="HW109" s="951"/>
      <c r="HX109" s="951"/>
      <c r="HY109" s="951"/>
      <c r="HZ109" s="951"/>
      <c r="IA109" s="951"/>
      <c r="IB109" s="951"/>
      <c r="IC109" s="951"/>
      <c r="ID109" s="951"/>
      <c r="IE109" s="951"/>
      <c r="IF109" s="951"/>
      <c r="IG109" s="951"/>
      <c r="IH109" s="951"/>
      <c r="II109" s="951"/>
      <c r="IJ109" s="951"/>
      <c r="IK109" s="951"/>
      <c r="IL109" s="951"/>
      <c r="IM109" s="1"/>
      <c r="IN109" s="1"/>
      <c r="IO109" s="1"/>
      <c r="IP109" s="1"/>
      <c r="IQ109" s="1"/>
      <c r="IR109" s="1"/>
      <c r="IS109" s="1"/>
      <c r="IT109" s="1"/>
    </row>
    <row r="110" spans="1:254" s="84" customFormat="1" ht="12" customHeight="1" thickBot="1" x14ac:dyDescent="0.2">
      <c r="A110" s="943" t="s">
        <v>447</v>
      </c>
      <c r="B110" s="944"/>
      <c r="C110" s="87" t="s">
        <v>656</v>
      </c>
      <c r="D110" s="88" t="s">
        <v>657</v>
      </c>
      <c r="E110" s="945" t="str">
        <f>IF(F109&lt;100,IF(F109&lt;50,"通常状態",IF(F109&lt;60,"暴走Lv1 ",IF(F109&lt;70,"暴走Lv2",IF(F109&lt;80,"暴走Lv3",IF(F109&lt;90,"暴走Lv4","暴走Lv5"))))),IF(F109&lt;110,"臨界Lv1",IF(F109&lt;120,"臨界Lv2",IF(F109&lt;130,"臨界Lv3",IF(F109&lt;140,"臨界Lv4",IF(F109&lt;150,"臨界Lv5",IF(F109&lt;150,"活性Lv5","因子崩壊")))))))</f>
        <v>通常状態</v>
      </c>
      <c r="F110" s="945"/>
      <c r="G110" s="946" t="s">
        <v>15</v>
      </c>
      <c r="H110" s="946"/>
      <c r="I110" s="947" t="s">
        <v>467</v>
      </c>
      <c r="J110" s="947"/>
      <c r="K110" s="948" t="s">
        <v>658</v>
      </c>
      <c r="L110" s="948"/>
      <c r="M110" s="960"/>
      <c r="N110" s="960"/>
      <c r="O110" s="951"/>
      <c r="P110" s="951"/>
      <c r="Q110" s="951"/>
      <c r="R110" s="951"/>
      <c r="S110" s="951"/>
      <c r="T110" s="951"/>
      <c r="U110" s="951"/>
      <c r="V110" s="951"/>
      <c r="W110" s="951"/>
      <c r="X110" s="951"/>
      <c r="Y110" s="951"/>
      <c r="Z110" s="951"/>
      <c r="AA110" s="951"/>
      <c r="AB110" s="951"/>
      <c r="AC110" s="951"/>
      <c r="AD110" s="951"/>
      <c r="AE110" s="951"/>
      <c r="AF110" s="951"/>
      <c r="AG110" s="951"/>
      <c r="AH110" s="951"/>
      <c r="AI110" s="951"/>
      <c r="AJ110" s="951"/>
      <c r="AK110" s="951"/>
      <c r="AL110" s="951"/>
      <c r="AM110" s="951"/>
      <c r="AN110" s="951"/>
      <c r="AO110" s="951"/>
      <c r="AP110" s="951"/>
      <c r="AQ110" s="951"/>
      <c r="AR110" s="951"/>
      <c r="AS110" s="951"/>
      <c r="AT110" s="951"/>
      <c r="AU110" s="951"/>
      <c r="AV110" s="951"/>
      <c r="AW110" s="951"/>
      <c r="AX110" s="951"/>
      <c r="AY110" s="951"/>
      <c r="AZ110" s="951"/>
      <c r="BA110" s="951"/>
      <c r="BB110" s="951"/>
      <c r="BC110" s="951"/>
      <c r="BD110" s="951"/>
      <c r="BE110" s="951"/>
      <c r="BF110" s="951"/>
      <c r="BG110" s="951"/>
      <c r="BH110" s="951"/>
      <c r="BI110" s="951"/>
      <c r="BJ110" s="951"/>
      <c r="BK110" s="951"/>
      <c r="BL110" s="951"/>
      <c r="BM110" s="951"/>
      <c r="BN110" s="951"/>
      <c r="BO110" s="951"/>
      <c r="BP110" s="951"/>
      <c r="BQ110" s="951"/>
      <c r="BR110" s="951"/>
      <c r="BS110" s="951"/>
      <c r="BT110" s="951"/>
      <c r="BU110" s="951"/>
      <c r="BV110" s="951"/>
      <c r="BW110" s="951"/>
      <c r="BX110" s="951"/>
      <c r="BY110" s="951"/>
      <c r="BZ110" s="951"/>
      <c r="CA110" s="951"/>
      <c r="CB110" s="951"/>
      <c r="CC110" s="951"/>
      <c r="CD110" s="951"/>
      <c r="CE110" s="951"/>
      <c r="CF110" s="951"/>
      <c r="CG110" s="951"/>
      <c r="CH110" s="951"/>
      <c r="CI110" s="951"/>
      <c r="CJ110" s="951"/>
      <c r="CK110" s="951"/>
      <c r="CL110" s="951"/>
      <c r="CM110" s="951"/>
      <c r="CN110" s="951"/>
      <c r="CO110" s="951"/>
      <c r="CP110" s="951"/>
      <c r="CQ110" s="951"/>
      <c r="CR110" s="951"/>
      <c r="CS110" s="951"/>
      <c r="CT110" s="951"/>
      <c r="CU110" s="951"/>
      <c r="CV110" s="951"/>
      <c r="CW110" s="951"/>
      <c r="CX110" s="951"/>
      <c r="CY110" s="951"/>
      <c r="CZ110" s="951"/>
      <c r="DA110" s="951"/>
      <c r="DB110" s="951"/>
      <c r="DC110" s="951"/>
      <c r="DD110" s="951"/>
      <c r="DE110" s="951"/>
      <c r="DF110" s="951"/>
      <c r="DG110" s="951"/>
      <c r="DH110" s="951"/>
      <c r="DI110" s="951"/>
      <c r="DJ110" s="951"/>
      <c r="DK110" s="951"/>
      <c r="DL110" s="951"/>
      <c r="DM110" s="951"/>
      <c r="DN110" s="951"/>
      <c r="DO110" s="951"/>
      <c r="DP110" s="951"/>
      <c r="DQ110" s="951"/>
      <c r="DR110" s="951"/>
      <c r="DS110" s="951"/>
      <c r="DT110" s="951"/>
      <c r="DU110" s="951"/>
      <c r="DV110" s="951"/>
      <c r="DW110" s="951"/>
      <c r="DX110" s="951"/>
      <c r="DY110" s="951"/>
      <c r="DZ110" s="951"/>
      <c r="EA110" s="951"/>
      <c r="EB110" s="951"/>
      <c r="EC110" s="951"/>
      <c r="ED110" s="951"/>
      <c r="EE110" s="951"/>
      <c r="EF110" s="951"/>
      <c r="EG110" s="951"/>
      <c r="EH110" s="951"/>
      <c r="EI110" s="951"/>
      <c r="EJ110" s="951"/>
      <c r="EK110" s="951"/>
      <c r="EL110" s="951"/>
      <c r="EM110" s="951"/>
      <c r="EN110" s="951"/>
      <c r="EO110" s="951"/>
      <c r="EP110" s="951"/>
      <c r="EQ110" s="951"/>
      <c r="ER110" s="951"/>
      <c r="ES110" s="951"/>
      <c r="ET110" s="951"/>
      <c r="EU110" s="951"/>
      <c r="EV110" s="951"/>
      <c r="EW110" s="951"/>
      <c r="EX110" s="951"/>
      <c r="EY110" s="951"/>
      <c r="EZ110" s="951"/>
      <c r="FA110" s="951"/>
      <c r="FB110" s="951"/>
      <c r="FC110" s="951"/>
      <c r="FD110" s="951"/>
      <c r="FE110" s="951"/>
      <c r="FF110" s="951"/>
      <c r="FG110" s="951"/>
      <c r="FH110" s="951"/>
      <c r="FI110" s="951"/>
      <c r="FJ110" s="951"/>
      <c r="FK110" s="951"/>
      <c r="FL110" s="951"/>
      <c r="FM110" s="951"/>
      <c r="FN110" s="951"/>
      <c r="FO110" s="951"/>
      <c r="FP110" s="951"/>
      <c r="FQ110" s="951"/>
      <c r="FR110" s="951"/>
      <c r="FS110" s="951"/>
      <c r="FT110" s="951"/>
      <c r="FU110" s="951"/>
      <c r="FV110" s="951"/>
      <c r="FW110" s="951"/>
      <c r="FX110" s="951"/>
      <c r="FY110" s="951"/>
      <c r="FZ110" s="951"/>
      <c r="GA110" s="951"/>
      <c r="GB110" s="951"/>
      <c r="GC110" s="951"/>
      <c r="GD110" s="951"/>
      <c r="GE110" s="951"/>
      <c r="GF110" s="951"/>
      <c r="GG110" s="951"/>
      <c r="GH110" s="951"/>
      <c r="GI110" s="951"/>
      <c r="GJ110" s="951"/>
      <c r="GK110" s="951"/>
      <c r="GL110" s="951"/>
      <c r="GM110" s="951"/>
      <c r="GN110" s="951"/>
      <c r="GO110" s="951"/>
      <c r="GP110" s="951"/>
      <c r="GQ110" s="951"/>
      <c r="GR110" s="951"/>
      <c r="GS110" s="951"/>
      <c r="GT110" s="951"/>
      <c r="GU110" s="951"/>
      <c r="GV110" s="951"/>
      <c r="GW110" s="951"/>
      <c r="GX110" s="951"/>
      <c r="GY110" s="951"/>
      <c r="GZ110" s="951"/>
      <c r="HA110" s="951"/>
      <c r="HB110" s="951"/>
      <c r="HC110" s="951"/>
      <c r="HD110" s="951"/>
      <c r="HE110" s="951"/>
      <c r="HF110" s="951"/>
      <c r="HG110" s="951"/>
      <c r="HH110" s="951"/>
      <c r="HI110" s="951"/>
      <c r="HJ110" s="951"/>
      <c r="HK110" s="951"/>
      <c r="HL110" s="951"/>
      <c r="HM110" s="951"/>
      <c r="HN110" s="951"/>
      <c r="HO110" s="951"/>
      <c r="HP110" s="951"/>
      <c r="HQ110" s="951"/>
      <c r="HR110" s="951"/>
      <c r="HS110" s="951"/>
      <c r="HT110" s="951"/>
      <c r="HU110" s="951"/>
      <c r="HV110" s="951"/>
      <c r="HW110" s="951"/>
      <c r="HX110" s="951"/>
      <c r="HY110" s="951"/>
      <c r="HZ110" s="951"/>
      <c r="IA110" s="951"/>
      <c r="IB110" s="951"/>
      <c r="IC110" s="951"/>
      <c r="ID110" s="951"/>
      <c r="IE110" s="951"/>
      <c r="IF110" s="951"/>
      <c r="IG110" s="951"/>
      <c r="IH110" s="951"/>
      <c r="II110" s="951"/>
      <c r="IJ110" s="951"/>
      <c r="IK110" s="951"/>
      <c r="IL110" s="951"/>
      <c r="IM110" s="1"/>
      <c r="IN110" s="1"/>
      <c r="IO110" s="1"/>
      <c r="IP110" s="1"/>
      <c r="IQ110" s="1"/>
      <c r="IR110" s="1"/>
      <c r="IS110" s="1"/>
      <c r="IT110" s="1"/>
    </row>
    <row r="111" spans="1:254" s="84" customFormat="1" ht="12.95" customHeight="1" thickBot="1" x14ac:dyDescent="0.2">
      <c r="A111" s="943"/>
      <c r="B111" s="944"/>
      <c r="C111" s="89">
        <f>SUM(L114:IQ114)</f>
        <v>0</v>
      </c>
      <c r="D111" s="13">
        <f>ROUNDDOWN((C111/5),0)+SUM(I112:IL112)</f>
        <v>0</v>
      </c>
      <c r="E111" s="949" t="str">
        <f>IF(F109&lt;50,"未活性",IF(F109&lt;60,"活性Lv1",IF(F109&lt;70,"活性Lv2",IF(F109&lt;80,"活性Lv3",IF(F109&lt;90,"活性Lv4",IF(F109&lt;100,"活性Lv5",IF(F109&lt;150,"活性Lv5","強制キャラロスト")))))))</f>
        <v>未活性</v>
      </c>
      <c r="F111" s="949"/>
      <c r="G111" s="932" t="s">
        <v>18</v>
      </c>
      <c r="H111" s="932"/>
      <c r="I111" s="933" t="s">
        <v>18</v>
      </c>
      <c r="J111" s="933"/>
      <c r="K111" s="934" t="str">
        <f>IF(OR(A109&lt;=B109/2,F109&gt;=90),IF(F109&gt;=120,"オーバーフロー","発動中"),"-")</f>
        <v>発動中</v>
      </c>
      <c r="L111" s="934"/>
      <c r="M111" s="960"/>
      <c r="N111" s="960"/>
      <c r="O111" s="951"/>
      <c r="P111" s="951"/>
      <c r="Q111" s="951"/>
      <c r="R111" s="951"/>
      <c r="S111" s="951"/>
      <c r="T111" s="951"/>
      <c r="U111" s="951"/>
      <c r="V111" s="951"/>
      <c r="W111" s="951"/>
      <c r="X111" s="951"/>
      <c r="Y111" s="951"/>
      <c r="Z111" s="951"/>
      <c r="AA111" s="951"/>
      <c r="AB111" s="951"/>
      <c r="AC111" s="951"/>
      <c r="AD111" s="951"/>
      <c r="AE111" s="951"/>
      <c r="AF111" s="951"/>
      <c r="AG111" s="951"/>
      <c r="AH111" s="951"/>
      <c r="AI111" s="951"/>
      <c r="AJ111" s="951"/>
      <c r="AK111" s="951"/>
      <c r="AL111" s="951"/>
      <c r="AM111" s="951"/>
      <c r="AN111" s="951"/>
      <c r="AO111" s="951"/>
      <c r="AP111" s="951"/>
      <c r="AQ111" s="951"/>
      <c r="AR111" s="951"/>
      <c r="AS111" s="951"/>
      <c r="AT111" s="951"/>
      <c r="AU111" s="951"/>
      <c r="AV111" s="951"/>
      <c r="AW111" s="951"/>
      <c r="AX111" s="951"/>
      <c r="AY111" s="951"/>
      <c r="AZ111" s="951"/>
      <c r="BA111" s="951"/>
      <c r="BB111" s="951"/>
      <c r="BC111" s="951"/>
      <c r="BD111" s="951"/>
      <c r="BE111" s="951"/>
      <c r="BF111" s="951"/>
      <c r="BG111" s="951"/>
      <c r="BH111" s="951"/>
      <c r="BI111" s="951"/>
      <c r="BJ111" s="951"/>
      <c r="BK111" s="951"/>
      <c r="BL111" s="951"/>
      <c r="BM111" s="951"/>
      <c r="BN111" s="951"/>
      <c r="BO111" s="951"/>
      <c r="BP111" s="951"/>
      <c r="BQ111" s="951"/>
      <c r="BR111" s="951"/>
      <c r="BS111" s="951"/>
      <c r="BT111" s="951"/>
      <c r="BU111" s="951"/>
      <c r="BV111" s="951"/>
      <c r="BW111" s="951"/>
      <c r="BX111" s="951"/>
      <c r="BY111" s="951"/>
      <c r="BZ111" s="951"/>
      <c r="CA111" s="951"/>
      <c r="CB111" s="951"/>
      <c r="CC111" s="951"/>
      <c r="CD111" s="951"/>
      <c r="CE111" s="951"/>
      <c r="CF111" s="951"/>
      <c r="CG111" s="951"/>
      <c r="CH111" s="951"/>
      <c r="CI111" s="951"/>
      <c r="CJ111" s="951"/>
      <c r="CK111" s="951"/>
      <c r="CL111" s="951"/>
      <c r="CM111" s="951"/>
      <c r="CN111" s="951"/>
      <c r="CO111" s="951"/>
      <c r="CP111" s="951"/>
      <c r="CQ111" s="951"/>
      <c r="CR111" s="951"/>
      <c r="CS111" s="951"/>
      <c r="CT111" s="951"/>
      <c r="CU111" s="951"/>
      <c r="CV111" s="951"/>
      <c r="CW111" s="951"/>
      <c r="CX111" s="951"/>
      <c r="CY111" s="951"/>
      <c r="CZ111" s="951"/>
      <c r="DA111" s="951"/>
      <c r="DB111" s="951"/>
      <c r="DC111" s="951"/>
      <c r="DD111" s="951"/>
      <c r="DE111" s="951"/>
      <c r="DF111" s="951"/>
      <c r="DG111" s="951"/>
      <c r="DH111" s="951"/>
      <c r="DI111" s="951"/>
      <c r="DJ111" s="951"/>
      <c r="DK111" s="951"/>
      <c r="DL111" s="951"/>
      <c r="DM111" s="951"/>
      <c r="DN111" s="951"/>
      <c r="DO111" s="951"/>
      <c r="DP111" s="951"/>
      <c r="DQ111" s="951"/>
      <c r="DR111" s="951"/>
      <c r="DS111" s="951"/>
      <c r="DT111" s="951"/>
      <c r="DU111" s="951"/>
      <c r="DV111" s="951"/>
      <c r="DW111" s="951"/>
      <c r="DX111" s="951"/>
      <c r="DY111" s="951"/>
      <c r="DZ111" s="951"/>
      <c r="EA111" s="951"/>
      <c r="EB111" s="951"/>
      <c r="EC111" s="951"/>
      <c r="ED111" s="951"/>
      <c r="EE111" s="951"/>
      <c r="EF111" s="951"/>
      <c r="EG111" s="951"/>
      <c r="EH111" s="951"/>
      <c r="EI111" s="951"/>
      <c r="EJ111" s="951"/>
      <c r="EK111" s="951"/>
      <c r="EL111" s="951"/>
      <c r="EM111" s="951"/>
      <c r="EN111" s="951"/>
      <c r="EO111" s="951"/>
      <c r="EP111" s="951"/>
      <c r="EQ111" s="951"/>
      <c r="ER111" s="951"/>
      <c r="ES111" s="951"/>
      <c r="ET111" s="951"/>
      <c r="EU111" s="951"/>
      <c r="EV111" s="951"/>
      <c r="EW111" s="951"/>
      <c r="EX111" s="951"/>
      <c r="EY111" s="951"/>
      <c r="EZ111" s="951"/>
      <c r="FA111" s="951"/>
      <c r="FB111" s="951"/>
      <c r="FC111" s="951"/>
      <c r="FD111" s="951"/>
      <c r="FE111" s="951"/>
      <c r="FF111" s="951"/>
      <c r="FG111" s="951"/>
      <c r="FH111" s="951"/>
      <c r="FI111" s="951"/>
      <c r="FJ111" s="951"/>
      <c r="FK111" s="951"/>
      <c r="FL111" s="951"/>
      <c r="FM111" s="951"/>
      <c r="FN111" s="951"/>
      <c r="FO111" s="951"/>
      <c r="FP111" s="951"/>
      <c r="FQ111" s="951"/>
      <c r="FR111" s="951"/>
      <c r="FS111" s="951"/>
      <c r="FT111" s="951"/>
      <c r="FU111" s="951"/>
      <c r="FV111" s="951"/>
      <c r="FW111" s="951"/>
      <c r="FX111" s="951"/>
      <c r="FY111" s="951"/>
      <c r="FZ111" s="951"/>
      <c r="GA111" s="951"/>
      <c r="GB111" s="951"/>
      <c r="GC111" s="951"/>
      <c r="GD111" s="951"/>
      <c r="GE111" s="951"/>
      <c r="GF111" s="951"/>
      <c r="GG111" s="951"/>
      <c r="GH111" s="951"/>
      <c r="GI111" s="951"/>
      <c r="GJ111" s="951"/>
      <c r="GK111" s="951"/>
      <c r="GL111" s="951"/>
      <c r="GM111" s="951"/>
      <c r="GN111" s="951"/>
      <c r="GO111" s="951"/>
      <c r="GP111" s="951"/>
      <c r="GQ111" s="951"/>
      <c r="GR111" s="951"/>
      <c r="GS111" s="951"/>
      <c r="GT111" s="951"/>
      <c r="GU111" s="951"/>
      <c r="GV111" s="951"/>
      <c r="GW111" s="951"/>
      <c r="GX111" s="951"/>
      <c r="GY111" s="951"/>
      <c r="GZ111" s="951"/>
      <c r="HA111" s="951"/>
      <c r="HB111" s="951"/>
      <c r="HC111" s="951"/>
      <c r="HD111" s="951"/>
      <c r="HE111" s="951"/>
      <c r="HF111" s="951"/>
      <c r="HG111" s="951"/>
      <c r="HH111" s="951"/>
      <c r="HI111" s="951"/>
      <c r="HJ111" s="951"/>
      <c r="HK111" s="951"/>
      <c r="HL111" s="951"/>
      <c r="HM111" s="951"/>
      <c r="HN111" s="951"/>
      <c r="HO111" s="951"/>
      <c r="HP111" s="951"/>
      <c r="HQ111" s="951"/>
      <c r="HR111" s="951"/>
      <c r="HS111" s="951"/>
      <c r="HT111" s="951"/>
      <c r="HU111" s="951"/>
      <c r="HV111" s="951"/>
      <c r="HW111" s="951"/>
      <c r="HX111" s="951"/>
      <c r="HY111" s="951"/>
      <c r="HZ111" s="951"/>
      <c r="IA111" s="951"/>
      <c r="IB111" s="951"/>
      <c r="IC111" s="951"/>
      <c r="ID111" s="951"/>
      <c r="IE111" s="951"/>
      <c r="IF111" s="951"/>
      <c r="IG111" s="951"/>
      <c r="IH111" s="951"/>
      <c r="II111" s="951"/>
      <c r="IJ111" s="951"/>
      <c r="IK111" s="951"/>
      <c r="IL111" s="951"/>
      <c r="IM111" s="1"/>
      <c r="IN111" s="1"/>
      <c r="IO111" s="1"/>
      <c r="IP111" s="1"/>
      <c r="IQ111" s="1"/>
      <c r="IR111" s="1"/>
      <c r="IS111" s="1"/>
      <c r="IT111" s="1"/>
    </row>
    <row r="112" spans="1:254" s="92" customFormat="1" ht="12.95" customHeight="1" thickBot="1" x14ac:dyDescent="0.2">
      <c r="A112" s="90" t="s">
        <v>439</v>
      </c>
      <c r="B112" s="41"/>
      <c r="C112" s="935" t="str">
        <f>IF(G107="反応型",IF(50&gt;F109,"+0",IF(60&gt;F109,"+1",IF(70&gt;F109,"+2",IF(F109&gt;=70,"+3")))),"活性補正")</f>
        <v>活性補正</v>
      </c>
      <c r="D112" s="46" t="s">
        <v>440</v>
      </c>
      <c r="E112" s="42"/>
      <c r="F112" s="936" t="str">
        <f>IF(G107="増強型",IF(50&gt;F109,"+0",IF(60&gt;F109,"+1",IF(70&gt;F109,"+2",IF(F109&gt;=70,"+3")))),"活性補正")</f>
        <v>活性補正</v>
      </c>
      <c r="G112" s="937" t="s">
        <v>659</v>
      </c>
      <c r="H112" s="937"/>
      <c r="I112" s="938" t="s">
        <v>660</v>
      </c>
      <c r="J112" s="938"/>
      <c r="K112" s="938"/>
      <c r="L112" s="938"/>
      <c r="M112" s="91" t="s">
        <v>661</v>
      </c>
      <c r="N112" s="92" t="s">
        <v>647</v>
      </c>
      <c r="O112" s="92">
        <v>0</v>
      </c>
      <c r="IL112" s="93"/>
      <c r="IM112" s="1"/>
      <c r="IN112" s="1"/>
      <c r="IO112" s="1"/>
      <c r="IP112" s="1"/>
      <c r="IQ112" s="1"/>
      <c r="IR112" s="1"/>
      <c r="IS112" s="1"/>
      <c r="IT112" s="1"/>
    </row>
    <row r="113" spans="1:254" s="98" customFormat="1" ht="12.95" customHeight="1" thickBot="1" x14ac:dyDescent="0.2">
      <c r="A113" s="21" t="s">
        <v>442</v>
      </c>
      <c r="B113" s="43"/>
      <c r="C113" s="935"/>
      <c r="D113" s="20" t="s">
        <v>443</v>
      </c>
      <c r="E113" s="44"/>
      <c r="F113" s="936"/>
      <c r="G113" s="939" t="s">
        <v>662</v>
      </c>
      <c r="H113" s="939"/>
      <c r="I113" s="94" t="s">
        <v>663</v>
      </c>
      <c r="J113" s="95"/>
      <c r="K113" s="95" t="s">
        <v>664</v>
      </c>
      <c r="L113" s="96"/>
      <c r="M113" s="97" t="s">
        <v>661</v>
      </c>
      <c r="N113" s="95" t="s">
        <v>647</v>
      </c>
      <c r="O113" s="95"/>
      <c r="IL113" s="99"/>
      <c r="IM113" s="1"/>
      <c r="IN113" s="1"/>
      <c r="IO113" s="1"/>
      <c r="IP113" s="1"/>
      <c r="IQ113" s="1"/>
      <c r="IR113" s="1"/>
      <c r="IS113" s="1"/>
      <c r="IT113" s="1"/>
    </row>
    <row r="114" spans="1:254" s="105" customFormat="1" ht="12" customHeight="1" x14ac:dyDescent="0.15">
      <c r="A114" s="21" t="s">
        <v>445</v>
      </c>
      <c r="B114" s="43"/>
      <c r="C114" s="935"/>
      <c r="D114" s="20" t="s">
        <v>446</v>
      </c>
      <c r="E114" s="44"/>
      <c r="F114" s="936"/>
      <c r="G114" s="930" t="s">
        <v>665</v>
      </c>
      <c r="H114" s="930"/>
      <c r="I114" s="100"/>
      <c r="J114" s="101"/>
      <c r="K114" s="101"/>
      <c r="L114" s="102"/>
      <c r="M114" s="103" t="s">
        <v>666</v>
      </c>
      <c r="N114" s="104" t="s">
        <v>647</v>
      </c>
      <c r="O114" s="104"/>
      <c r="IL114" s="106"/>
      <c r="IM114" s="1"/>
      <c r="IN114" s="1"/>
      <c r="IO114" s="1"/>
      <c r="IP114" s="1"/>
      <c r="IQ114" s="1"/>
      <c r="IR114" s="1"/>
      <c r="IS114" s="1"/>
      <c r="IT114" s="1"/>
    </row>
    <row r="115" spans="1:254" s="105" customFormat="1" ht="12.95" customHeight="1" x14ac:dyDescent="0.15">
      <c r="A115" s="21" t="s">
        <v>293</v>
      </c>
      <c r="B115" s="150"/>
      <c r="C115" s="929" t="str">
        <f>IF(G107="増強型",IF(50&gt;F109,"+0",IF(60&gt;F109,"+1",IF(70&gt;F109,"+2",IF(F109&gt;=70,"+3")))),"活性補正")</f>
        <v>活性補正</v>
      </c>
      <c r="D115" s="20" t="s">
        <v>667</v>
      </c>
      <c r="E115" s="150"/>
      <c r="F115" s="18"/>
      <c r="G115" s="930" t="s">
        <v>668</v>
      </c>
      <c r="H115" s="930"/>
      <c r="I115" s="107" t="s">
        <v>669</v>
      </c>
      <c r="J115" s="104"/>
      <c r="K115" s="104" t="s">
        <v>670</v>
      </c>
      <c r="L115" s="108"/>
      <c r="M115" s="103" t="s">
        <v>666</v>
      </c>
      <c r="N115" s="104" t="s">
        <v>647</v>
      </c>
      <c r="O115" s="104"/>
      <c r="IL115" s="106"/>
      <c r="IM115" s="1"/>
      <c r="IN115" s="1"/>
      <c r="IO115" s="1"/>
      <c r="IP115" s="1"/>
      <c r="IQ115" s="1"/>
      <c r="IR115" s="1"/>
      <c r="IS115" s="1"/>
      <c r="IT115" s="1"/>
    </row>
    <row r="116" spans="1:254" s="153" customFormat="1" ht="12.95" customHeight="1" thickBot="1" x14ac:dyDescent="0.2">
      <c r="A116" s="21" t="s">
        <v>444</v>
      </c>
      <c r="B116" s="150"/>
      <c r="C116" s="929"/>
      <c r="D116" s="20" t="s">
        <v>449</v>
      </c>
      <c r="E116" s="150"/>
      <c r="F116" s="109" t="str">
        <f>IF(G107="覚醒型",IF(50&gt;F109,"+0",IF(60&gt;F109,"+1",IF(70&gt;F109,"+2",IF(F109&gt;=70,"+3")))),"活性補正")</f>
        <v>活性補正</v>
      </c>
      <c r="G116" s="931" t="s">
        <v>671</v>
      </c>
      <c r="H116" s="931"/>
      <c r="I116" s="110" t="s">
        <v>672</v>
      </c>
      <c r="J116" s="111"/>
      <c r="K116" s="111" t="s">
        <v>673</v>
      </c>
      <c r="L116" s="112">
        <f>L115</f>
        <v>0</v>
      </c>
      <c r="M116" s="151" t="s">
        <v>661</v>
      </c>
      <c r="N116" s="152" t="s">
        <v>647</v>
      </c>
      <c r="O116" s="152">
        <v>0</v>
      </c>
      <c r="IL116" s="154"/>
      <c r="IM116" s="1"/>
      <c r="IN116" s="1"/>
      <c r="IO116" s="1"/>
      <c r="IP116" s="1"/>
      <c r="IQ116" s="1"/>
      <c r="IR116" s="1"/>
      <c r="IS116" s="1"/>
      <c r="IT116" s="1"/>
    </row>
    <row r="117" spans="1:254" s="1" customFormat="1" ht="12" customHeight="1" x14ac:dyDescent="0.15">
      <c r="A117" s="45" t="s">
        <v>33</v>
      </c>
      <c r="B117" s="155"/>
      <c r="C117" s="45" t="s">
        <v>125</v>
      </c>
      <c r="D117" s="155"/>
      <c r="E117" s="46" t="s">
        <v>185</v>
      </c>
      <c r="F117" s="155"/>
      <c r="G117" s="46" t="s">
        <v>240</v>
      </c>
      <c r="H117" s="155"/>
      <c r="I117" s="46" t="s">
        <v>283</v>
      </c>
      <c r="J117" s="155"/>
      <c r="K117" s="46" t="s">
        <v>324</v>
      </c>
      <c r="L117" s="156"/>
    </row>
    <row r="118" spans="1:254" s="1" customFormat="1" ht="12" customHeight="1" thickBot="1" x14ac:dyDescent="0.2">
      <c r="A118" s="47" t="s">
        <v>87</v>
      </c>
      <c r="B118" s="157"/>
      <c r="C118" s="47" t="s">
        <v>154</v>
      </c>
      <c r="D118" s="157"/>
      <c r="E118" s="23" t="s">
        <v>213</v>
      </c>
      <c r="F118" s="157"/>
      <c r="G118" s="23" t="s">
        <v>264</v>
      </c>
      <c r="H118" s="157"/>
      <c r="I118" s="23" t="s">
        <v>302</v>
      </c>
      <c r="J118" s="157"/>
      <c r="K118" s="23" t="s">
        <v>248</v>
      </c>
      <c r="L118" s="158"/>
    </row>
    <row r="120" spans="1:254" s="84" customFormat="1" ht="12.95" customHeight="1" thickBot="1" x14ac:dyDescent="0.2">
      <c r="A120" s="961" t="s">
        <v>435</v>
      </c>
      <c r="B120" s="961"/>
      <c r="C120" s="961"/>
      <c r="D120" s="961"/>
      <c r="E120" s="962" t="s">
        <v>453</v>
      </c>
      <c r="F120" s="962"/>
      <c r="G120" s="959" t="s">
        <v>1</v>
      </c>
      <c r="H120" s="959"/>
      <c r="I120" s="959" t="s">
        <v>308</v>
      </c>
      <c r="J120" s="959"/>
      <c r="K120" s="959"/>
      <c r="L120" s="959"/>
      <c r="M120" s="960" t="s">
        <v>646</v>
      </c>
      <c r="N120" s="951" t="s">
        <v>647</v>
      </c>
      <c r="O120" s="951" t="s">
        <v>688</v>
      </c>
      <c r="P120" s="951"/>
      <c r="Q120" s="951"/>
      <c r="R120" s="951"/>
      <c r="S120" s="951"/>
      <c r="T120" s="951"/>
      <c r="U120" s="951"/>
      <c r="V120" s="951"/>
      <c r="W120" s="951"/>
      <c r="X120" s="951"/>
      <c r="Y120" s="951"/>
      <c r="Z120" s="951"/>
      <c r="AA120" s="951"/>
      <c r="AB120" s="951"/>
      <c r="AC120" s="951"/>
      <c r="AD120" s="951"/>
      <c r="AE120" s="951"/>
      <c r="AF120" s="951"/>
      <c r="AG120" s="951"/>
      <c r="AH120" s="951"/>
      <c r="AI120" s="951"/>
      <c r="AJ120" s="951"/>
      <c r="AK120" s="951"/>
      <c r="AL120" s="951"/>
      <c r="AM120" s="951"/>
      <c r="AN120" s="951"/>
      <c r="AO120" s="951"/>
      <c r="AP120" s="951"/>
      <c r="AQ120" s="951"/>
      <c r="AR120" s="951"/>
      <c r="AS120" s="951"/>
      <c r="AT120" s="951"/>
      <c r="AU120" s="951"/>
      <c r="AV120" s="951"/>
      <c r="AW120" s="951"/>
      <c r="AX120" s="951"/>
      <c r="AY120" s="951"/>
      <c r="AZ120" s="951"/>
      <c r="BA120" s="951"/>
      <c r="BB120" s="951"/>
      <c r="BC120" s="951"/>
      <c r="BD120" s="951"/>
      <c r="BE120" s="951"/>
      <c r="BF120" s="951"/>
      <c r="BG120" s="951"/>
      <c r="BH120" s="951"/>
      <c r="BI120" s="951"/>
      <c r="BJ120" s="951"/>
      <c r="BK120" s="951"/>
      <c r="BL120" s="951"/>
      <c r="BM120" s="951"/>
      <c r="BN120" s="951"/>
      <c r="BO120" s="951"/>
      <c r="BP120" s="951"/>
      <c r="BQ120" s="951"/>
      <c r="BR120" s="951"/>
      <c r="BS120" s="951"/>
      <c r="BT120" s="951"/>
      <c r="BU120" s="951"/>
      <c r="BV120" s="951"/>
      <c r="BW120" s="951"/>
      <c r="BX120" s="951"/>
      <c r="BY120" s="951"/>
      <c r="BZ120" s="951"/>
      <c r="CA120" s="951"/>
      <c r="CB120" s="951"/>
      <c r="CC120" s="951"/>
      <c r="CD120" s="951"/>
      <c r="CE120" s="951"/>
      <c r="CF120" s="951"/>
      <c r="CG120" s="951"/>
      <c r="CH120" s="951"/>
      <c r="CI120" s="951"/>
      <c r="CJ120" s="951"/>
      <c r="CK120" s="951"/>
      <c r="CL120" s="951"/>
      <c r="CM120" s="951"/>
      <c r="CN120" s="951"/>
      <c r="CO120" s="951"/>
      <c r="CP120" s="951"/>
      <c r="CQ120" s="951"/>
      <c r="CR120" s="951"/>
      <c r="CS120" s="951"/>
      <c r="CT120" s="951"/>
      <c r="CU120" s="951"/>
      <c r="CV120" s="951"/>
      <c r="CW120" s="951"/>
      <c r="CX120" s="951"/>
      <c r="CY120" s="951"/>
      <c r="CZ120" s="951"/>
      <c r="DA120" s="951"/>
      <c r="DB120" s="951"/>
      <c r="DC120" s="951"/>
      <c r="DD120" s="951"/>
      <c r="DE120" s="951"/>
      <c r="DF120" s="951"/>
      <c r="DG120" s="951"/>
      <c r="DH120" s="951"/>
      <c r="DI120" s="951"/>
      <c r="DJ120" s="951"/>
      <c r="DK120" s="951"/>
      <c r="DL120" s="951"/>
      <c r="DM120" s="951"/>
      <c r="DN120" s="951"/>
      <c r="DO120" s="951"/>
      <c r="DP120" s="951"/>
      <c r="DQ120" s="951"/>
      <c r="DR120" s="951"/>
      <c r="DS120" s="951"/>
      <c r="DT120" s="951"/>
      <c r="DU120" s="951"/>
      <c r="DV120" s="951"/>
      <c r="DW120" s="951"/>
      <c r="DX120" s="951"/>
      <c r="DY120" s="951"/>
      <c r="DZ120" s="951"/>
      <c r="EA120" s="951"/>
      <c r="EB120" s="951"/>
      <c r="EC120" s="951"/>
      <c r="ED120" s="951"/>
      <c r="EE120" s="951"/>
      <c r="EF120" s="951"/>
      <c r="EG120" s="951"/>
      <c r="EH120" s="951"/>
      <c r="EI120" s="951"/>
      <c r="EJ120" s="951"/>
      <c r="EK120" s="951"/>
      <c r="EL120" s="951"/>
      <c r="EM120" s="951"/>
      <c r="EN120" s="951"/>
      <c r="EO120" s="951"/>
      <c r="EP120" s="951"/>
      <c r="EQ120" s="951"/>
      <c r="ER120" s="951"/>
      <c r="ES120" s="951"/>
      <c r="ET120" s="951"/>
      <c r="EU120" s="951"/>
      <c r="EV120" s="951"/>
      <c r="EW120" s="951"/>
      <c r="EX120" s="951"/>
      <c r="EY120" s="951"/>
      <c r="EZ120" s="951"/>
      <c r="FA120" s="951"/>
      <c r="FB120" s="951"/>
      <c r="FC120" s="951"/>
      <c r="FD120" s="951"/>
      <c r="FE120" s="951"/>
      <c r="FF120" s="951"/>
      <c r="FG120" s="951"/>
      <c r="FH120" s="951"/>
      <c r="FI120" s="951"/>
      <c r="FJ120" s="951"/>
      <c r="FK120" s="951"/>
      <c r="FL120" s="951"/>
      <c r="FM120" s="951"/>
      <c r="FN120" s="951"/>
      <c r="FO120" s="951"/>
      <c r="FP120" s="951"/>
      <c r="FQ120" s="951"/>
      <c r="FR120" s="951"/>
      <c r="FS120" s="951"/>
      <c r="FT120" s="951"/>
      <c r="FU120" s="951"/>
      <c r="FV120" s="951"/>
      <c r="FW120" s="951"/>
      <c r="FX120" s="951"/>
      <c r="FY120" s="951"/>
      <c r="FZ120" s="951"/>
      <c r="GA120" s="951"/>
      <c r="GB120" s="951"/>
      <c r="GC120" s="951"/>
      <c r="GD120" s="951"/>
      <c r="GE120" s="951"/>
      <c r="GF120" s="951"/>
      <c r="GG120" s="951"/>
      <c r="GH120" s="951"/>
      <c r="GI120" s="951"/>
      <c r="GJ120" s="951"/>
      <c r="GK120" s="951"/>
      <c r="GL120" s="951"/>
      <c r="GM120" s="951"/>
      <c r="GN120" s="951"/>
      <c r="GO120" s="951"/>
      <c r="GP120" s="951"/>
      <c r="GQ120" s="951"/>
      <c r="GR120" s="951"/>
      <c r="GS120" s="951"/>
      <c r="GT120" s="951"/>
      <c r="GU120" s="951"/>
      <c r="GV120" s="951"/>
      <c r="GW120" s="951"/>
      <c r="GX120" s="951"/>
      <c r="GY120" s="951"/>
      <c r="GZ120" s="951"/>
      <c r="HA120" s="951"/>
      <c r="HB120" s="951"/>
      <c r="HC120" s="951"/>
      <c r="HD120" s="951"/>
      <c r="HE120" s="951"/>
      <c r="HF120" s="951"/>
      <c r="HG120" s="951"/>
      <c r="HH120" s="951"/>
      <c r="HI120" s="951"/>
      <c r="HJ120" s="951"/>
      <c r="HK120" s="951"/>
      <c r="HL120" s="951"/>
      <c r="HM120" s="951"/>
      <c r="HN120" s="951"/>
      <c r="HO120" s="951"/>
      <c r="HP120" s="951"/>
      <c r="HQ120" s="951"/>
      <c r="HR120" s="951"/>
      <c r="HS120" s="951"/>
      <c r="HT120" s="951"/>
      <c r="HU120" s="951"/>
      <c r="HV120" s="951"/>
      <c r="HW120" s="951"/>
      <c r="HX120" s="951"/>
      <c r="HY120" s="951"/>
      <c r="HZ120" s="951"/>
      <c r="IA120" s="951"/>
      <c r="IB120" s="951"/>
      <c r="IC120" s="951"/>
      <c r="ID120" s="951"/>
      <c r="IE120" s="951"/>
      <c r="IF120" s="951"/>
      <c r="IG120" s="951"/>
      <c r="IH120" s="951"/>
      <c r="II120" s="951"/>
      <c r="IJ120" s="951"/>
      <c r="IK120" s="951"/>
      <c r="IL120" s="950"/>
      <c r="IM120" s="1"/>
      <c r="IN120" s="1"/>
      <c r="IO120" s="1"/>
      <c r="IP120" s="1"/>
      <c r="IQ120" s="1"/>
      <c r="IR120" s="1"/>
      <c r="IS120" s="1"/>
      <c r="IT120" s="1"/>
    </row>
    <row r="121" spans="1:254" s="84" customFormat="1" ht="12.95" customHeight="1" thickBot="1" x14ac:dyDescent="0.2">
      <c r="A121" s="952"/>
      <c r="B121" s="952"/>
      <c r="C121" s="952"/>
      <c r="D121" s="952"/>
      <c r="E121" s="953"/>
      <c r="F121" s="953"/>
      <c r="G121" s="940" t="s">
        <v>18</v>
      </c>
      <c r="H121" s="940"/>
      <c r="I121" s="954" t="s">
        <v>292</v>
      </c>
      <c r="J121" s="954"/>
      <c r="K121" s="955" t="s">
        <v>292</v>
      </c>
      <c r="L121" s="955"/>
      <c r="M121" s="960"/>
      <c r="N121" s="951"/>
      <c r="O121" s="951"/>
      <c r="P121" s="951"/>
      <c r="Q121" s="951"/>
      <c r="R121" s="951"/>
      <c r="S121" s="951"/>
      <c r="T121" s="951"/>
      <c r="U121" s="951"/>
      <c r="V121" s="951"/>
      <c r="W121" s="951"/>
      <c r="X121" s="951"/>
      <c r="Y121" s="951"/>
      <c r="Z121" s="951"/>
      <c r="AA121" s="951"/>
      <c r="AB121" s="951"/>
      <c r="AC121" s="951"/>
      <c r="AD121" s="951"/>
      <c r="AE121" s="951"/>
      <c r="AF121" s="951"/>
      <c r="AG121" s="951"/>
      <c r="AH121" s="951"/>
      <c r="AI121" s="951"/>
      <c r="AJ121" s="951"/>
      <c r="AK121" s="951"/>
      <c r="AL121" s="951"/>
      <c r="AM121" s="951"/>
      <c r="AN121" s="951"/>
      <c r="AO121" s="951"/>
      <c r="AP121" s="951"/>
      <c r="AQ121" s="951"/>
      <c r="AR121" s="951"/>
      <c r="AS121" s="951"/>
      <c r="AT121" s="951"/>
      <c r="AU121" s="951"/>
      <c r="AV121" s="951"/>
      <c r="AW121" s="951"/>
      <c r="AX121" s="951"/>
      <c r="AY121" s="951"/>
      <c r="AZ121" s="951"/>
      <c r="BA121" s="951"/>
      <c r="BB121" s="951"/>
      <c r="BC121" s="951"/>
      <c r="BD121" s="951"/>
      <c r="BE121" s="951"/>
      <c r="BF121" s="951"/>
      <c r="BG121" s="951"/>
      <c r="BH121" s="951"/>
      <c r="BI121" s="951"/>
      <c r="BJ121" s="951"/>
      <c r="BK121" s="951"/>
      <c r="BL121" s="951"/>
      <c r="BM121" s="951"/>
      <c r="BN121" s="951"/>
      <c r="BO121" s="951"/>
      <c r="BP121" s="951"/>
      <c r="BQ121" s="951"/>
      <c r="BR121" s="951"/>
      <c r="BS121" s="951"/>
      <c r="BT121" s="951"/>
      <c r="BU121" s="951"/>
      <c r="BV121" s="951"/>
      <c r="BW121" s="951"/>
      <c r="BX121" s="951"/>
      <c r="BY121" s="951"/>
      <c r="BZ121" s="951"/>
      <c r="CA121" s="951"/>
      <c r="CB121" s="951"/>
      <c r="CC121" s="951"/>
      <c r="CD121" s="951"/>
      <c r="CE121" s="951"/>
      <c r="CF121" s="951"/>
      <c r="CG121" s="951"/>
      <c r="CH121" s="951"/>
      <c r="CI121" s="951"/>
      <c r="CJ121" s="951"/>
      <c r="CK121" s="951"/>
      <c r="CL121" s="951"/>
      <c r="CM121" s="951"/>
      <c r="CN121" s="951"/>
      <c r="CO121" s="951"/>
      <c r="CP121" s="951"/>
      <c r="CQ121" s="951"/>
      <c r="CR121" s="951"/>
      <c r="CS121" s="951"/>
      <c r="CT121" s="951"/>
      <c r="CU121" s="951"/>
      <c r="CV121" s="951"/>
      <c r="CW121" s="951"/>
      <c r="CX121" s="951"/>
      <c r="CY121" s="951"/>
      <c r="CZ121" s="951"/>
      <c r="DA121" s="951"/>
      <c r="DB121" s="951"/>
      <c r="DC121" s="951"/>
      <c r="DD121" s="951"/>
      <c r="DE121" s="951"/>
      <c r="DF121" s="951"/>
      <c r="DG121" s="951"/>
      <c r="DH121" s="951"/>
      <c r="DI121" s="951"/>
      <c r="DJ121" s="951"/>
      <c r="DK121" s="951"/>
      <c r="DL121" s="951"/>
      <c r="DM121" s="951"/>
      <c r="DN121" s="951"/>
      <c r="DO121" s="951"/>
      <c r="DP121" s="951"/>
      <c r="DQ121" s="951"/>
      <c r="DR121" s="951"/>
      <c r="DS121" s="951"/>
      <c r="DT121" s="951"/>
      <c r="DU121" s="951"/>
      <c r="DV121" s="951"/>
      <c r="DW121" s="951"/>
      <c r="DX121" s="951"/>
      <c r="DY121" s="951"/>
      <c r="DZ121" s="951"/>
      <c r="EA121" s="951"/>
      <c r="EB121" s="951"/>
      <c r="EC121" s="951"/>
      <c r="ED121" s="951"/>
      <c r="EE121" s="951"/>
      <c r="EF121" s="951"/>
      <c r="EG121" s="951"/>
      <c r="EH121" s="951"/>
      <c r="EI121" s="951"/>
      <c r="EJ121" s="951"/>
      <c r="EK121" s="951"/>
      <c r="EL121" s="951"/>
      <c r="EM121" s="951"/>
      <c r="EN121" s="951"/>
      <c r="EO121" s="951"/>
      <c r="EP121" s="951"/>
      <c r="EQ121" s="951"/>
      <c r="ER121" s="951"/>
      <c r="ES121" s="951"/>
      <c r="ET121" s="951"/>
      <c r="EU121" s="951"/>
      <c r="EV121" s="951"/>
      <c r="EW121" s="951"/>
      <c r="EX121" s="951"/>
      <c r="EY121" s="951"/>
      <c r="EZ121" s="951"/>
      <c r="FA121" s="951"/>
      <c r="FB121" s="951"/>
      <c r="FC121" s="951"/>
      <c r="FD121" s="951"/>
      <c r="FE121" s="951"/>
      <c r="FF121" s="951"/>
      <c r="FG121" s="951"/>
      <c r="FH121" s="951"/>
      <c r="FI121" s="951"/>
      <c r="FJ121" s="951"/>
      <c r="FK121" s="951"/>
      <c r="FL121" s="951"/>
      <c r="FM121" s="951"/>
      <c r="FN121" s="951"/>
      <c r="FO121" s="951"/>
      <c r="FP121" s="951"/>
      <c r="FQ121" s="951"/>
      <c r="FR121" s="951"/>
      <c r="FS121" s="951"/>
      <c r="FT121" s="951"/>
      <c r="FU121" s="951"/>
      <c r="FV121" s="951"/>
      <c r="FW121" s="951"/>
      <c r="FX121" s="951"/>
      <c r="FY121" s="951"/>
      <c r="FZ121" s="951"/>
      <c r="GA121" s="951"/>
      <c r="GB121" s="951"/>
      <c r="GC121" s="951"/>
      <c r="GD121" s="951"/>
      <c r="GE121" s="951"/>
      <c r="GF121" s="951"/>
      <c r="GG121" s="951"/>
      <c r="GH121" s="951"/>
      <c r="GI121" s="951"/>
      <c r="GJ121" s="951"/>
      <c r="GK121" s="951"/>
      <c r="GL121" s="951"/>
      <c r="GM121" s="951"/>
      <c r="GN121" s="951"/>
      <c r="GO121" s="951"/>
      <c r="GP121" s="951"/>
      <c r="GQ121" s="951"/>
      <c r="GR121" s="951"/>
      <c r="GS121" s="951"/>
      <c r="GT121" s="951"/>
      <c r="GU121" s="951"/>
      <c r="GV121" s="951"/>
      <c r="GW121" s="951"/>
      <c r="GX121" s="951"/>
      <c r="GY121" s="951"/>
      <c r="GZ121" s="951"/>
      <c r="HA121" s="951"/>
      <c r="HB121" s="951"/>
      <c r="HC121" s="951"/>
      <c r="HD121" s="951"/>
      <c r="HE121" s="951"/>
      <c r="HF121" s="951"/>
      <c r="HG121" s="951"/>
      <c r="HH121" s="951"/>
      <c r="HI121" s="951"/>
      <c r="HJ121" s="951"/>
      <c r="HK121" s="951"/>
      <c r="HL121" s="951"/>
      <c r="HM121" s="951"/>
      <c r="HN121" s="951"/>
      <c r="HO121" s="951"/>
      <c r="HP121" s="951"/>
      <c r="HQ121" s="951"/>
      <c r="HR121" s="951"/>
      <c r="HS121" s="951"/>
      <c r="HT121" s="951"/>
      <c r="HU121" s="951"/>
      <c r="HV121" s="951"/>
      <c r="HW121" s="951"/>
      <c r="HX121" s="951"/>
      <c r="HY121" s="951"/>
      <c r="HZ121" s="951"/>
      <c r="IA121" s="951"/>
      <c r="IB121" s="951"/>
      <c r="IC121" s="951"/>
      <c r="ID121" s="951"/>
      <c r="IE121" s="951"/>
      <c r="IF121" s="951"/>
      <c r="IG121" s="951"/>
      <c r="IH121" s="951"/>
      <c r="II121" s="951"/>
      <c r="IJ121" s="951"/>
      <c r="IK121" s="951"/>
      <c r="IL121" s="951"/>
      <c r="IM121" s="1"/>
      <c r="IN121" s="1"/>
      <c r="IO121" s="1"/>
      <c r="IP121" s="1"/>
      <c r="IQ121" s="1"/>
      <c r="IR121" s="1"/>
      <c r="IS121" s="1"/>
      <c r="IT121" s="1"/>
    </row>
    <row r="122" spans="1:254" s="84" customFormat="1" ht="12.95" customHeight="1" thickBot="1" x14ac:dyDescent="0.2">
      <c r="A122" s="956" t="s">
        <v>653</v>
      </c>
      <c r="B122" s="956"/>
      <c r="C122" s="957" t="s">
        <v>441</v>
      </c>
      <c r="D122" s="957"/>
      <c r="E122" s="958" t="s">
        <v>513</v>
      </c>
      <c r="F122" s="958"/>
      <c r="G122" s="946" t="s">
        <v>4</v>
      </c>
      <c r="H122" s="946"/>
      <c r="I122" s="947" t="s">
        <v>654</v>
      </c>
      <c r="J122" s="947"/>
      <c r="K122" s="948" t="s">
        <v>655</v>
      </c>
      <c r="L122" s="948"/>
      <c r="M122" s="960"/>
      <c r="N122" s="951"/>
      <c r="O122" s="951"/>
      <c r="P122" s="951"/>
      <c r="Q122" s="951"/>
      <c r="R122" s="951"/>
      <c r="S122" s="951"/>
      <c r="T122" s="951"/>
      <c r="U122" s="951"/>
      <c r="V122" s="951"/>
      <c r="W122" s="951"/>
      <c r="X122" s="951"/>
      <c r="Y122" s="951"/>
      <c r="Z122" s="951"/>
      <c r="AA122" s="951"/>
      <c r="AB122" s="951"/>
      <c r="AC122" s="951"/>
      <c r="AD122" s="951"/>
      <c r="AE122" s="951"/>
      <c r="AF122" s="951"/>
      <c r="AG122" s="951"/>
      <c r="AH122" s="951"/>
      <c r="AI122" s="951"/>
      <c r="AJ122" s="951"/>
      <c r="AK122" s="951"/>
      <c r="AL122" s="951"/>
      <c r="AM122" s="951"/>
      <c r="AN122" s="951"/>
      <c r="AO122" s="951"/>
      <c r="AP122" s="951"/>
      <c r="AQ122" s="951"/>
      <c r="AR122" s="951"/>
      <c r="AS122" s="951"/>
      <c r="AT122" s="951"/>
      <c r="AU122" s="951"/>
      <c r="AV122" s="951"/>
      <c r="AW122" s="951"/>
      <c r="AX122" s="951"/>
      <c r="AY122" s="951"/>
      <c r="AZ122" s="951"/>
      <c r="BA122" s="951"/>
      <c r="BB122" s="951"/>
      <c r="BC122" s="951"/>
      <c r="BD122" s="951"/>
      <c r="BE122" s="951"/>
      <c r="BF122" s="951"/>
      <c r="BG122" s="951"/>
      <c r="BH122" s="951"/>
      <c r="BI122" s="951"/>
      <c r="BJ122" s="951"/>
      <c r="BK122" s="951"/>
      <c r="BL122" s="951"/>
      <c r="BM122" s="951"/>
      <c r="BN122" s="951"/>
      <c r="BO122" s="951"/>
      <c r="BP122" s="951"/>
      <c r="BQ122" s="951"/>
      <c r="BR122" s="951"/>
      <c r="BS122" s="951"/>
      <c r="BT122" s="951"/>
      <c r="BU122" s="951"/>
      <c r="BV122" s="951"/>
      <c r="BW122" s="951"/>
      <c r="BX122" s="951"/>
      <c r="BY122" s="951"/>
      <c r="BZ122" s="951"/>
      <c r="CA122" s="951"/>
      <c r="CB122" s="951"/>
      <c r="CC122" s="951"/>
      <c r="CD122" s="951"/>
      <c r="CE122" s="951"/>
      <c r="CF122" s="951"/>
      <c r="CG122" s="951"/>
      <c r="CH122" s="951"/>
      <c r="CI122" s="951"/>
      <c r="CJ122" s="951"/>
      <c r="CK122" s="951"/>
      <c r="CL122" s="951"/>
      <c r="CM122" s="951"/>
      <c r="CN122" s="951"/>
      <c r="CO122" s="951"/>
      <c r="CP122" s="951"/>
      <c r="CQ122" s="951"/>
      <c r="CR122" s="951"/>
      <c r="CS122" s="951"/>
      <c r="CT122" s="951"/>
      <c r="CU122" s="951"/>
      <c r="CV122" s="951"/>
      <c r="CW122" s="951"/>
      <c r="CX122" s="951"/>
      <c r="CY122" s="951"/>
      <c r="CZ122" s="951"/>
      <c r="DA122" s="951"/>
      <c r="DB122" s="951"/>
      <c r="DC122" s="951"/>
      <c r="DD122" s="951"/>
      <c r="DE122" s="951"/>
      <c r="DF122" s="951"/>
      <c r="DG122" s="951"/>
      <c r="DH122" s="951"/>
      <c r="DI122" s="951"/>
      <c r="DJ122" s="951"/>
      <c r="DK122" s="951"/>
      <c r="DL122" s="951"/>
      <c r="DM122" s="951"/>
      <c r="DN122" s="951"/>
      <c r="DO122" s="951"/>
      <c r="DP122" s="951"/>
      <c r="DQ122" s="951"/>
      <c r="DR122" s="951"/>
      <c r="DS122" s="951"/>
      <c r="DT122" s="951"/>
      <c r="DU122" s="951"/>
      <c r="DV122" s="951"/>
      <c r="DW122" s="951"/>
      <c r="DX122" s="951"/>
      <c r="DY122" s="951"/>
      <c r="DZ122" s="951"/>
      <c r="EA122" s="951"/>
      <c r="EB122" s="951"/>
      <c r="EC122" s="951"/>
      <c r="ED122" s="951"/>
      <c r="EE122" s="951"/>
      <c r="EF122" s="951"/>
      <c r="EG122" s="951"/>
      <c r="EH122" s="951"/>
      <c r="EI122" s="951"/>
      <c r="EJ122" s="951"/>
      <c r="EK122" s="951"/>
      <c r="EL122" s="951"/>
      <c r="EM122" s="951"/>
      <c r="EN122" s="951"/>
      <c r="EO122" s="951"/>
      <c r="EP122" s="951"/>
      <c r="EQ122" s="951"/>
      <c r="ER122" s="951"/>
      <c r="ES122" s="951"/>
      <c r="ET122" s="951"/>
      <c r="EU122" s="951"/>
      <c r="EV122" s="951"/>
      <c r="EW122" s="951"/>
      <c r="EX122" s="951"/>
      <c r="EY122" s="951"/>
      <c r="EZ122" s="951"/>
      <c r="FA122" s="951"/>
      <c r="FB122" s="951"/>
      <c r="FC122" s="951"/>
      <c r="FD122" s="951"/>
      <c r="FE122" s="951"/>
      <c r="FF122" s="951"/>
      <c r="FG122" s="951"/>
      <c r="FH122" s="951"/>
      <c r="FI122" s="951"/>
      <c r="FJ122" s="951"/>
      <c r="FK122" s="951"/>
      <c r="FL122" s="951"/>
      <c r="FM122" s="951"/>
      <c r="FN122" s="951"/>
      <c r="FO122" s="951"/>
      <c r="FP122" s="951"/>
      <c r="FQ122" s="951"/>
      <c r="FR122" s="951"/>
      <c r="FS122" s="951"/>
      <c r="FT122" s="951"/>
      <c r="FU122" s="951"/>
      <c r="FV122" s="951"/>
      <c r="FW122" s="951"/>
      <c r="FX122" s="951"/>
      <c r="FY122" s="951"/>
      <c r="FZ122" s="951"/>
      <c r="GA122" s="951"/>
      <c r="GB122" s="951"/>
      <c r="GC122" s="951"/>
      <c r="GD122" s="951"/>
      <c r="GE122" s="951"/>
      <c r="GF122" s="951"/>
      <c r="GG122" s="951"/>
      <c r="GH122" s="951"/>
      <c r="GI122" s="951"/>
      <c r="GJ122" s="951"/>
      <c r="GK122" s="951"/>
      <c r="GL122" s="951"/>
      <c r="GM122" s="951"/>
      <c r="GN122" s="951"/>
      <c r="GO122" s="951"/>
      <c r="GP122" s="951"/>
      <c r="GQ122" s="951"/>
      <c r="GR122" s="951"/>
      <c r="GS122" s="951"/>
      <c r="GT122" s="951"/>
      <c r="GU122" s="951"/>
      <c r="GV122" s="951"/>
      <c r="GW122" s="951"/>
      <c r="GX122" s="951"/>
      <c r="GY122" s="951"/>
      <c r="GZ122" s="951"/>
      <c r="HA122" s="951"/>
      <c r="HB122" s="951"/>
      <c r="HC122" s="951"/>
      <c r="HD122" s="951"/>
      <c r="HE122" s="951"/>
      <c r="HF122" s="951"/>
      <c r="HG122" s="951"/>
      <c r="HH122" s="951"/>
      <c r="HI122" s="951"/>
      <c r="HJ122" s="951"/>
      <c r="HK122" s="951"/>
      <c r="HL122" s="951"/>
      <c r="HM122" s="951"/>
      <c r="HN122" s="951"/>
      <c r="HO122" s="951"/>
      <c r="HP122" s="951"/>
      <c r="HQ122" s="951"/>
      <c r="HR122" s="951"/>
      <c r="HS122" s="951"/>
      <c r="HT122" s="951"/>
      <c r="HU122" s="951"/>
      <c r="HV122" s="951"/>
      <c r="HW122" s="951"/>
      <c r="HX122" s="951"/>
      <c r="HY122" s="951"/>
      <c r="HZ122" s="951"/>
      <c r="IA122" s="951"/>
      <c r="IB122" s="951"/>
      <c r="IC122" s="951"/>
      <c r="ID122" s="951"/>
      <c r="IE122" s="951"/>
      <c r="IF122" s="951"/>
      <c r="IG122" s="951"/>
      <c r="IH122" s="951"/>
      <c r="II122" s="951"/>
      <c r="IJ122" s="951"/>
      <c r="IK122" s="951"/>
      <c r="IL122" s="951"/>
      <c r="IM122" s="1"/>
      <c r="IN122" s="1"/>
      <c r="IO122" s="1"/>
      <c r="IP122" s="1"/>
      <c r="IQ122" s="1"/>
      <c r="IR122" s="1"/>
      <c r="IS122" s="1"/>
      <c r="IT122" s="1"/>
    </row>
    <row r="123" spans="1:254" s="84" customFormat="1" ht="12.95" customHeight="1" thickBot="1" x14ac:dyDescent="0.2">
      <c r="A123" s="85">
        <f>B123+SUM(O127:IL127)</f>
        <v>0</v>
      </c>
      <c r="B123" s="9">
        <f>J127+L127</f>
        <v>0</v>
      </c>
      <c r="C123" s="86">
        <f>D123-SUM(O128:IL128)+SUM(O129:IL129)</f>
        <v>0</v>
      </c>
      <c r="D123" s="10">
        <f>J129+L129</f>
        <v>0</v>
      </c>
      <c r="E123" s="11">
        <f>J130+L130</f>
        <v>0</v>
      </c>
      <c r="F123" s="12">
        <f>E123+SUM(O130:IL130)</f>
        <v>0</v>
      </c>
      <c r="G123" s="940" t="s">
        <v>18</v>
      </c>
      <c r="H123" s="940"/>
      <c r="I123" s="941" t="s">
        <v>18</v>
      </c>
      <c r="J123" s="941"/>
      <c r="K123" s="942" t="s">
        <v>18</v>
      </c>
      <c r="L123" s="942"/>
      <c r="M123" s="960"/>
      <c r="N123" s="960"/>
      <c r="O123" s="951"/>
      <c r="P123" s="951"/>
      <c r="Q123" s="951"/>
      <c r="R123" s="951"/>
      <c r="S123" s="951"/>
      <c r="T123" s="951"/>
      <c r="U123" s="951"/>
      <c r="V123" s="951"/>
      <c r="W123" s="951"/>
      <c r="X123" s="951"/>
      <c r="Y123" s="951"/>
      <c r="Z123" s="951"/>
      <c r="AA123" s="951"/>
      <c r="AB123" s="951"/>
      <c r="AC123" s="951"/>
      <c r="AD123" s="951"/>
      <c r="AE123" s="951"/>
      <c r="AF123" s="951"/>
      <c r="AG123" s="951"/>
      <c r="AH123" s="951"/>
      <c r="AI123" s="951"/>
      <c r="AJ123" s="951"/>
      <c r="AK123" s="951"/>
      <c r="AL123" s="951"/>
      <c r="AM123" s="951"/>
      <c r="AN123" s="951"/>
      <c r="AO123" s="951"/>
      <c r="AP123" s="951"/>
      <c r="AQ123" s="951"/>
      <c r="AR123" s="951"/>
      <c r="AS123" s="951"/>
      <c r="AT123" s="951"/>
      <c r="AU123" s="951"/>
      <c r="AV123" s="951"/>
      <c r="AW123" s="951"/>
      <c r="AX123" s="951"/>
      <c r="AY123" s="951"/>
      <c r="AZ123" s="951"/>
      <c r="BA123" s="951"/>
      <c r="BB123" s="951"/>
      <c r="BC123" s="951"/>
      <c r="BD123" s="951"/>
      <c r="BE123" s="951"/>
      <c r="BF123" s="951"/>
      <c r="BG123" s="951"/>
      <c r="BH123" s="951"/>
      <c r="BI123" s="951"/>
      <c r="BJ123" s="951"/>
      <c r="BK123" s="951"/>
      <c r="BL123" s="951"/>
      <c r="BM123" s="951"/>
      <c r="BN123" s="951"/>
      <c r="BO123" s="951"/>
      <c r="BP123" s="951"/>
      <c r="BQ123" s="951"/>
      <c r="BR123" s="951"/>
      <c r="BS123" s="951"/>
      <c r="BT123" s="951"/>
      <c r="BU123" s="951"/>
      <c r="BV123" s="951"/>
      <c r="BW123" s="951"/>
      <c r="BX123" s="951"/>
      <c r="BY123" s="951"/>
      <c r="BZ123" s="951"/>
      <c r="CA123" s="951"/>
      <c r="CB123" s="951"/>
      <c r="CC123" s="951"/>
      <c r="CD123" s="951"/>
      <c r="CE123" s="951"/>
      <c r="CF123" s="951"/>
      <c r="CG123" s="951"/>
      <c r="CH123" s="951"/>
      <c r="CI123" s="951"/>
      <c r="CJ123" s="951"/>
      <c r="CK123" s="951"/>
      <c r="CL123" s="951"/>
      <c r="CM123" s="951"/>
      <c r="CN123" s="951"/>
      <c r="CO123" s="951"/>
      <c r="CP123" s="951"/>
      <c r="CQ123" s="951"/>
      <c r="CR123" s="951"/>
      <c r="CS123" s="951"/>
      <c r="CT123" s="951"/>
      <c r="CU123" s="951"/>
      <c r="CV123" s="951"/>
      <c r="CW123" s="951"/>
      <c r="CX123" s="951"/>
      <c r="CY123" s="951"/>
      <c r="CZ123" s="951"/>
      <c r="DA123" s="951"/>
      <c r="DB123" s="951"/>
      <c r="DC123" s="951"/>
      <c r="DD123" s="951"/>
      <c r="DE123" s="951"/>
      <c r="DF123" s="951"/>
      <c r="DG123" s="951"/>
      <c r="DH123" s="951"/>
      <c r="DI123" s="951"/>
      <c r="DJ123" s="951"/>
      <c r="DK123" s="951"/>
      <c r="DL123" s="951"/>
      <c r="DM123" s="951"/>
      <c r="DN123" s="951"/>
      <c r="DO123" s="951"/>
      <c r="DP123" s="951"/>
      <c r="DQ123" s="951"/>
      <c r="DR123" s="951"/>
      <c r="DS123" s="951"/>
      <c r="DT123" s="951"/>
      <c r="DU123" s="951"/>
      <c r="DV123" s="951"/>
      <c r="DW123" s="951"/>
      <c r="DX123" s="951"/>
      <c r="DY123" s="951"/>
      <c r="DZ123" s="951"/>
      <c r="EA123" s="951"/>
      <c r="EB123" s="951"/>
      <c r="EC123" s="951"/>
      <c r="ED123" s="951"/>
      <c r="EE123" s="951"/>
      <c r="EF123" s="951"/>
      <c r="EG123" s="951"/>
      <c r="EH123" s="951"/>
      <c r="EI123" s="951"/>
      <c r="EJ123" s="951"/>
      <c r="EK123" s="951"/>
      <c r="EL123" s="951"/>
      <c r="EM123" s="951"/>
      <c r="EN123" s="951"/>
      <c r="EO123" s="951"/>
      <c r="EP123" s="951"/>
      <c r="EQ123" s="951"/>
      <c r="ER123" s="951"/>
      <c r="ES123" s="951"/>
      <c r="ET123" s="951"/>
      <c r="EU123" s="951"/>
      <c r="EV123" s="951"/>
      <c r="EW123" s="951"/>
      <c r="EX123" s="951"/>
      <c r="EY123" s="951"/>
      <c r="EZ123" s="951"/>
      <c r="FA123" s="951"/>
      <c r="FB123" s="951"/>
      <c r="FC123" s="951"/>
      <c r="FD123" s="951"/>
      <c r="FE123" s="951"/>
      <c r="FF123" s="951"/>
      <c r="FG123" s="951"/>
      <c r="FH123" s="951"/>
      <c r="FI123" s="951"/>
      <c r="FJ123" s="951"/>
      <c r="FK123" s="951"/>
      <c r="FL123" s="951"/>
      <c r="FM123" s="951"/>
      <c r="FN123" s="951"/>
      <c r="FO123" s="951"/>
      <c r="FP123" s="951"/>
      <c r="FQ123" s="951"/>
      <c r="FR123" s="951"/>
      <c r="FS123" s="951"/>
      <c r="FT123" s="951"/>
      <c r="FU123" s="951"/>
      <c r="FV123" s="951"/>
      <c r="FW123" s="951"/>
      <c r="FX123" s="951"/>
      <c r="FY123" s="951"/>
      <c r="FZ123" s="951"/>
      <c r="GA123" s="951"/>
      <c r="GB123" s="951"/>
      <c r="GC123" s="951"/>
      <c r="GD123" s="951"/>
      <c r="GE123" s="951"/>
      <c r="GF123" s="951"/>
      <c r="GG123" s="951"/>
      <c r="GH123" s="951"/>
      <c r="GI123" s="951"/>
      <c r="GJ123" s="951"/>
      <c r="GK123" s="951"/>
      <c r="GL123" s="951"/>
      <c r="GM123" s="951"/>
      <c r="GN123" s="951"/>
      <c r="GO123" s="951"/>
      <c r="GP123" s="951"/>
      <c r="GQ123" s="951"/>
      <c r="GR123" s="951"/>
      <c r="GS123" s="951"/>
      <c r="GT123" s="951"/>
      <c r="GU123" s="951"/>
      <c r="GV123" s="951"/>
      <c r="GW123" s="951"/>
      <c r="GX123" s="951"/>
      <c r="GY123" s="951"/>
      <c r="GZ123" s="951"/>
      <c r="HA123" s="951"/>
      <c r="HB123" s="951"/>
      <c r="HC123" s="951"/>
      <c r="HD123" s="951"/>
      <c r="HE123" s="951"/>
      <c r="HF123" s="951"/>
      <c r="HG123" s="951"/>
      <c r="HH123" s="951"/>
      <c r="HI123" s="951"/>
      <c r="HJ123" s="951"/>
      <c r="HK123" s="951"/>
      <c r="HL123" s="951"/>
      <c r="HM123" s="951"/>
      <c r="HN123" s="951"/>
      <c r="HO123" s="951"/>
      <c r="HP123" s="951"/>
      <c r="HQ123" s="951"/>
      <c r="HR123" s="951"/>
      <c r="HS123" s="951"/>
      <c r="HT123" s="951"/>
      <c r="HU123" s="951"/>
      <c r="HV123" s="951"/>
      <c r="HW123" s="951"/>
      <c r="HX123" s="951"/>
      <c r="HY123" s="951"/>
      <c r="HZ123" s="951"/>
      <c r="IA123" s="951"/>
      <c r="IB123" s="951"/>
      <c r="IC123" s="951"/>
      <c r="ID123" s="951"/>
      <c r="IE123" s="951"/>
      <c r="IF123" s="951"/>
      <c r="IG123" s="951"/>
      <c r="IH123" s="951"/>
      <c r="II123" s="951"/>
      <c r="IJ123" s="951"/>
      <c r="IK123" s="951"/>
      <c r="IL123" s="951"/>
      <c r="IM123" s="1"/>
      <c r="IN123" s="1"/>
      <c r="IO123" s="1"/>
      <c r="IP123" s="1"/>
      <c r="IQ123" s="1"/>
      <c r="IR123" s="1"/>
      <c r="IS123" s="1"/>
      <c r="IT123" s="1"/>
    </row>
    <row r="124" spans="1:254" s="84" customFormat="1" ht="12" customHeight="1" thickBot="1" x14ac:dyDescent="0.2">
      <c r="A124" s="943" t="s">
        <v>447</v>
      </c>
      <c r="B124" s="944"/>
      <c r="C124" s="87" t="s">
        <v>656</v>
      </c>
      <c r="D124" s="88" t="s">
        <v>657</v>
      </c>
      <c r="E124" s="945" t="str">
        <f>IF(F123&lt;100,IF(F123&lt;50,"通常状態",IF(F123&lt;60,"暴走Lv1 ",IF(F123&lt;70,"暴走Lv2",IF(F123&lt;80,"暴走Lv3",IF(F123&lt;90,"暴走Lv4","暴走Lv5"))))),IF(F123&lt;110,"臨界Lv1",IF(F123&lt;120,"臨界Lv2",IF(F123&lt;130,"臨界Lv3",IF(F123&lt;140,"臨界Lv4",IF(F123&lt;150,"臨界Lv5",IF(F123&lt;150,"活性Lv5","因子崩壊")))))))</f>
        <v>通常状態</v>
      </c>
      <c r="F124" s="945"/>
      <c r="G124" s="946" t="s">
        <v>15</v>
      </c>
      <c r="H124" s="946"/>
      <c r="I124" s="947" t="s">
        <v>467</v>
      </c>
      <c r="J124" s="947"/>
      <c r="K124" s="948" t="s">
        <v>658</v>
      </c>
      <c r="L124" s="948"/>
      <c r="M124" s="960"/>
      <c r="N124" s="960"/>
      <c r="O124" s="951"/>
      <c r="P124" s="951"/>
      <c r="Q124" s="951"/>
      <c r="R124" s="951"/>
      <c r="S124" s="951"/>
      <c r="T124" s="951"/>
      <c r="U124" s="951"/>
      <c r="V124" s="951"/>
      <c r="W124" s="951"/>
      <c r="X124" s="951"/>
      <c r="Y124" s="951"/>
      <c r="Z124" s="951"/>
      <c r="AA124" s="951"/>
      <c r="AB124" s="951"/>
      <c r="AC124" s="951"/>
      <c r="AD124" s="951"/>
      <c r="AE124" s="951"/>
      <c r="AF124" s="951"/>
      <c r="AG124" s="951"/>
      <c r="AH124" s="951"/>
      <c r="AI124" s="951"/>
      <c r="AJ124" s="951"/>
      <c r="AK124" s="951"/>
      <c r="AL124" s="951"/>
      <c r="AM124" s="951"/>
      <c r="AN124" s="951"/>
      <c r="AO124" s="951"/>
      <c r="AP124" s="951"/>
      <c r="AQ124" s="951"/>
      <c r="AR124" s="951"/>
      <c r="AS124" s="951"/>
      <c r="AT124" s="951"/>
      <c r="AU124" s="951"/>
      <c r="AV124" s="951"/>
      <c r="AW124" s="951"/>
      <c r="AX124" s="951"/>
      <c r="AY124" s="951"/>
      <c r="AZ124" s="951"/>
      <c r="BA124" s="951"/>
      <c r="BB124" s="951"/>
      <c r="BC124" s="951"/>
      <c r="BD124" s="951"/>
      <c r="BE124" s="951"/>
      <c r="BF124" s="951"/>
      <c r="BG124" s="951"/>
      <c r="BH124" s="951"/>
      <c r="BI124" s="951"/>
      <c r="BJ124" s="951"/>
      <c r="BK124" s="951"/>
      <c r="BL124" s="951"/>
      <c r="BM124" s="951"/>
      <c r="BN124" s="951"/>
      <c r="BO124" s="951"/>
      <c r="BP124" s="951"/>
      <c r="BQ124" s="951"/>
      <c r="BR124" s="951"/>
      <c r="BS124" s="951"/>
      <c r="BT124" s="951"/>
      <c r="BU124" s="951"/>
      <c r="BV124" s="951"/>
      <c r="BW124" s="951"/>
      <c r="BX124" s="951"/>
      <c r="BY124" s="951"/>
      <c r="BZ124" s="951"/>
      <c r="CA124" s="951"/>
      <c r="CB124" s="951"/>
      <c r="CC124" s="951"/>
      <c r="CD124" s="951"/>
      <c r="CE124" s="951"/>
      <c r="CF124" s="951"/>
      <c r="CG124" s="951"/>
      <c r="CH124" s="951"/>
      <c r="CI124" s="951"/>
      <c r="CJ124" s="951"/>
      <c r="CK124" s="951"/>
      <c r="CL124" s="951"/>
      <c r="CM124" s="951"/>
      <c r="CN124" s="951"/>
      <c r="CO124" s="951"/>
      <c r="CP124" s="951"/>
      <c r="CQ124" s="951"/>
      <c r="CR124" s="951"/>
      <c r="CS124" s="951"/>
      <c r="CT124" s="951"/>
      <c r="CU124" s="951"/>
      <c r="CV124" s="951"/>
      <c r="CW124" s="951"/>
      <c r="CX124" s="951"/>
      <c r="CY124" s="951"/>
      <c r="CZ124" s="951"/>
      <c r="DA124" s="951"/>
      <c r="DB124" s="951"/>
      <c r="DC124" s="951"/>
      <c r="DD124" s="951"/>
      <c r="DE124" s="951"/>
      <c r="DF124" s="951"/>
      <c r="DG124" s="951"/>
      <c r="DH124" s="951"/>
      <c r="DI124" s="951"/>
      <c r="DJ124" s="951"/>
      <c r="DK124" s="951"/>
      <c r="DL124" s="951"/>
      <c r="DM124" s="951"/>
      <c r="DN124" s="951"/>
      <c r="DO124" s="951"/>
      <c r="DP124" s="951"/>
      <c r="DQ124" s="951"/>
      <c r="DR124" s="951"/>
      <c r="DS124" s="951"/>
      <c r="DT124" s="951"/>
      <c r="DU124" s="951"/>
      <c r="DV124" s="951"/>
      <c r="DW124" s="951"/>
      <c r="DX124" s="951"/>
      <c r="DY124" s="951"/>
      <c r="DZ124" s="951"/>
      <c r="EA124" s="951"/>
      <c r="EB124" s="951"/>
      <c r="EC124" s="951"/>
      <c r="ED124" s="951"/>
      <c r="EE124" s="951"/>
      <c r="EF124" s="951"/>
      <c r="EG124" s="951"/>
      <c r="EH124" s="951"/>
      <c r="EI124" s="951"/>
      <c r="EJ124" s="951"/>
      <c r="EK124" s="951"/>
      <c r="EL124" s="951"/>
      <c r="EM124" s="951"/>
      <c r="EN124" s="951"/>
      <c r="EO124" s="951"/>
      <c r="EP124" s="951"/>
      <c r="EQ124" s="951"/>
      <c r="ER124" s="951"/>
      <c r="ES124" s="951"/>
      <c r="ET124" s="951"/>
      <c r="EU124" s="951"/>
      <c r="EV124" s="951"/>
      <c r="EW124" s="951"/>
      <c r="EX124" s="951"/>
      <c r="EY124" s="951"/>
      <c r="EZ124" s="951"/>
      <c r="FA124" s="951"/>
      <c r="FB124" s="951"/>
      <c r="FC124" s="951"/>
      <c r="FD124" s="951"/>
      <c r="FE124" s="951"/>
      <c r="FF124" s="951"/>
      <c r="FG124" s="951"/>
      <c r="FH124" s="951"/>
      <c r="FI124" s="951"/>
      <c r="FJ124" s="951"/>
      <c r="FK124" s="951"/>
      <c r="FL124" s="951"/>
      <c r="FM124" s="951"/>
      <c r="FN124" s="951"/>
      <c r="FO124" s="951"/>
      <c r="FP124" s="951"/>
      <c r="FQ124" s="951"/>
      <c r="FR124" s="951"/>
      <c r="FS124" s="951"/>
      <c r="FT124" s="951"/>
      <c r="FU124" s="951"/>
      <c r="FV124" s="951"/>
      <c r="FW124" s="951"/>
      <c r="FX124" s="951"/>
      <c r="FY124" s="951"/>
      <c r="FZ124" s="951"/>
      <c r="GA124" s="951"/>
      <c r="GB124" s="951"/>
      <c r="GC124" s="951"/>
      <c r="GD124" s="951"/>
      <c r="GE124" s="951"/>
      <c r="GF124" s="951"/>
      <c r="GG124" s="951"/>
      <c r="GH124" s="951"/>
      <c r="GI124" s="951"/>
      <c r="GJ124" s="951"/>
      <c r="GK124" s="951"/>
      <c r="GL124" s="951"/>
      <c r="GM124" s="951"/>
      <c r="GN124" s="951"/>
      <c r="GO124" s="951"/>
      <c r="GP124" s="951"/>
      <c r="GQ124" s="951"/>
      <c r="GR124" s="951"/>
      <c r="GS124" s="951"/>
      <c r="GT124" s="951"/>
      <c r="GU124" s="951"/>
      <c r="GV124" s="951"/>
      <c r="GW124" s="951"/>
      <c r="GX124" s="951"/>
      <c r="GY124" s="951"/>
      <c r="GZ124" s="951"/>
      <c r="HA124" s="951"/>
      <c r="HB124" s="951"/>
      <c r="HC124" s="951"/>
      <c r="HD124" s="951"/>
      <c r="HE124" s="951"/>
      <c r="HF124" s="951"/>
      <c r="HG124" s="951"/>
      <c r="HH124" s="951"/>
      <c r="HI124" s="951"/>
      <c r="HJ124" s="951"/>
      <c r="HK124" s="951"/>
      <c r="HL124" s="951"/>
      <c r="HM124" s="951"/>
      <c r="HN124" s="951"/>
      <c r="HO124" s="951"/>
      <c r="HP124" s="951"/>
      <c r="HQ124" s="951"/>
      <c r="HR124" s="951"/>
      <c r="HS124" s="951"/>
      <c r="HT124" s="951"/>
      <c r="HU124" s="951"/>
      <c r="HV124" s="951"/>
      <c r="HW124" s="951"/>
      <c r="HX124" s="951"/>
      <c r="HY124" s="951"/>
      <c r="HZ124" s="951"/>
      <c r="IA124" s="951"/>
      <c r="IB124" s="951"/>
      <c r="IC124" s="951"/>
      <c r="ID124" s="951"/>
      <c r="IE124" s="951"/>
      <c r="IF124" s="951"/>
      <c r="IG124" s="951"/>
      <c r="IH124" s="951"/>
      <c r="II124" s="951"/>
      <c r="IJ124" s="951"/>
      <c r="IK124" s="951"/>
      <c r="IL124" s="951"/>
      <c r="IM124" s="1"/>
      <c r="IN124" s="1"/>
      <c r="IO124" s="1"/>
      <c r="IP124" s="1"/>
      <c r="IQ124" s="1"/>
      <c r="IR124" s="1"/>
      <c r="IS124" s="1"/>
      <c r="IT124" s="1"/>
    </row>
    <row r="125" spans="1:254" s="84" customFormat="1" ht="12.95" customHeight="1" thickBot="1" x14ac:dyDescent="0.2">
      <c r="A125" s="943"/>
      <c r="B125" s="944"/>
      <c r="C125" s="89">
        <f>SUM(L128:IQ128)</f>
        <v>0</v>
      </c>
      <c r="D125" s="13">
        <f>ROUNDDOWN((C125/5),0)+SUM(I126:IL126)</f>
        <v>0</v>
      </c>
      <c r="E125" s="949" t="str">
        <f>IF(F123&lt;50,"未活性",IF(F123&lt;60,"活性Lv1",IF(F123&lt;70,"活性Lv2",IF(F123&lt;80,"活性Lv3",IF(F123&lt;90,"活性Lv4",IF(F123&lt;100,"活性Lv5",IF(F123&lt;150,"活性Lv5","強制キャラロスト")))))))</f>
        <v>未活性</v>
      </c>
      <c r="F125" s="949"/>
      <c r="G125" s="932" t="s">
        <v>18</v>
      </c>
      <c r="H125" s="932"/>
      <c r="I125" s="933" t="s">
        <v>18</v>
      </c>
      <c r="J125" s="933"/>
      <c r="K125" s="934" t="str">
        <f>IF(OR(A123&lt;=B123/2,F123&gt;=90),IF(F123&gt;=120,"オーバーフロー","発動中"),"-")</f>
        <v>発動中</v>
      </c>
      <c r="L125" s="934"/>
      <c r="M125" s="960"/>
      <c r="N125" s="960"/>
      <c r="O125" s="951"/>
      <c r="P125" s="951"/>
      <c r="Q125" s="951"/>
      <c r="R125" s="951"/>
      <c r="S125" s="951"/>
      <c r="T125" s="951"/>
      <c r="U125" s="951"/>
      <c r="V125" s="951"/>
      <c r="W125" s="951"/>
      <c r="X125" s="951"/>
      <c r="Y125" s="951"/>
      <c r="Z125" s="951"/>
      <c r="AA125" s="951"/>
      <c r="AB125" s="951"/>
      <c r="AC125" s="951"/>
      <c r="AD125" s="951"/>
      <c r="AE125" s="951"/>
      <c r="AF125" s="951"/>
      <c r="AG125" s="951"/>
      <c r="AH125" s="951"/>
      <c r="AI125" s="951"/>
      <c r="AJ125" s="951"/>
      <c r="AK125" s="951"/>
      <c r="AL125" s="951"/>
      <c r="AM125" s="951"/>
      <c r="AN125" s="951"/>
      <c r="AO125" s="951"/>
      <c r="AP125" s="951"/>
      <c r="AQ125" s="951"/>
      <c r="AR125" s="951"/>
      <c r="AS125" s="951"/>
      <c r="AT125" s="951"/>
      <c r="AU125" s="951"/>
      <c r="AV125" s="951"/>
      <c r="AW125" s="951"/>
      <c r="AX125" s="951"/>
      <c r="AY125" s="951"/>
      <c r="AZ125" s="951"/>
      <c r="BA125" s="951"/>
      <c r="BB125" s="951"/>
      <c r="BC125" s="951"/>
      <c r="BD125" s="951"/>
      <c r="BE125" s="951"/>
      <c r="BF125" s="951"/>
      <c r="BG125" s="951"/>
      <c r="BH125" s="951"/>
      <c r="BI125" s="951"/>
      <c r="BJ125" s="951"/>
      <c r="BK125" s="951"/>
      <c r="BL125" s="951"/>
      <c r="BM125" s="951"/>
      <c r="BN125" s="951"/>
      <c r="BO125" s="951"/>
      <c r="BP125" s="951"/>
      <c r="BQ125" s="951"/>
      <c r="BR125" s="951"/>
      <c r="BS125" s="951"/>
      <c r="BT125" s="951"/>
      <c r="BU125" s="951"/>
      <c r="BV125" s="951"/>
      <c r="BW125" s="951"/>
      <c r="BX125" s="951"/>
      <c r="BY125" s="951"/>
      <c r="BZ125" s="951"/>
      <c r="CA125" s="951"/>
      <c r="CB125" s="951"/>
      <c r="CC125" s="951"/>
      <c r="CD125" s="951"/>
      <c r="CE125" s="951"/>
      <c r="CF125" s="951"/>
      <c r="CG125" s="951"/>
      <c r="CH125" s="951"/>
      <c r="CI125" s="951"/>
      <c r="CJ125" s="951"/>
      <c r="CK125" s="951"/>
      <c r="CL125" s="951"/>
      <c r="CM125" s="951"/>
      <c r="CN125" s="951"/>
      <c r="CO125" s="951"/>
      <c r="CP125" s="951"/>
      <c r="CQ125" s="951"/>
      <c r="CR125" s="951"/>
      <c r="CS125" s="951"/>
      <c r="CT125" s="951"/>
      <c r="CU125" s="951"/>
      <c r="CV125" s="951"/>
      <c r="CW125" s="951"/>
      <c r="CX125" s="951"/>
      <c r="CY125" s="951"/>
      <c r="CZ125" s="951"/>
      <c r="DA125" s="951"/>
      <c r="DB125" s="951"/>
      <c r="DC125" s="951"/>
      <c r="DD125" s="951"/>
      <c r="DE125" s="951"/>
      <c r="DF125" s="951"/>
      <c r="DG125" s="951"/>
      <c r="DH125" s="951"/>
      <c r="DI125" s="951"/>
      <c r="DJ125" s="951"/>
      <c r="DK125" s="951"/>
      <c r="DL125" s="951"/>
      <c r="DM125" s="951"/>
      <c r="DN125" s="951"/>
      <c r="DO125" s="951"/>
      <c r="DP125" s="951"/>
      <c r="DQ125" s="951"/>
      <c r="DR125" s="951"/>
      <c r="DS125" s="951"/>
      <c r="DT125" s="951"/>
      <c r="DU125" s="951"/>
      <c r="DV125" s="951"/>
      <c r="DW125" s="951"/>
      <c r="DX125" s="951"/>
      <c r="DY125" s="951"/>
      <c r="DZ125" s="951"/>
      <c r="EA125" s="951"/>
      <c r="EB125" s="951"/>
      <c r="EC125" s="951"/>
      <c r="ED125" s="951"/>
      <c r="EE125" s="951"/>
      <c r="EF125" s="951"/>
      <c r="EG125" s="951"/>
      <c r="EH125" s="951"/>
      <c r="EI125" s="951"/>
      <c r="EJ125" s="951"/>
      <c r="EK125" s="951"/>
      <c r="EL125" s="951"/>
      <c r="EM125" s="951"/>
      <c r="EN125" s="951"/>
      <c r="EO125" s="951"/>
      <c r="EP125" s="951"/>
      <c r="EQ125" s="951"/>
      <c r="ER125" s="951"/>
      <c r="ES125" s="951"/>
      <c r="ET125" s="951"/>
      <c r="EU125" s="951"/>
      <c r="EV125" s="951"/>
      <c r="EW125" s="951"/>
      <c r="EX125" s="951"/>
      <c r="EY125" s="951"/>
      <c r="EZ125" s="951"/>
      <c r="FA125" s="951"/>
      <c r="FB125" s="951"/>
      <c r="FC125" s="951"/>
      <c r="FD125" s="951"/>
      <c r="FE125" s="951"/>
      <c r="FF125" s="951"/>
      <c r="FG125" s="951"/>
      <c r="FH125" s="951"/>
      <c r="FI125" s="951"/>
      <c r="FJ125" s="951"/>
      <c r="FK125" s="951"/>
      <c r="FL125" s="951"/>
      <c r="FM125" s="951"/>
      <c r="FN125" s="951"/>
      <c r="FO125" s="951"/>
      <c r="FP125" s="951"/>
      <c r="FQ125" s="951"/>
      <c r="FR125" s="951"/>
      <c r="FS125" s="951"/>
      <c r="FT125" s="951"/>
      <c r="FU125" s="951"/>
      <c r="FV125" s="951"/>
      <c r="FW125" s="951"/>
      <c r="FX125" s="951"/>
      <c r="FY125" s="951"/>
      <c r="FZ125" s="951"/>
      <c r="GA125" s="951"/>
      <c r="GB125" s="951"/>
      <c r="GC125" s="951"/>
      <c r="GD125" s="951"/>
      <c r="GE125" s="951"/>
      <c r="GF125" s="951"/>
      <c r="GG125" s="951"/>
      <c r="GH125" s="951"/>
      <c r="GI125" s="951"/>
      <c r="GJ125" s="951"/>
      <c r="GK125" s="951"/>
      <c r="GL125" s="951"/>
      <c r="GM125" s="951"/>
      <c r="GN125" s="951"/>
      <c r="GO125" s="951"/>
      <c r="GP125" s="951"/>
      <c r="GQ125" s="951"/>
      <c r="GR125" s="951"/>
      <c r="GS125" s="951"/>
      <c r="GT125" s="951"/>
      <c r="GU125" s="951"/>
      <c r="GV125" s="951"/>
      <c r="GW125" s="951"/>
      <c r="GX125" s="951"/>
      <c r="GY125" s="951"/>
      <c r="GZ125" s="951"/>
      <c r="HA125" s="951"/>
      <c r="HB125" s="951"/>
      <c r="HC125" s="951"/>
      <c r="HD125" s="951"/>
      <c r="HE125" s="951"/>
      <c r="HF125" s="951"/>
      <c r="HG125" s="951"/>
      <c r="HH125" s="951"/>
      <c r="HI125" s="951"/>
      <c r="HJ125" s="951"/>
      <c r="HK125" s="951"/>
      <c r="HL125" s="951"/>
      <c r="HM125" s="951"/>
      <c r="HN125" s="951"/>
      <c r="HO125" s="951"/>
      <c r="HP125" s="951"/>
      <c r="HQ125" s="951"/>
      <c r="HR125" s="951"/>
      <c r="HS125" s="951"/>
      <c r="HT125" s="951"/>
      <c r="HU125" s="951"/>
      <c r="HV125" s="951"/>
      <c r="HW125" s="951"/>
      <c r="HX125" s="951"/>
      <c r="HY125" s="951"/>
      <c r="HZ125" s="951"/>
      <c r="IA125" s="951"/>
      <c r="IB125" s="951"/>
      <c r="IC125" s="951"/>
      <c r="ID125" s="951"/>
      <c r="IE125" s="951"/>
      <c r="IF125" s="951"/>
      <c r="IG125" s="951"/>
      <c r="IH125" s="951"/>
      <c r="II125" s="951"/>
      <c r="IJ125" s="951"/>
      <c r="IK125" s="951"/>
      <c r="IL125" s="951"/>
      <c r="IM125" s="1"/>
      <c r="IN125" s="1"/>
      <c r="IO125" s="1"/>
      <c r="IP125" s="1"/>
      <c r="IQ125" s="1"/>
      <c r="IR125" s="1"/>
      <c r="IS125" s="1"/>
      <c r="IT125" s="1"/>
    </row>
    <row r="126" spans="1:254" s="92" customFormat="1" ht="12.95" customHeight="1" thickBot="1" x14ac:dyDescent="0.2">
      <c r="A126" s="90" t="s">
        <v>439</v>
      </c>
      <c r="B126" s="41"/>
      <c r="C126" s="935" t="str">
        <f>IF(G121="反応型",IF(50&gt;F123,"+0",IF(60&gt;F123,"+1",IF(70&gt;F123,"+2",IF(F123&gt;=70,"+3")))),"活性補正")</f>
        <v>活性補正</v>
      </c>
      <c r="D126" s="46" t="s">
        <v>440</v>
      </c>
      <c r="E126" s="42"/>
      <c r="F126" s="936" t="str">
        <f>IF(G121="増強型",IF(50&gt;F123,"+0",IF(60&gt;F123,"+1",IF(70&gt;F123,"+2",IF(F123&gt;=70,"+3")))),"活性補正")</f>
        <v>活性補正</v>
      </c>
      <c r="G126" s="937" t="s">
        <v>659</v>
      </c>
      <c r="H126" s="937"/>
      <c r="I126" s="938" t="s">
        <v>660</v>
      </c>
      <c r="J126" s="938"/>
      <c r="K126" s="938"/>
      <c r="L126" s="938"/>
      <c r="M126" s="91" t="s">
        <v>661</v>
      </c>
      <c r="N126" s="92" t="s">
        <v>647</v>
      </c>
      <c r="O126" s="92">
        <v>0</v>
      </c>
      <c r="IL126" s="93"/>
      <c r="IM126" s="1"/>
      <c r="IN126" s="1"/>
      <c r="IO126" s="1"/>
      <c r="IP126" s="1"/>
      <c r="IQ126" s="1"/>
      <c r="IR126" s="1"/>
      <c r="IS126" s="1"/>
      <c r="IT126" s="1"/>
    </row>
    <row r="127" spans="1:254" s="98" customFormat="1" ht="12.95" customHeight="1" thickBot="1" x14ac:dyDescent="0.2">
      <c r="A127" s="21" t="s">
        <v>442</v>
      </c>
      <c r="B127" s="43"/>
      <c r="C127" s="935"/>
      <c r="D127" s="20" t="s">
        <v>443</v>
      </c>
      <c r="E127" s="44"/>
      <c r="F127" s="936"/>
      <c r="G127" s="939" t="s">
        <v>662</v>
      </c>
      <c r="H127" s="939"/>
      <c r="I127" s="94" t="s">
        <v>663</v>
      </c>
      <c r="J127" s="95"/>
      <c r="K127" s="95" t="s">
        <v>664</v>
      </c>
      <c r="L127" s="96"/>
      <c r="M127" s="97" t="s">
        <v>661</v>
      </c>
      <c r="N127" s="95" t="s">
        <v>647</v>
      </c>
      <c r="O127" s="95"/>
      <c r="IL127" s="99"/>
      <c r="IM127" s="1"/>
      <c r="IN127" s="1"/>
      <c r="IO127" s="1"/>
      <c r="IP127" s="1"/>
      <c r="IQ127" s="1"/>
      <c r="IR127" s="1"/>
      <c r="IS127" s="1"/>
      <c r="IT127" s="1"/>
    </row>
    <row r="128" spans="1:254" s="105" customFormat="1" ht="12" customHeight="1" x14ac:dyDescent="0.15">
      <c r="A128" s="21" t="s">
        <v>445</v>
      </c>
      <c r="B128" s="43"/>
      <c r="C128" s="935"/>
      <c r="D128" s="20" t="s">
        <v>446</v>
      </c>
      <c r="E128" s="44"/>
      <c r="F128" s="936"/>
      <c r="G128" s="930" t="s">
        <v>665</v>
      </c>
      <c r="H128" s="930"/>
      <c r="I128" s="100"/>
      <c r="J128" s="101"/>
      <c r="K128" s="101"/>
      <c r="L128" s="102"/>
      <c r="M128" s="103" t="s">
        <v>666</v>
      </c>
      <c r="N128" s="104" t="s">
        <v>647</v>
      </c>
      <c r="O128" s="104"/>
      <c r="IL128" s="106"/>
      <c r="IM128" s="1"/>
      <c r="IN128" s="1"/>
      <c r="IO128" s="1"/>
      <c r="IP128" s="1"/>
      <c r="IQ128" s="1"/>
      <c r="IR128" s="1"/>
      <c r="IS128" s="1"/>
      <c r="IT128" s="1"/>
    </row>
    <row r="129" spans="1:254" s="105" customFormat="1" ht="12.95" customHeight="1" x14ac:dyDescent="0.15">
      <c r="A129" s="21" t="s">
        <v>293</v>
      </c>
      <c r="B129" s="150"/>
      <c r="C129" s="929" t="str">
        <f>IF(G121="増強型",IF(50&gt;F123,"+0",IF(60&gt;F123,"+1",IF(70&gt;F123,"+2",IF(F123&gt;=70,"+3")))),"活性補正")</f>
        <v>活性補正</v>
      </c>
      <c r="D129" s="20" t="s">
        <v>667</v>
      </c>
      <c r="E129" s="150"/>
      <c r="F129" s="18"/>
      <c r="G129" s="930" t="s">
        <v>668</v>
      </c>
      <c r="H129" s="930"/>
      <c r="I129" s="107" t="s">
        <v>669</v>
      </c>
      <c r="J129" s="104"/>
      <c r="K129" s="104" t="s">
        <v>670</v>
      </c>
      <c r="L129" s="108"/>
      <c r="M129" s="103" t="s">
        <v>666</v>
      </c>
      <c r="N129" s="104" t="s">
        <v>647</v>
      </c>
      <c r="O129" s="104"/>
      <c r="IL129" s="106"/>
      <c r="IM129" s="1"/>
      <c r="IN129" s="1"/>
      <c r="IO129" s="1"/>
      <c r="IP129" s="1"/>
      <c r="IQ129" s="1"/>
      <c r="IR129" s="1"/>
      <c r="IS129" s="1"/>
      <c r="IT129" s="1"/>
    </row>
    <row r="130" spans="1:254" s="153" customFormat="1" ht="12.95" customHeight="1" thickBot="1" x14ac:dyDescent="0.2">
      <c r="A130" s="21" t="s">
        <v>444</v>
      </c>
      <c r="B130" s="150"/>
      <c r="C130" s="929"/>
      <c r="D130" s="20" t="s">
        <v>449</v>
      </c>
      <c r="E130" s="150"/>
      <c r="F130" s="109" t="str">
        <f>IF(G121="覚醒型",IF(50&gt;F123,"+0",IF(60&gt;F123,"+1",IF(70&gt;F123,"+2",IF(F123&gt;=70,"+3")))),"活性補正")</f>
        <v>活性補正</v>
      </c>
      <c r="G130" s="931" t="s">
        <v>671</v>
      </c>
      <c r="H130" s="931"/>
      <c r="I130" s="110" t="s">
        <v>672</v>
      </c>
      <c r="J130" s="111"/>
      <c r="K130" s="111" t="s">
        <v>673</v>
      </c>
      <c r="L130" s="112">
        <f>L129</f>
        <v>0</v>
      </c>
      <c r="M130" s="151" t="s">
        <v>661</v>
      </c>
      <c r="N130" s="152" t="s">
        <v>647</v>
      </c>
      <c r="O130" s="152">
        <v>0</v>
      </c>
      <c r="IL130" s="154"/>
      <c r="IM130" s="1"/>
      <c r="IN130" s="1"/>
      <c r="IO130" s="1"/>
      <c r="IP130" s="1"/>
      <c r="IQ130" s="1"/>
      <c r="IR130" s="1"/>
      <c r="IS130" s="1"/>
      <c r="IT130" s="1"/>
    </row>
    <row r="131" spans="1:254" s="1" customFormat="1" ht="12" customHeight="1" x14ac:dyDescent="0.15">
      <c r="A131" s="45" t="s">
        <v>33</v>
      </c>
      <c r="B131" s="155"/>
      <c r="C131" s="45" t="s">
        <v>125</v>
      </c>
      <c r="D131" s="155"/>
      <c r="E131" s="46" t="s">
        <v>185</v>
      </c>
      <c r="F131" s="155"/>
      <c r="G131" s="46" t="s">
        <v>240</v>
      </c>
      <c r="H131" s="155"/>
      <c r="I131" s="46" t="s">
        <v>283</v>
      </c>
      <c r="J131" s="155"/>
      <c r="K131" s="46" t="s">
        <v>324</v>
      </c>
      <c r="L131" s="156"/>
    </row>
    <row r="132" spans="1:254" s="1" customFormat="1" ht="12" customHeight="1" thickBot="1" x14ac:dyDescent="0.2">
      <c r="A132" s="47" t="s">
        <v>87</v>
      </c>
      <c r="B132" s="157"/>
      <c r="C132" s="47" t="s">
        <v>154</v>
      </c>
      <c r="D132" s="157"/>
      <c r="E132" s="23" t="s">
        <v>213</v>
      </c>
      <c r="F132" s="157"/>
      <c r="G132" s="23" t="s">
        <v>264</v>
      </c>
      <c r="H132" s="157"/>
      <c r="I132" s="23" t="s">
        <v>302</v>
      </c>
      <c r="J132" s="157"/>
      <c r="K132" s="23" t="s">
        <v>248</v>
      </c>
      <c r="L132" s="158"/>
    </row>
    <row r="134" spans="1:254" s="84" customFormat="1" ht="12.95" customHeight="1" thickBot="1" x14ac:dyDescent="0.2">
      <c r="A134" s="961" t="s">
        <v>435</v>
      </c>
      <c r="B134" s="961"/>
      <c r="C134" s="961"/>
      <c r="D134" s="961"/>
      <c r="E134" s="962" t="s">
        <v>453</v>
      </c>
      <c r="F134" s="962"/>
      <c r="G134" s="959" t="s">
        <v>1</v>
      </c>
      <c r="H134" s="959"/>
      <c r="I134" s="959" t="s">
        <v>308</v>
      </c>
      <c r="J134" s="959"/>
      <c r="K134" s="959"/>
      <c r="L134" s="959"/>
      <c r="M134" s="960" t="s">
        <v>646</v>
      </c>
      <c r="N134" s="951" t="s">
        <v>647</v>
      </c>
      <c r="O134" s="951" t="s">
        <v>688</v>
      </c>
      <c r="P134" s="951"/>
      <c r="Q134" s="951"/>
      <c r="R134" s="951"/>
      <c r="S134" s="951"/>
      <c r="T134" s="951"/>
      <c r="U134" s="951"/>
      <c r="V134" s="951"/>
      <c r="W134" s="951"/>
      <c r="X134" s="951"/>
      <c r="Y134" s="951"/>
      <c r="Z134" s="951"/>
      <c r="AA134" s="951"/>
      <c r="AB134" s="951"/>
      <c r="AC134" s="951"/>
      <c r="AD134" s="951"/>
      <c r="AE134" s="951"/>
      <c r="AF134" s="951"/>
      <c r="AG134" s="951"/>
      <c r="AH134" s="951"/>
      <c r="AI134" s="951"/>
      <c r="AJ134" s="951"/>
      <c r="AK134" s="951"/>
      <c r="AL134" s="951"/>
      <c r="AM134" s="951"/>
      <c r="AN134" s="951"/>
      <c r="AO134" s="951"/>
      <c r="AP134" s="951"/>
      <c r="AQ134" s="951"/>
      <c r="AR134" s="951"/>
      <c r="AS134" s="951"/>
      <c r="AT134" s="951"/>
      <c r="AU134" s="951"/>
      <c r="AV134" s="951"/>
      <c r="AW134" s="951"/>
      <c r="AX134" s="951"/>
      <c r="AY134" s="951"/>
      <c r="AZ134" s="951"/>
      <c r="BA134" s="951"/>
      <c r="BB134" s="951"/>
      <c r="BC134" s="951"/>
      <c r="BD134" s="951"/>
      <c r="BE134" s="951"/>
      <c r="BF134" s="951"/>
      <c r="BG134" s="951"/>
      <c r="BH134" s="951"/>
      <c r="BI134" s="951"/>
      <c r="BJ134" s="951"/>
      <c r="BK134" s="951"/>
      <c r="BL134" s="951"/>
      <c r="BM134" s="951"/>
      <c r="BN134" s="951"/>
      <c r="BO134" s="951"/>
      <c r="BP134" s="951"/>
      <c r="BQ134" s="951"/>
      <c r="BR134" s="951"/>
      <c r="BS134" s="951"/>
      <c r="BT134" s="951"/>
      <c r="BU134" s="951"/>
      <c r="BV134" s="951"/>
      <c r="BW134" s="951"/>
      <c r="BX134" s="951"/>
      <c r="BY134" s="951"/>
      <c r="BZ134" s="951"/>
      <c r="CA134" s="951"/>
      <c r="CB134" s="951"/>
      <c r="CC134" s="951"/>
      <c r="CD134" s="951"/>
      <c r="CE134" s="951"/>
      <c r="CF134" s="951"/>
      <c r="CG134" s="951"/>
      <c r="CH134" s="951"/>
      <c r="CI134" s="951"/>
      <c r="CJ134" s="951"/>
      <c r="CK134" s="951"/>
      <c r="CL134" s="951"/>
      <c r="CM134" s="951"/>
      <c r="CN134" s="951"/>
      <c r="CO134" s="951"/>
      <c r="CP134" s="951"/>
      <c r="CQ134" s="951"/>
      <c r="CR134" s="951"/>
      <c r="CS134" s="951"/>
      <c r="CT134" s="951"/>
      <c r="CU134" s="951"/>
      <c r="CV134" s="951"/>
      <c r="CW134" s="951"/>
      <c r="CX134" s="951"/>
      <c r="CY134" s="951"/>
      <c r="CZ134" s="951"/>
      <c r="DA134" s="951"/>
      <c r="DB134" s="951"/>
      <c r="DC134" s="951"/>
      <c r="DD134" s="951"/>
      <c r="DE134" s="951"/>
      <c r="DF134" s="951"/>
      <c r="DG134" s="951"/>
      <c r="DH134" s="951"/>
      <c r="DI134" s="951"/>
      <c r="DJ134" s="951"/>
      <c r="DK134" s="951"/>
      <c r="DL134" s="951"/>
      <c r="DM134" s="951"/>
      <c r="DN134" s="951"/>
      <c r="DO134" s="951"/>
      <c r="DP134" s="951"/>
      <c r="DQ134" s="951"/>
      <c r="DR134" s="951"/>
      <c r="DS134" s="951"/>
      <c r="DT134" s="951"/>
      <c r="DU134" s="951"/>
      <c r="DV134" s="951"/>
      <c r="DW134" s="951"/>
      <c r="DX134" s="951"/>
      <c r="DY134" s="951"/>
      <c r="DZ134" s="951"/>
      <c r="EA134" s="951"/>
      <c r="EB134" s="951"/>
      <c r="EC134" s="951"/>
      <c r="ED134" s="951"/>
      <c r="EE134" s="951"/>
      <c r="EF134" s="951"/>
      <c r="EG134" s="951"/>
      <c r="EH134" s="951"/>
      <c r="EI134" s="951"/>
      <c r="EJ134" s="951"/>
      <c r="EK134" s="951"/>
      <c r="EL134" s="951"/>
      <c r="EM134" s="951"/>
      <c r="EN134" s="951"/>
      <c r="EO134" s="951"/>
      <c r="EP134" s="951"/>
      <c r="EQ134" s="951"/>
      <c r="ER134" s="951"/>
      <c r="ES134" s="951"/>
      <c r="ET134" s="951"/>
      <c r="EU134" s="951"/>
      <c r="EV134" s="951"/>
      <c r="EW134" s="951"/>
      <c r="EX134" s="951"/>
      <c r="EY134" s="951"/>
      <c r="EZ134" s="951"/>
      <c r="FA134" s="951"/>
      <c r="FB134" s="951"/>
      <c r="FC134" s="951"/>
      <c r="FD134" s="951"/>
      <c r="FE134" s="951"/>
      <c r="FF134" s="951"/>
      <c r="FG134" s="951"/>
      <c r="FH134" s="951"/>
      <c r="FI134" s="951"/>
      <c r="FJ134" s="951"/>
      <c r="FK134" s="951"/>
      <c r="FL134" s="951"/>
      <c r="FM134" s="951"/>
      <c r="FN134" s="951"/>
      <c r="FO134" s="951"/>
      <c r="FP134" s="951"/>
      <c r="FQ134" s="951"/>
      <c r="FR134" s="951"/>
      <c r="FS134" s="951"/>
      <c r="FT134" s="951"/>
      <c r="FU134" s="951"/>
      <c r="FV134" s="951"/>
      <c r="FW134" s="951"/>
      <c r="FX134" s="951"/>
      <c r="FY134" s="951"/>
      <c r="FZ134" s="951"/>
      <c r="GA134" s="951"/>
      <c r="GB134" s="951"/>
      <c r="GC134" s="951"/>
      <c r="GD134" s="951"/>
      <c r="GE134" s="951"/>
      <c r="GF134" s="951"/>
      <c r="GG134" s="951"/>
      <c r="GH134" s="951"/>
      <c r="GI134" s="951"/>
      <c r="GJ134" s="951"/>
      <c r="GK134" s="951"/>
      <c r="GL134" s="951"/>
      <c r="GM134" s="951"/>
      <c r="GN134" s="951"/>
      <c r="GO134" s="951"/>
      <c r="GP134" s="951"/>
      <c r="GQ134" s="951"/>
      <c r="GR134" s="951"/>
      <c r="GS134" s="951"/>
      <c r="GT134" s="951"/>
      <c r="GU134" s="951"/>
      <c r="GV134" s="951"/>
      <c r="GW134" s="951"/>
      <c r="GX134" s="951"/>
      <c r="GY134" s="951"/>
      <c r="GZ134" s="951"/>
      <c r="HA134" s="951"/>
      <c r="HB134" s="951"/>
      <c r="HC134" s="951"/>
      <c r="HD134" s="951"/>
      <c r="HE134" s="951"/>
      <c r="HF134" s="951"/>
      <c r="HG134" s="951"/>
      <c r="HH134" s="951"/>
      <c r="HI134" s="951"/>
      <c r="HJ134" s="951"/>
      <c r="HK134" s="951"/>
      <c r="HL134" s="951"/>
      <c r="HM134" s="951"/>
      <c r="HN134" s="951"/>
      <c r="HO134" s="951"/>
      <c r="HP134" s="951"/>
      <c r="HQ134" s="951"/>
      <c r="HR134" s="951"/>
      <c r="HS134" s="951"/>
      <c r="HT134" s="951"/>
      <c r="HU134" s="951"/>
      <c r="HV134" s="951"/>
      <c r="HW134" s="951"/>
      <c r="HX134" s="951"/>
      <c r="HY134" s="951"/>
      <c r="HZ134" s="951"/>
      <c r="IA134" s="951"/>
      <c r="IB134" s="951"/>
      <c r="IC134" s="951"/>
      <c r="ID134" s="951"/>
      <c r="IE134" s="951"/>
      <c r="IF134" s="951"/>
      <c r="IG134" s="951"/>
      <c r="IH134" s="951"/>
      <c r="II134" s="951"/>
      <c r="IJ134" s="951"/>
      <c r="IK134" s="951"/>
      <c r="IL134" s="950"/>
      <c r="IM134" s="1"/>
      <c r="IN134" s="1"/>
      <c r="IO134" s="1"/>
      <c r="IP134" s="1"/>
      <c r="IQ134" s="1"/>
      <c r="IR134" s="1"/>
      <c r="IS134" s="1"/>
      <c r="IT134" s="1"/>
    </row>
    <row r="135" spans="1:254" s="84" customFormat="1" ht="12.95" customHeight="1" thickBot="1" x14ac:dyDescent="0.2">
      <c r="A135" s="952"/>
      <c r="B135" s="952"/>
      <c r="C135" s="952"/>
      <c r="D135" s="952"/>
      <c r="E135" s="953"/>
      <c r="F135" s="953"/>
      <c r="G135" s="940" t="s">
        <v>18</v>
      </c>
      <c r="H135" s="940"/>
      <c r="I135" s="954" t="s">
        <v>292</v>
      </c>
      <c r="J135" s="954"/>
      <c r="K135" s="955" t="s">
        <v>292</v>
      </c>
      <c r="L135" s="955"/>
      <c r="M135" s="960"/>
      <c r="N135" s="951"/>
      <c r="O135" s="951"/>
      <c r="P135" s="951"/>
      <c r="Q135" s="951"/>
      <c r="R135" s="951"/>
      <c r="S135" s="951"/>
      <c r="T135" s="951"/>
      <c r="U135" s="951"/>
      <c r="V135" s="951"/>
      <c r="W135" s="951"/>
      <c r="X135" s="951"/>
      <c r="Y135" s="951"/>
      <c r="Z135" s="951"/>
      <c r="AA135" s="951"/>
      <c r="AB135" s="951"/>
      <c r="AC135" s="951"/>
      <c r="AD135" s="951"/>
      <c r="AE135" s="951"/>
      <c r="AF135" s="951"/>
      <c r="AG135" s="951"/>
      <c r="AH135" s="951"/>
      <c r="AI135" s="951"/>
      <c r="AJ135" s="951"/>
      <c r="AK135" s="951"/>
      <c r="AL135" s="951"/>
      <c r="AM135" s="951"/>
      <c r="AN135" s="951"/>
      <c r="AO135" s="951"/>
      <c r="AP135" s="951"/>
      <c r="AQ135" s="951"/>
      <c r="AR135" s="951"/>
      <c r="AS135" s="951"/>
      <c r="AT135" s="951"/>
      <c r="AU135" s="951"/>
      <c r="AV135" s="951"/>
      <c r="AW135" s="951"/>
      <c r="AX135" s="951"/>
      <c r="AY135" s="951"/>
      <c r="AZ135" s="951"/>
      <c r="BA135" s="951"/>
      <c r="BB135" s="951"/>
      <c r="BC135" s="951"/>
      <c r="BD135" s="951"/>
      <c r="BE135" s="951"/>
      <c r="BF135" s="951"/>
      <c r="BG135" s="951"/>
      <c r="BH135" s="951"/>
      <c r="BI135" s="951"/>
      <c r="BJ135" s="951"/>
      <c r="BK135" s="951"/>
      <c r="BL135" s="951"/>
      <c r="BM135" s="951"/>
      <c r="BN135" s="951"/>
      <c r="BO135" s="951"/>
      <c r="BP135" s="951"/>
      <c r="BQ135" s="951"/>
      <c r="BR135" s="951"/>
      <c r="BS135" s="951"/>
      <c r="BT135" s="951"/>
      <c r="BU135" s="951"/>
      <c r="BV135" s="951"/>
      <c r="BW135" s="951"/>
      <c r="BX135" s="951"/>
      <c r="BY135" s="951"/>
      <c r="BZ135" s="951"/>
      <c r="CA135" s="951"/>
      <c r="CB135" s="951"/>
      <c r="CC135" s="951"/>
      <c r="CD135" s="951"/>
      <c r="CE135" s="951"/>
      <c r="CF135" s="951"/>
      <c r="CG135" s="951"/>
      <c r="CH135" s="951"/>
      <c r="CI135" s="951"/>
      <c r="CJ135" s="951"/>
      <c r="CK135" s="951"/>
      <c r="CL135" s="951"/>
      <c r="CM135" s="951"/>
      <c r="CN135" s="951"/>
      <c r="CO135" s="951"/>
      <c r="CP135" s="951"/>
      <c r="CQ135" s="951"/>
      <c r="CR135" s="951"/>
      <c r="CS135" s="951"/>
      <c r="CT135" s="951"/>
      <c r="CU135" s="951"/>
      <c r="CV135" s="951"/>
      <c r="CW135" s="951"/>
      <c r="CX135" s="951"/>
      <c r="CY135" s="951"/>
      <c r="CZ135" s="951"/>
      <c r="DA135" s="951"/>
      <c r="DB135" s="951"/>
      <c r="DC135" s="951"/>
      <c r="DD135" s="951"/>
      <c r="DE135" s="951"/>
      <c r="DF135" s="951"/>
      <c r="DG135" s="951"/>
      <c r="DH135" s="951"/>
      <c r="DI135" s="951"/>
      <c r="DJ135" s="951"/>
      <c r="DK135" s="951"/>
      <c r="DL135" s="951"/>
      <c r="DM135" s="951"/>
      <c r="DN135" s="951"/>
      <c r="DO135" s="951"/>
      <c r="DP135" s="951"/>
      <c r="DQ135" s="951"/>
      <c r="DR135" s="951"/>
      <c r="DS135" s="951"/>
      <c r="DT135" s="951"/>
      <c r="DU135" s="951"/>
      <c r="DV135" s="951"/>
      <c r="DW135" s="951"/>
      <c r="DX135" s="951"/>
      <c r="DY135" s="951"/>
      <c r="DZ135" s="951"/>
      <c r="EA135" s="951"/>
      <c r="EB135" s="951"/>
      <c r="EC135" s="951"/>
      <c r="ED135" s="951"/>
      <c r="EE135" s="951"/>
      <c r="EF135" s="951"/>
      <c r="EG135" s="951"/>
      <c r="EH135" s="951"/>
      <c r="EI135" s="951"/>
      <c r="EJ135" s="951"/>
      <c r="EK135" s="951"/>
      <c r="EL135" s="951"/>
      <c r="EM135" s="951"/>
      <c r="EN135" s="951"/>
      <c r="EO135" s="951"/>
      <c r="EP135" s="951"/>
      <c r="EQ135" s="951"/>
      <c r="ER135" s="951"/>
      <c r="ES135" s="951"/>
      <c r="ET135" s="951"/>
      <c r="EU135" s="951"/>
      <c r="EV135" s="951"/>
      <c r="EW135" s="951"/>
      <c r="EX135" s="951"/>
      <c r="EY135" s="951"/>
      <c r="EZ135" s="951"/>
      <c r="FA135" s="951"/>
      <c r="FB135" s="951"/>
      <c r="FC135" s="951"/>
      <c r="FD135" s="951"/>
      <c r="FE135" s="951"/>
      <c r="FF135" s="951"/>
      <c r="FG135" s="951"/>
      <c r="FH135" s="951"/>
      <c r="FI135" s="951"/>
      <c r="FJ135" s="951"/>
      <c r="FK135" s="951"/>
      <c r="FL135" s="951"/>
      <c r="FM135" s="951"/>
      <c r="FN135" s="951"/>
      <c r="FO135" s="951"/>
      <c r="FP135" s="951"/>
      <c r="FQ135" s="951"/>
      <c r="FR135" s="951"/>
      <c r="FS135" s="951"/>
      <c r="FT135" s="951"/>
      <c r="FU135" s="951"/>
      <c r="FV135" s="951"/>
      <c r="FW135" s="951"/>
      <c r="FX135" s="951"/>
      <c r="FY135" s="951"/>
      <c r="FZ135" s="951"/>
      <c r="GA135" s="951"/>
      <c r="GB135" s="951"/>
      <c r="GC135" s="951"/>
      <c r="GD135" s="951"/>
      <c r="GE135" s="951"/>
      <c r="GF135" s="951"/>
      <c r="GG135" s="951"/>
      <c r="GH135" s="951"/>
      <c r="GI135" s="951"/>
      <c r="GJ135" s="951"/>
      <c r="GK135" s="951"/>
      <c r="GL135" s="951"/>
      <c r="GM135" s="951"/>
      <c r="GN135" s="951"/>
      <c r="GO135" s="951"/>
      <c r="GP135" s="951"/>
      <c r="GQ135" s="951"/>
      <c r="GR135" s="951"/>
      <c r="GS135" s="951"/>
      <c r="GT135" s="951"/>
      <c r="GU135" s="951"/>
      <c r="GV135" s="951"/>
      <c r="GW135" s="951"/>
      <c r="GX135" s="951"/>
      <c r="GY135" s="951"/>
      <c r="GZ135" s="951"/>
      <c r="HA135" s="951"/>
      <c r="HB135" s="951"/>
      <c r="HC135" s="951"/>
      <c r="HD135" s="951"/>
      <c r="HE135" s="951"/>
      <c r="HF135" s="951"/>
      <c r="HG135" s="951"/>
      <c r="HH135" s="951"/>
      <c r="HI135" s="951"/>
      <c r="HJ135" s="951"/>
      <c r="HK135" s="951"/>
      <c r="HL135" s="951"/>
      <c r="HM135" s="951"/>
      <c r="HN135" s="951"/>
      <c r="HO135" s="951"/>
      <c r="HP135" s="951"/>
      <c r="HQ135" s="951"/>
      <c r="HR135" s="951"/>
      <c r="HS135" s="951"/>
      <c r="HT135" s="951"/>
      <c r="HU135" s="951"/>
      <c r="HV135" s="951"/>
      <c r="HW135" s="951"/>
      <c r="HX135" s="951"/>
      <c r="HY135" s="951"/>
      <c r="HZ135" s="951"/>
      <c r="IA135" s="951"/>
      <c r="IB135" s="951"/>
      <c r="IC135" s="951"/>
      <c r="ID135" s="951"/>
      <c r="IE135" s="951"/>
      <c r="IF135" s="951"/>
      <c r="IG135" s="951"/>
      <c r="IH135" s="951"/>
      <c r="II135" s="951"/>
      <c r="IJ135" s="951"/>
      <c r="IK135" s="951"/>
      <c r="IL135" s="951"/>
      <c r="IM135" s="1"/>
      <c r="IN135" s="1"/>
      <c r="IO135" s="1"/>
      <c r="IP135" s="1"/>
      <c r="IQ135" s="1"/>
      <c r="IR135" s="1"/>
      <c r="IS135" s="1"/>
      <c r="IT135" s="1"/>
    </row>
    <row r="136" spans="1:254" s="84" customFormat="1" ht="12.95" customHeight="1" thickBot="1" x14ac:dyDescent="0.2">
      <c r="A136" s="956" t="s">
        <v>653</v>
      </c>
      <c r="B136" s="956"/>
      <c r="C136" s="957" t="s">
        <v>441</v>
      </c>
      <c r="D136" s="957"/>
      <c r="E136" s="958" t="s">
        <v>513</v>
      </c>
      <c r="F136" s="958"/>
      <c r="G136" s="946" t="s">
        <v>4</v>
      </c>
      <c r="H136" s="946"/>
      <c r="I136" s="947" t="s">
        <v>654</v>
      </c>
      <c r="J136" s="947"/>
      <c r="K136" s="948" t="s">
        <v>655</v>
      </c>
      <c r="L136" s="948"/>
      <c r="M136" s="960"/>
      <c r="N136" s="951"/>
      <c r="O136" s="951"/>
      <c r="P136" s="951"/>
      <c r="Q136" s="951"/>
      <c r="R136" s="951"/>
      <c r="S136" s="951"/>
      <c r="T136" s="951"/>
      <c r="U136" s="951"/>
      <c r="V136" s="951"/>
      <c r="W136" s="951"/>
      <c r="X136" s="951"/>
      <c r="Y136" s="951"/>
      <c r="Z136" s="951"/>
      <c r="AA136" s="951"/>
      <c r="AB136" s="951"/>
      <c r="AC136" s="951"/>
      <c r="AD136" s="951"/>
      <c r="AE136" s="951"/>
      <c r="AF136" s="951"/>
      <c r="AG136" s="951"/>
      <c r="AH136" s="951"/>
      <c r="AI136" s="951"/>
      <c r="AJ136" s="951"/>
      <c r="AK136" s="951"/>
      <c r="AL136" s="951"/>
      <c r="AM136" s="951"/>
      <c r="AN136" s="951"/>
      <c r="AO136" s="951"/>
      <c r="AP136" s="951"/>
      <c r="AQ136" s="951"/>
      <c r="AR136" s="951"/>
      <c r="AS136" s="951"/>
      <c r="AT136" s="951"/>
      <c r="AU136" s="951"/>
      <c r="AV136" s="951"/>
      <c r="AW136" s="951"/>
      <c r="AX136" s="951"/>
      <c r="AY136" s="951"/>
      <c r="AZ136" s="951"/>
      <c r="BA136" s="951"/>
      <c r="BB136" s="951"/>
      <c r="BC136" s="951"/>
      <c r="BD136" s="951"/>
      <c r="BE136" s="951"/>
      <c r="BF136" s="951"/>
      <c r="BG136" s="951"/>
      <c r="BH136" s="951"/>
      <c r="BI136" s="951"/>
      <c r="BJ136" s="951"/>
      <c r="BK136" s="951"/>
      <c r="BL136" s="951"/>
      <c r="BM136" s="951"/>
      <c r="BN136" s="951"/>
      <c r="BO136" s="951"/>
      <c r="BP136" s="951"/>
      <c r="BQ136" s="951"/>
      <c r="BR136" s="951"/>
      <c r="BS136" s="951"/>
      <c r="BT136" s="951"/>
      <c r="BU136" s="951"/>
      <c r="BV136" s="951"/>
      <c r="BW136" s="951"/>
      <c r="BX136" s="951"/>
      <c r="BY136" s="951"/>
      <c r="BZ136" s="951"/>
      <c r="CA136" s="951"/>
      <c r="CB136" s="951"/>
      <c r="CC136" s="951"/>
      <c r="CD136" s="951"/>
      <c r="CE136" s="951"/>
      <c r="CF136" s="951"/>
      <c r="CG136" s="951"/>
      <c r="CH136" s="951"/>
      <c r="CI136" s="951"/>
      <c r="CJ136" s="951"/>
      <c r="CK136" s="951"/>
      <c r="CL136" s="951"/>
      <c r="CM136" s="951"/>
      <c r="CN136" s="951"/>
      <c r="CO136" s="951"/>
      <c r="CP136" s="951"/>
      <c r="CQ136" s="951"/>
      <c r="CR136" s="951"/>
      <c r="CS136" s="951"/>
      <c r="CT136" s="951"/>
      <c r="CU136" s="951"/>
      <c r="CV136" s="951"/>
      <c r="CW136" s="951"/>
      <c r="CX136" s="951"/>
      <c r="CY136" s="951"/>
      <c r="CZ136" s="951"/>
      <c r="DA136" s="951"/>
      <c r="DB136" s="951"/>
      <c r="DC136" s="951"/>
      <c r="DD136" s="951"/>
      <c r="DE136" s="951"/>
      <c r="DF136" s="951"/>
      <c r="DG136" s="951"/>
      <c r="DH136" s="951"/>
      <c r="DI136" s="951"/>
      <c r="DJ136" s="951"/>
      <c r="DK136" s="951"/>
      <c r="DL136" s="951"/>
      <c r="DM136" s="951"/>
      <c r="DN136" s="951"/>
      <c r="DO136" s="951"/>
      <c r="DP136" s="951"/>
      <c r="DQ136" s="951"/>
      <c r="DR136" s="951"/>
      <c r="DS136" s="951"/>
      <c r="DT136" s="951"/>
      <c r="DU136" s="951"/>
      <c r="DV136" s="951"/>
      <c r="DW136" s="951"/>
      <c r="DX136" s="951"/>
      <c r="DY136" s="951"/>
      <c r="DZ136" s="951"/>
      <c r="EA136" s="951"/>
      <c r="EB136" s="951"/>
      <c r="EC136" s="951"/>
      <c r="ED136" s="951"/>
      <c r="EE136" s="951"/>
      <c r="EF136" s="951"/>
      <c r="EG136" s="951"/>
      <c r="EH136" s="951"/>
      <c r="EI136" s="951"/>
      <c r="EJ136" s="951"/>
      <c r="EK136" s="951"/>
      <c r="EL136" s="951"/>
      <c r="EM136" s="951"/>
      <c r="EN136" s="951"/>
      <c r="EO136" s="951"/>
      <c r="EP136" s="951"/>
      <c r="EQ136" s="951"/>
      <c r="ER136" s="951"/>
      <c r="ES136" s="951"/>
      <c r="ET136" s="951"/>
      <c r="EU136" s="951"/>
      <c r="EV136" s="951"/>
      <c r="EW136" s="951"/>
      <c r="EX136" s="951"/>
      <c r="EY136" s="951"/>
      <c r="EZ136" s="951"/>
      <c r="FA136" s="951"/>
      <c r="FB136" s="951"/>
      <c r="FC136" s="951"/>
      <c r="FD136" s="951"/>
      <c r="FE136" s="951"/>
      <c r="FF136" s="951"/>
      <c r="FG136" s="951"/>
      <c r="FH136" s="951"/>
      <c r="FI136" s="951"/>
      <c r="FJ136" s="951"/>
      <c r="FK136" s="951"/>
      <c r="FL136" s="951"/>
      <c r="FM136" s="951"/>
      <c r="FN136" s="951"/>
      <c r="FO136" s="951"/>
      <c r="FP136" s="951"/>
      <c r="FQ136" s="951"/>
      <c r="FR136" s="951"/>
      <c r="FS136" s="951"/>
      <c r="FT136" s="951"/>
      <c r="FU136" s="951"/>
      <c r="FV136" s="951"/>
      <c r="FW136" s="951"/>
      <c r="FX136" s="951"/>
      <c r="FY136" s="951"/>
      <c r="FZ136" s="951"/>
      <c r="GA136" s="951"/>
      <c r="GB136" s="951"/>
      <c r="GC136" s="951"/>
      <c r="GD136" s="951"/>
      <c r="GE136" s="951"/>
      <c r="GF136" s="951"/>
      <c r="GG136" s="951"/>
      <c r="GH136" s="951"/>
      <c r="GI136" s="951"/>
      <c r="GJ136" s="951"/>
      <c r="GK136" s="951"/>
      <c r="GL136" s="951"/>
      <c r="GM136" s="951"/>
      <c r="GN136" s="951"/>
      <c r="GO136" s="951"/>
      <c r="GP136" s="951"/>
      <c r="GQ136" s="951"/>
      <c r="GR136" s="951"/>
      <c r="GS136" s="951"/>
      <c r="GT136" s="951"/>
      <c r="GU136" s="951"/>
      <c r="GV136" s="951"/>
      <c r="GW136" s="951"/>
      <c r="GX136" s="951"/>
      <c r="GY136" s="951"/>
      <c r="GZ136" s="951"/>
      <c r="HA136" s="951"/>
      <c r="HB136" s="951"/>
      <c r="HC136" s="951"/>
      <c r="HD136" s="951"/>
      <c r="HE136" s="951"/>
      <c r="HF136" s="951"/>
      <c r="HG136" s="951"/>
      <c r="HH136" s="951"/>
      <c r="HI136" s="951"/>
      <c r="HJ136" s="951"/>
      <c r="HK136" s="951"/>
      <c r="HL136" s="951"/>
      <c r="HM136" s="951"/>
      <c r="HN136" s="951"/>
      <c r="HO136" s="951"/>
      <c r="HP136" s="951"/>
      <c r="HQ136" s="951"/>
      <c r="HR136" s="951"/>
      <c r="HS136" s="951"/>
      <c r="HT136" s="951"/>
      <c r="HU136" s="951"/>
      <c r="HV136" s="951"/>
      <c r="HW136" s="951"/>
      <c r="HX136" s="951"/>
      <c r="HY136" s="951"/>
      <c r="HZ136" s="951"/>
      <c r="IA136" s="951"/>
      <c r="IB136" s="951"/>
      <c r="IC136" s="951"/>
      <c r="ID136" s="951"/>
      <c r="IE136" s="951"/>
      <c r="IF136" s="951"/>
      <c r="IG136" s="951"/>
      <c r="IH136" s="951"/>
      <c r="II136" s="951"/>
      <c r="IJ136" s="951"/>
      <c r="IK136" s="951"/>
      <c r="IL136" s="951"/>
      <c r="IM136" s="1"/>
      <c r="IN136" s="1"/>
      <c r="IO136" s="1"/>
      <c r="IP136" s="1"/>
      <c r="IQ136" s="1"/>
      <c r="IR136" s="1"/>
      <c r="IS136" s="1"/>
      <c r="IT136" s="1"/>
    </row>
    <row r="137" spans="1:254" s="84" customFormat="1" ht="12.95" customHeight="1" thickBot="1" x14ac:dyDescent="0.2">
      <c r="A137" s="85">
        <f>B137+SUM(O141:IL141)</f>
        <v>0</v>
      </c>
      <c r="B137" s="9">
        <f>J141+L141</f>
        <v>0</v>
      </c>
      <c r="C137" s="86">
        <f>D137-SUM(O142:IL142)+SUM(O143:IL143)</f>
        <v>0</v>
      </c>
      <c r="D137" s="10">
        <f>J143+L143</f>
        <v>0</v>
      </c>
      <c r="E137" s="11">
        <f>J144+L144</f>
        <v>0</v>
      </c>
      <c r="F137" s="12">
        <f>E137+SUM(O144:IL144)</f>
        <v>0</v>
      </c>
      <c r="G137" s="940" t="s">
        <v>18</v>
      </c>
      <c r="H137" s="940"/>
      <c r="I137" s="941" t="s">
        <v>18</v>
      </c>
      <c r="J137" s="941"/>
      <c r="K137" s="942" t="s">
        <v>18</v>
      </c>
      <c r="L137" s="942"/>
      <c r="M137" s="960"/>
      <c r="N137" s="960"/>
      <c r="O137" s="951"/>
      <c r="P137" s="951"/>
      <c r="Q137" s="951"/>
      <c r="R137" s="951"/>
      <c r="S137" s="951"/>
      <c r="T137" s="951"/>
      <c r="U137" s="951"/>
      <c r="V137" s="951"/>
      <c r="W137" s="951"/>
      <c r="X137" s="951"/>
      <c r="Y137" s="951"/>
      <c r="Z137" s="951"/>
      <c r="AA137" s="951"/>
      <c r="AB137" s="951"/>
      <c r="AC137" s="951"/>
      <c r="AD137" s="951"/>
      <c r="AE137" s="951"/>
      <c r="AF137" s="951"/>
      <c r="AG137" s="951"/>
      <c r="AH137" s="951"/>
      <c r="AI137" s="951"/>
      <c r="AJ137" s="951"/>
      <c r="AK137" s="951"/>
      <c r="AL137" s="951"/>
      <c r="AM137" s="951"/>
      <c r="AN137" s="951"/>
      <c r="AO137" s="951"/>
      <c r="AP137" s="951"/>
      <c r="AQ137" s="951"/>
      <c r="AR137" s="951"/>
      <c r="AS137" s="951"/>
      <c r="AT137" s="951"/>
      <c r="AU137" s="951"/>
      <c r="AV137" s="951"/>
      <c r="AW137" s="951"/>
      <c r="AX137" s="951"/>
      <c r="AY137" s="951"/>
      <c r="AZ137" s="951"/>
      <c r="BA137" s="951"/>
      <c r="BB137" s="951"/>
      <c r="BC137" s="951"/>
      <c r="BD137" s="951"/>
      <c r="BE137" s="951"/>
      <c r="BF137" s="951"/>
      <c r="BG137" s="951"/>
      <c r="BH137" s="951"/>
      <c r="BI137" s="951"/>
      <c r="BJ137" s="951"/>
      <c r="BK137" s="951"/>
      <c r="BL137" s="951"/>
      <c r="BM137" s="951"/>
      <c r="BN137" s="951"/>
      <c r="BO137" s="951"/>
      <c r="BP137" s="951"/>
      <c r="BQ137" s="951"/>
      <c r="BR137" s="951"/>
      <c r="BS137" s="951"/>
      <c r="BT137" s="951"/>
      <c r="BU137" s="951"/>
      <c r="BV137" s="951"/>
      <c r="BW137" s="951"/>
      <c r="BX137" s="951"/>
      <c r="BY137" s="951"/>
      <c r="BZ137" s="951"/>
      <c r="CA137" s="951"/>
      <c r="CB137" s="951"/>
      <c r="CC137" s="951"/>
      <c r="CD137" s="951"/>
      <c r="CE137" s="951"/>
      <c r="CF137" s="951"/>
      <c r="CG137" s="951"/>
      <c r="CH137" s="951"/>
      <c r="CI137" s="951"/>
      <c r="CJ137" s="951"/>
      <c r="CK137" s="951"/>
      <c r="CL137" s="951"/>
      <c r="CM137" s="951"/>
      <c r="CN137" s="951"/>
      <c r="CO137" s="951"/>
      <c r="CP137" s="951"/>
      <c r="CQ137" s="951"/>
      <c r="CR137" s="951"/>
      <c r="CS137" s="951"/>
      <c r="CT137" s="951"/>
      <c r="CU137" s="951"/>
      <c r="CV137" s="951"/>
      <c r="CW137" s="951"/>
      <c r="CX137" s="951"/>
      <c r="CY137" s="951"/>
      <c r="CZ137" s="951"/>
      <c r="DA137" s="951"/>
      <c r="DB137" s="951"/>
      <c r="DC137" s="951"/>
      <c r="DD137" s="951"/>
      <c r="DE137" s="951"/>
      <c r="DF137" s="951"/>
      <c r="DG137" s="951"/>
      <c r="DH137" s="951"/>
      <c r="DI137" s="951"/>
      <c r="DJ137" s="951"/>
      <c r="DK137" s="951"/>
      <c r="DL137" s="951"/>
      <c r="DM137" s="951"/>
      <c r="DN137" s="951"/>
      <c r="DO137" s="951"/>
      <c r="DP137" s="951"/>
      <c r="DQ137" s="951"/>
      <c r="DR137" s="951"/>
      <c r="DS137" s="951"/>
      <c r="DT137" s="951"/>
      <c r="DU137" s="951"/>
      <c r="DV137" s="951"/>
      <c r="DW137" s="951"/>
      <c r="DX137" s="951"/>
      <c r="DY137" s="951"/>
      <c r="DZ137" s="951"/>
      <c r="EA137" s="951"/>
      <c r="EB137" s="951"/>
      <c r="EC137" s="951"/>
      <c r="ED137" s="951"/>
      <c r="EE137" s="951"/>
      <c r="EF137" s="951"/>
      <c r="EG137" s="951"/>
      <c r="EH137" s="951"/>
      <c r="EI137" s="951"/>
      <c r="EJ137" s="951"/>
      <c r="EK137" s="951"/>
      <c r="EL137" s="951"/>
      <c r="EM137" s="951"/>
      <c r="EN137" s="951"/>
      <c r="EO137" s="951"/>
      <c r="EP137" s="951"/>
      <c r="EQ137" s="951"/>
      <c r="ER137" s="951"/>
      <c r="ES137" s="951"/>
      <c r="ET137" s="951"/>
      <c r="EU137" s="951"/>
      <c r="EV137" s="951"/>
      <c r="EW137" s="951"/>
      <c r="EX137" s="951"/>
      <c r="EY137" s="951"/>
      <c r="EZ137" s="951"/>
      <c r="FA137" s="951"/>
      <c r="FB137" s="951"/>
      <c r="FC137" s="951"/>
      <c r="FD137" s="951"/>
      <c r="FE137" s="951"/>
      <c r="FF137" s="951"/>
      <c r="FG137" s="951"/>
      <c r="FH137" s="951"/>
      <c r="FI137" s="951"/>
      <c r="FJ137" s="951"/>
      <c r="FK137" s="951"/>
      <c r="FL137" s="951"/>
      <c r="FM137" s="951"/>
      <c r="FN137" s="951"/>
      <c r="FO137" s="951"/>
      <c r="FP137" s="951"/>
      <c r="FQ137" s="951"/>
      <c r="FR137" s="951"/>
      <c r="FS137" s="951"/>
      <c r="FT137" s="951"/>
      <c r="FU137" s="951"/>
      <c r="FV137" s="951"/>
      <c r="FW137" s="951"/>
      <c r="FX137" s="951"/>
      <c r="FY137" s="951"/>
      <c r="FZ137" s="951"/>
      <c r="GA137" s="951"/>
      <c r="GB137" s="951"/>
      <c r="GC137" s="951"/>
      <c r="GD137" s="951"/>
      <c r="GE137" s="951"/>
      <c r="GF137" s="951"/>
      <c r="GG137" s="951"/>
      <c r="GH137" s="951"/>
      <c r="GI137" s="951"/>
      <c r="GJ137" s="951"/>
      <c r="GK137" s="951"/>
      <c r="GL137" s="951"/>
      <c r="GM137" s="951"/>
      <c r="GN137" s="951"/>
      <c r="GO137" s="951"/>
      <c r="GP137" s="951"/>
      <c r="GQ137" s="951"/>
      <c r="GR137" s="951"/>
      <c r="GS137" s="951"/>
      <c r="GT137" s="951"/>
      <c r="GU137" s="951"/>
      <c r="GV137" s="951"/>
      <c r="GW137" s="951"/>
      <c r="GX137" s="951"/>
      <c r="GY137" s="951"/>
      <c r="GZ137" s="951"/>
      <c r="HA137" s="951"/>
      <c r="HB137" s="951"/>
      <c r="HC137" s="951"/>
      <c r="HD137" s="951"/>
      <c r="HE137" s="951"/>
      <c r="HF137" s="951"/>
      <c r="HG137" s="951"/>
      <c r="HH137" s="951"/>
      <c r="HI137" s="951"/>
      <c r="HJ137" s="951"/>
      <c r="HK137" s="951"/>
      <c r="HL137" s="951"/>
      <c r="HM137" s="951"/>
      <c r="HN137" s="951"/>
      <c r="HO137" s="951"/>
      <c r="HP137" s="951"/>
      <c r="HQ137" s="951"/>
      <c r="HR137" s="951"/>
      <c r="HS137" s="951"/>
      <c r="HT137" s="951"/>
      <c r="HU137" s="951"/>
      <c r="HV137" s="951"/>
      <c r="HW137" s="951"/>
      <c r="HX137" s="951"/>
      <c r="HY137" s="951"/>
      <c r="HZ137" s="951"/>
      <c r="IA137" s="951"/>
      <c r="IB137" s="951"/>
      <c r="IC137" s="951"/>
      <c r="ID137" s="951"/>
      <c r="IE137" s="951"/>
      <c r="IF137" s="951"/>
      <c r="IG137" s="951"/>
      <c r="IH137" s="951"/>
      <c r="II137" s="951"/>
      <c r="IJ137" s="951"/>
      <c r="IK137" s="951"/>
      <c r="IL137" s="951"/>
      <c r="IM137" s="1"/>
      <c r="IN137" s="1"/>
      <c r="IO137" s="1"/>
      <c r="IP137" s="1"/>
      <c r="IQ137" s="1"/>
      <c r="IR137" s="1"/>
      <c r="IS137" s="1"/>
      <c r="IT137" s="1"/>
    </row>
    <row r="138" spans="1:254" s="84" customFormat="1" ht="12" customHeight="1" thickBot="1" x14ac:dyDescent="0.2">
      <c r="A138" s="943" t="s">
        <v>447</v>
      </c>
      <c r="B138" s="944"/>
      <c r="C138" s="87" t="s">
        <v>656</v>
      </c>
      <c r="D138" s="88" t="s">
        <v>657</v>
      </c>
      <c r="E138" s="945" t="str">
        <f>IF(F137&lt;100,IF(F137&lt;50,"通常状態",IF(F137&lt;60,"暴走Lv1 ",IF(F137&lt;70,"暴走Lv2",IF(F137&lt;80,"暴走Lv3",IF(F137&lt;90,"暴走Lv4","暴走Lv5"))))),IF(F137&lt;110,"臨界Lv1",IF(F137&lt;120,"臨界Lv2",IF(F137&lt;130,"臨界Lv3",IF(F137&lt;140,"臨界Lv4",IF(F137&lt;150,"臨界Lv5",IF(F137&lt;150,"活性Lv5","因子崩壊")))))))</f>
        <v>通常状態</v>
      </c>
      <c r="F138" s="945"/>
      <c r="G138" s="946" t="s">
        <v>15</v>
      </c>
      <c r="H138" s="946"/>
      <c r="I138" s="947" t="s">
        <v>467</v>
      </c>
      <c r="J138" s="947"/>
      <c r="K138" s="948" t="s">
        <v>658</v>
      </c>
      <c r="L138" s="948"/>
      <c r="M138" s="960"/>
      <c r="N138" s="960"/>
      <c r="O138" s="951"/>
      <c r="P138" s="951"/>
      <c r="Q138" s="951"/>
      <c r="R138" s="951"/>
      <c r="S138" s="951"/>
      <c r="T138" s="951"/>
      <c r="U138" s="951"/>
      <c r="V138" s="951"/>
      <c r="W138" s="951"/>
      <c r="X138" s="951"/>
      <c r="Y138" s="951"/>
      <c r="Z138" s="951"/>
      <c r="AA138" s="951"/>
      <c r="AB138" s="951"/>
      <c r="AC138" s="951"/>
      <c r="AD138" s="951"/>
      <c r="AE138" s="951"/>
      <c r="AF138" s="951"/>
      <c r="AG138" s="951"/>
      <c r="AH138" s="951"/>
      <c r="AI138" s="951"/>
      <c r="AJ138" s="951"/>
      <c r="AK138" s="951"/>
      <c r="AL138" s="951"/>
      <c r="AM138" s="951"/>
      <c r="AN138" s="951"/>
      <c r="AO138" s="951"/>
      <c r="AP138" s="951"/>
      <c r="AQ138" s="951"/>
      <c r="AR138" s="951"/>
      <c r="AS138" s="951"/>
      <c r="AT138" s="951"/>
      <c r="AU138" s="951"/>
      <c r="AV138" s="951"/>
      <c r="AW138" s="951"/>
      <c r="AX138" s="951"/>
      <c r="AY138" s="951"/>
      <c r="AZ138" s="951"/>
      <c r="BA138" s="951"/>
      <c r="BB138" s="951"/>
      <c r="BC138" s="951"/>
      <c r="BD138" s="951"/>
      <c r="BE138" s="951"/>
      <c r="BF138" s="951"/>
      <c r="BG138" s="951"/>
      <c r="BH138" s="951"/>
      <c r="BI138" s="951"/>
      <c r="BJ138" s="951"/>
      <c r="BK138" s="951"/>
      <c r="BL138" s="951"/>
      <c r="BM138" s="951"/>
      <c r="BN138" s="951"/>
      <c r="BO138" s="951"/>
      <c r="BP138" s="951"/>
      <c r="BQ138" s="951"/>
      <c r="BR138" s="951"/>
      <c r="BS138" s="951"/>
      <c r="BT138" s="951"/>
      <c r="BU138" s="951"/>
      <c r="BV138" s="951"/>
      <c r="BW138" s="951"/>
      <c r="BX138" s="951"/>
      <c r="BY138" s="951"/>
      <c r="BZ138" s="951"/>
      <c r="CA138" s="951"/>
      <c r="CB138" s="951"/>
      <c r="CC138" s="951"/>
      <c r="CD138" s="951"/>
      <c r="CE138" s="951"/>
      <c r="CF138" s="951"/>
      <c r="CG138" s="951"/>
      <c r="CH138" s="951"/>
      <c r="CI138" s="951"/>
      <c r="CJ138" s="951"/>
      <c r="CK138" s="951"/>
      <c r="CL138" s="951"/>
      <c r="CM138" s="951"/>
      <c r="CN138" s="951"/>
      <c r="CO138" s="951"/>
      <c r="CP138" s="951"/>
      <c r="CQ138" s="951"/>
      <c r="CR138" s="951"/>
      <c r="CS138" s="951"/>
      <c r="CT138" s="951"/>
      <c r="CU138" s="951"/>
      <c r="CV138" s="951"/>
      <c r="CW138" s="951"/>
      <c r="CX138" s="951"/>
      <c r="CY138" s="951"/>
      <c r="CZ138" s="951"/>
      <c r="DA138" s="951"/>
      <c r="DB138" s="951"/>
      <c r="DC138" s="951"/>
      <c r="DD138" s="951"/>
      <c r="DE138" s="951"/>
      <c r="DF138" s="951"/>
      <c r="DG138" s="951"/>
      <c r="DH138" s="951"/>
      <c r="DI138" s="951"/>
      <c r="DJ138" s="951"/>
      <c r="DK138" s="951"/>
      <c r="DL138" s="951"/>
      <c r="DM138" s="951"/>
      <c r="DN138" s="951"/>
      <c r="DO138" s="951"/>
      <c r="DP138" s="951"/>
      <c r="DQ138" s="951"/>
      <c r="DR138" s="951"/>
      <c r="DS138" s="951"/>
      <c r="DT138" s="951"/>
      <c r="DU138" s="951"/>
      <c r="DV138" s="951"/>
      <c r="DW138" s="951"/>
      <c r="DX138" s="951"/>
      <c r="DY138" s="951"/>
      <c r="DZ138" s="951"/>
      <c r="EA138" s="951"/>
      <c r="EB138" s="951"/>
      <c r="EC138" s="951"/>
      <c r="ED138" s="951"/>
      <c r="EE138" s="951"/>
      <c r="EF138" s="951"/>
      <c r="EG138" s="951"/>
      <c r="EH138" s="951"/>
      <c r="EI138" s="951"/>
      <c r="EJ138" s="951"/>
      <c r="EK138" s="951"/>
      <c r="EL138" s="951"/>
      <c r="EM138" s="951"/>
      <c r="EN138" s="951"/>
      <c r="EO138" s="951"/>
      <c r="EP138" s="951"/>
      <c r="EQ138" s="951"/>
      <c r="ER138" s="951"/>
      <c r="ES138" s="951"/>
      <c r="ET138" s="951"/>
      <c r="EU138" s="951"/>
      <c r="EV138" s="951"/>
      <c r="EW138" s="951"/>
      <c r="EX138" s="951"/>
      <c r="EY138" s="951"/>
      <c r="EZ138" s="951"/>
      <c r="FA138" s="951"/>
      <c r="FB138" s="951"/>
      <c r="FC138" s="951"/>
      <c r="FD138" s="951"/>
      <c r="FE138" s="951"/>
      <c r="FF138" s="951"/>
      <c r="FG138" s="951"/>
      <c r="FH138" s="951"/>
      <c r="FI138" s="951"/>
      <c r="FJ138" s="951"/>
      <c r="FK138" s="951"/>
      <c r="FL138" s="951"/>
      <c r="FM138" s="951"/>
      <c r="FN138" s="951"/>
      <c r="FO138" s="951"/>
      <c r="FP138" s="951"/>
      <c r="FQ138" s="951"/>
      <c r="FR138" s="951"/>
      <c r="FS138" s="951"/>
      <c r="FT138" s="951"/>
      <c r="FU138" s="951"/>
      <c r="FV138" s="951"/>
      <c r="FW138" s="951"/>
      <c r="FX138" s="951"/>
      <c r="FY138" s="951"/>
      <c r="FZ138" s="951"/>
      <c r="GA138" s="951"/>
      <c r="GB138" s="951"/>
      <c r="GC138" s="951"/>
      <c r="GD138" s="951"/>
      <c r="GE138" s="951"/>
      <c r="GF138" s="951"/>
      <c r="GG138" s="951"/>
      <c r="GH138" s="951"/>
      <c r="GI138" s="951"/>
      <c r="GJ138" s="951"/>
      <c r="GK138" s="951"/>
      <c r="GL138" s="951"/>
      <c r="GM138" s="951"/>
      <c r="GN138" s="951"/>
      <c r="GO138" s="951"/>
      <c r="GP138" s="951"/>
      <c r="GQ138" s="951"/>
      <c r="GR138" s="951"/>
      <c r="GS138" s="951"/>
      <c r="GT138" s="951"/>
      <c r="GU138" s="951"/>
      <c r="GV138" s="951"/>
      <c r="GW138" s="951"/>
      <c r="GX138" s="951"/>
      <c r="GY138" s="951"/>
      <c r="GZ138" s="951"/>
      <c r="HA138" s="951"/>
      <c r="HB138" s="951"/>
      <c r="HC138" s="951"/>
      <c r="HD138" s="951"/>
      <c r="HE138" s="951"/>
      <c r="HF138" s="951"/>
      <c r="HG138" s="951"/>
      <c r="HH138" s="951"/>
      <c r="HI138" s="951"/>
      <c r="HJ138" s="951"/>
      <c r="HK138" s="951"/>
      <c r="HL138" s="951"/>
      <c r="HM138" s="951"/>
      <c r="HN138" s="951"/>
      <c r="HO138" s="951"/>
      <c r="HP138" s="951"/>
      <c r="HQ138" s="951"/>
      <c r="HR138" s="951"/>
      <c r="HS138" s="951"/>
      <c r="HT138" s="951"/>
      <c r="HU138" s="951"/>
      <c r="HV138" s="951"/>
      <c r="HW138" s="951"/>
      <c r="HX138" s="951"/>
      <c r="HY138" s="951"/>
      <c r="HZ138" s="951"/>
      <c r="IA138" s="951"/>
      <c r="IB138" s="951"/>
      <c r="IC138" s="951"/>
      <c r="ID138" s="951"/>
      <c r="IE138" s="951"/>
      <c r="IF138" s="951"/>
      <c r="IG138" s="951"/>
      <c r="IH138" s="951"/>
      <c r="II138" s="951"/>
      <c r="IJ138" s="951"/>
      <c r="IK138" s="951"/>
      <c r="IL138" s="951"/>
      <c r="IM138" s="1"/>
      <c r="IN138" s="1"/>
      <c r="IO138" s="1"/>
      <c r="IP138" s="1"/>
      <c r="IQ138" s="1"/>
      <c r="IR138" s="1"/>
      <c r="IS138" s="1"/>
      <c r="IT138" s="1"/>
    </row>
    <row r="139" spans="1:254" s="84" customFormat="1" ht="12.95" customHeight="1" thickBot="1" x14ac:dyDescent="0.2">
      <c r="A139" s="943"/>
      <c r="B139" s="944"/>
      <c r="C139" s="89">
        <f>SUM(L142:IQ142)</f>
        <v>0</v>
      </c>
      <c r="D139" s="13">
        <f>ROUNDDOWN((C139/5),0)+SUM(I140:IL140)</f>
        <v>0</v>
      </c>
      <c r="E139" s="949" t="str">
        <f>IF(F137&lt;50,"未活性",IF(F137&lt;60,"活性Lv1",IF(F137&lt;70,"活性Lv2",IF(F137&lt;80,"活性Lv3",IF(F137&lt;90,"活性Lv4",IF(F137&lt;100,"活性Lv5",IF(F137&lt;150,"活性Lv5","強制キャラロスト")))))))</f>
        <v>未活性</v>
      </c>
      <c r="F139" s="949"/>
      <c r="G139" s="932" t="s">
        <v>18</v>
      </c>
      <c r="H139" s="932"/>
      <c r="I139" s="933" t="s">
        <v>18</v>
      </c>
      <c r="J139" s="933"/>
      <c r="K139" s="934" t="str">
        <f>IF(OR(A137&lt;=B137/2,F137&gt;=90),IF(F137&gt;=120,"オーバーフロー","発動中"),"-")</f>
        <v>発動中</v>
      </c>
      <c r="L139" s="934"/>
      <c r="M139" s="960"/>
      <c r="N139" s="960"/>
      <c r="O139" s="951"/>
      <c r="P139" s="951"/>
      <c r="Q139" s="951"/>
      <c r="R139" s="951"/>
      <c r="S139" s="951"/>
      <c r="T139" s="951"/>
      <c r="U139" s="951"/>
      <c r="V139" s="951"/>
      <c r="W139" s="951"/>
      <c r="X139" s="951"/>
      <c r="Y139" s="951"/>
      <c r="Z139" s="951"/>
      <c r="AA139" s="951"/>
      <c r="AB139" s="951"/>
      <c r="AC139" s="951"/>
      <c r="AD139" s="951"/>
      <c r="AE139" s="951"/>
      <c r="AF139" s="951"/>
      <c r="AG139" s="951"/>
      <c r="AH139" s="951"/>
      <c r="AI139" s="951"/>
      <c r="AJ139" s="951"/>
      <c r="AK139" s="951"/>
      <c r="AL139" s="951"/>
      <c r="AM139" s="951"/>
      <c r="AN139" s="951"/>
      <c r="AO139" s="951"/>
      <c r="AP139" s="951"/>
      <c r="AQ139" s="951"/>
      <c r="AR139" s="951"/>
      <c r="AS139" s="951"/>
      <c r="AT139" s="951"/>
      <c r="AU139" s="951"/>
      <c r="AV139" s="951"/>
      <c r="AW139" s="951"/>
      <c r="AX139" s="951"/>
      <c r="AY139" s="951"/>
      <c r="AZ139" s="951"/>
      <c r="BA139" s="951"/>
      <c r="BB139" s="951"/>
      <c r="BC139" s="951"/>
      <c r="BD139" s="951"/>
      <c r="BE139" s="951"/>
      <c r="BF139" s="951"/>
      <c r="BG139" s="951"/>
      <c r="BH139" s="951"/>
      <c r="BI139" s="951"/>
      <c r="BJ139" s="951"/>
      <c r="BK139" s="951"/>
      <c r="BL139" s="951"/>
      <c r="BM139" s="951"/>
      <c r="BN139" s="951"/>
      <c r="BO139" s="951"/>
      <c r="BP139" s="951"/>
      <c r="BQ139" s="951"/>
      <c r="BR139" s="951"/>
      <c r="BS139" s="951"/>
      <c r="BT139" s="951"/>
      <c r="BU139" s="951"/>
      <c r="BV139" s="951"/>
      <c r="BW139" s="951"/>
      <c r="BX139" s="951"/>
      <c r="BY139" s="951"/>
      <c r="BZ139" s="951"/>
      <c r="CA139" s="951"/>
      <c r="CB139" s="951"/>
      <c r="CC139" s="951"/>
      <c r="CD139" s="951"/>
      <c r="CE139" s="951"/>
      <c r="CF139" s="951"/>
      <c r="CG139" s="951"/>
      <c r="CH139" s="951"/>
      <c r="CI139" s="951"/>
      <c r="CJ139" s="951"/>
      <c r="CK139" s="951"/>
      <c r="CL139" s="951"/>
      <c r="CM139" s="951"/>
      <c r="CN139" s="951"/>
      <c r="CO139" s="951"/>
      <c r="CP139" s="951"/>
      <c r="CQ139" s="951"/>
      <c r="CR139" s="951"/>
      <c r="CS139" s="951"/>
      <c r="CT139" s="951"/>
      <c r="CU139" s="951"/>
      <c r="CV139" s="951"/>
      <c r="CW139" s="951"/>
      <c r="CX139" s="951"/>
      <c r="CY139" s="951"/>
      <c r="CZ139" s="951"/>
      <c r="DA139" s="951"/>
      <c r="DB139" s="951"/>
      <c r="DC139" s="951"/>
      <c r="DD139" s="951"/>
      <c r="DE139" s="951"/>
      <c r="DF139" s="951"/>
      <c r="DG139" s="951"/>
      <c r="DH139" s="951"/>
      <c r="DI139" s="951"/>
      <c r="DJ139" s="951"/>
      <c r="DK139" s="951"/>
      <c r="DL139" s="951"/>
      <c r="DM139" s="951"/>
      <c r="DN139" s="951"/>
      <c r="DO139" s="951"/>
      <c r="DP139" s="951"/>
      <c r="DQ139" s="951"/>
      <c r="DR139" s="951"/>
      <c r="DS139" s="951"/>
      <c r="DT139" s="951"/>
      <c r="DU139" s="951"/>
      <c r="DV139" s="951"/>
      <c r="DW139" s="951"/>
      <c r="DX139" s="951"/>
      <c r="DY139" s="951"/>
      <c r="DZ139" s="951"/>
      <c r="EA139" s="951"/>
      <c r="EB139" s="951"/>
      <c r="EC139" s="951"/>
      <c r="ED139" s="951"/>
      <c r="EE139" s="951"/>
      <c r="EF139" s="951"/>
      <c r="EG139" s="951"/>
      <c r="EH139" s="951"/>
      <c r="EI139" s="951"/>
      <c r="EJ139" s="951"/>
      <c r="EK139" s="951"/>
      <c r="EL139" s="951"/>
      <c r="EM139" s="951"/>
      <c r="EN139" s="951"/>
      <c r="EO139" s="951"/>
      <c r="EP139" s="951"/>
      <c r="EQ139" s="951"/>
      <c r="ER139" s="951"/>
      <c r="ES139" s="951"/>
      <c r="ET139" s="951"/>
      <c r="EU139" s="951"/>
      <c r="EV139" s="951"/>
      <c r="EW139" s="951"/>
      <c r="EX139" s="951"/>
      <c r="EY139" s="951"/>
      <c r="EZ139" s="951"/>
      <c r="FA139" s="951"/>
      <c r="FB139" s="951"/>
      <c r="FC139" s="951"/>
      <c r="FD139" s="951"/>
      <c r="FE139" s="951"/>
      <c r="FF139" s="951"/>
      <c r="FG139" s="951"/>
      <c r="FH139" s="951"/>
      <c r="FI139" s="951"/>
      <c r="FJ139" s="951"/>
      <c r="FK139" s="951"/>
      <c r="FL139" s="951"/>
      <c r="FM139" s="951"/>
      <c r="FN139" s="951"/>
      <c r="FO139" s="951"/>
      <c r="FP139" s="951"/>
      <c r="FQ139" s="951"/>
      <c r="FR139" s="951"/>
      <c r="FS139" s="951"/>
      <c r="FT139" s="951"/>
      <c r="FU139" s="951"/>
      <c r="FV139" s="951"/>
      <c r="FW139" s="951"/>
      <c r="FX139" s="951"/>
      <c r="FY139" s="951"/>
      <c r="FZ139" s="951"/>
      <c r="GA139" s="951"/>
      <c r="GB139" s="951"/>
      <c r="GC139" s="951"/>
      <c r="GD139" s="951"/>
      <c r="GE139" s="951"/>
      <c r="GF139" s="951"/>
      <c r="GG139" s="951"/>
      <c r="GH139" s="951"/>
      <c r="GI139" s="951"/>
      <c r="GJ139" s="951"/>
      <c r="GK139" s="951"/>
      <c r="GL139" s="951"/>
      <c r="GM139" s="951"/>
      <c r="GN139" s="951"/>
      <c r="GO139" s="951"/>
      <c r="GP139" s="951"/>
      <c r="GQ139" s="951"/>
      <c r="GR139" s="951"/>
      <c r="GS139" s="951"/>
      <c r="GT139" s="951"/>
      <c r="GU139" s="951"/>
      <c r="GV139" s="951"/>
      <c r="GW139" s="951"/>
      <c r="GX139" s="951"/>
      <c r="GY139" s="951"/>
      <c r="GZ139" s="951"/>
      <c r="HA139" s="951"/>
      <c r="HB139" s="951"/>
      <c r="HC139" s="951"/>
      <c r="HD139" s="951"/>
      <c r="HE139" s="951"/>
      <c r="HF139" s="951"/>
      <c r="HG139" s="951"/>
      <c r="HH139" s="951"/>
      <c r="HI139" s="951"/>
      <c r="HJ139" s="951"/>
      <c r="HK139" s="951"/>
      <c r="HL139" s="951"/>
      <c r="HM139" s="951"/>
      <c r="HN139" s="951"/>
      <c r="HO139" s="951"/>
      <c r="HP139" s="951"/>
      <c r="HQ139" s="951"/>
      <c r="HR139" s="951"/>
      <c r="HS139" s="951"/>
      <c r="HT139" s="951"/>
      <c r="HU139" s="951"/>
      <c r="HV139" s="951"/>
      <c r="HW139" s="951"/>
      <c r="HX139" s="951"/>
      <c r="HY139" s="951"/>
      <c r="HZ139" s="951"/>
      <c r="IA139" s="951"/>
      <c r="IB139" s="951"/>
      <c r="IC139" s="951"/>
      <c r="ID139" s="951"/>
      <c r="IE139" s="951"/>
      <c r="IF139" s="951"/>
      <c r="IG139" s="951"/>
      <c r="IH139" s="951"/>
      <c r="II139" s="951"/>
      <c r="IJ139" s="951"/>
      <c r="IK139" s="951"/>
      <c r="IL139" s="951"/>
      <c r="IM139" s="1"/>
      <c r="IN139" s="1"/>
      <c r="IO139" s="1"/>
      <c r="IP139" s="1"/>
      <c r="IQ139" s="1"/>
      <c r="IR139" s="1"/>
      <c r="IS139" s="1"/>
      <c r="IT139" s="1"/>
    </row>
    <row r="140" spans="1:254" s="92" customFormat="1" ht="12.95" customHeight="1" thickBot="1" x14ac:dyDescent="0.2">
      <c r="A140" s="90" t="s">
        <v>439</v>
      </c>
      <c r="B140" s="41"/>
      <c r="C140" s="935" t="str">
        <f>IF(G135="反応型",IF(50&gt;F137,"+0",IF(60&gt;F137,"+1",IF(70&gt;F137,"+2",IF(F137&gt;=70,"+3")))),"活性補正")</f>
        <v>活性補正</v>
      </c>
      <c r="D140" s="46" t="s">
        <v>440</v>
      </c>
      <c r="E140" s="42"/>
      <c r="F140" s="936" t="str">
        <f>IF(G135="増強型",IF(50&gt;F137,"+0",IF(60&gt;F137,"+1",IF(70&gt;F137,"+2",IF(F137&gt;=70,"+3")))),"活性補正")</f>
        <v>活性補正</v>
      </c>
      <c r="G140" s="937" t="s">
        <v>659</v>
      </c>
      <c r="H140" s="937"/>
      <c r="I140" s="938" t="s">
        <v>660</v>
      </c>
      <c r="J140" s="938"/>
      <c r="K140" s="938"/>
      <c r="L140" s="938"/>
      <c r="M140" s="91" t="s">
        <v>661</v>
      </c>
      <c r="N140" s="92" t="s">
        <v>647</v>
      </c>
      <c r="O140" s="92">
        <v>0</v>
      </c>
      <c r="IL140" s="93"/>
      <c r="IM140" s="1"/>
      <c r="IN140" s="1"/>
      <c r="IO140" s="1"/>
      <c r="IP140" s="1"/>
      <c r="IQ140" s="1"/>
      <c r="IR140" s="1"/>
      <c r="IS140" s="1"/>
      <c r="IT140" s="1"/>
    </row>
    <row r="141" spans="1:254" s="98" customFormat="1" ht="12.95" customHeight="1" thickBot="1" x14ac:dyDescent="0.2">
      <c r="A141" s="21" t="s">
        <v>442</v>
      </c>
      <c r="B141" s="43"/>
      <c r="C141" s="935"/>
      <c r="D141" s="20" t="s">
        <v>443</v>
      </c>
      <c r="E141" s="44"/>
      <c r="F141" s="936"/>
      <c r="G141" s="939" t="s">
        <v>662</v>
      </c>
      <c r="H141" s="939"/>
      <c r="I141" s="94" t="s">
        <v>663</v>
      </c>
      <c r="J141" s="95"/>
      <c r="K141" s="95" t="s">
        <v>664</v>
      </c>
      <c r="L141" s="96"/>
      <c r="M141" s="97" t="s">
        <v>661</v>
      </c>
      <c r="N141" s="95" t="s">
        <v>647</v>
      </c>
      <c r="O141" s="95"/>
      <c r="IL141" s="99"/>
      <c r="IM141" s="1"/>
      <c r="IN141" s="1"/>
      <c r="IO141" s="1"/>
      <c r="IP141" s="1"/>
      <c r="IQ141" s="1"/>
      <c r="IR141" s="1"/>
      <c r="IS141" s="1"/>
      <c r="IT141" s="1"/>
    </row>
    <row r="142" spans="1:254" s="105" customFormat="1" ht="12" customHeight="1" x14ac:dyDescent="0.15">
      <c r="A142" s="21" t="s">
        <v>445</v>
      </c>
      <c r="B142" s="43"/>
      <c r="C142" s="935"/>
      <c r="D142" s="20" t="s">
        <v>446</v>
      </c>
      <c r="E142" s="44"/>
      <c r="F142" s="936"/>
      <c r="G142" s="930" t="s">
        <v>665</v>
      </c>
      <c r="H142" s="930"/>
      <c r="I142" s="100"/>
      <c r="J142" s="101"/>
      <c r="K142" s="101"/>
      <c r="L142" s="102"/>
      <c r="M142" s="103" t="s">
        <v>666</v>
      </c>
      <c r="N142" s="104" t="s">
        <v>647</v>
      </c>
      <c r="O142" s="104"/>
      <c r="IL142" s="106"/>
      <c r="IM142" s="1"/>
      <c r="IN142" s="1"/>
      <c r="IO142" s="1"/>
      <c r="IP142" s="1"/>
      <c r="IQ142" s="1"/>
      <c r="IR142" s="1"/>
      <c r="IS142" s="1"/>
      <c r="IT142" s="1"/>
    </row>
    <row r="143" spans="1:254" s="105" customFormat="1" ht="12.95" customHeight="1" x14ac:dyDescent="0.15">
      <c r="A143" s="21" t="s">
        <v>293</v>
      </c>
      <c r="B143" s="150"/>
      <c r="C143" s="929" t="str">
        <f>IF(G135="増強型",IF(50&gt;F137,"+0",IF(60&gt;F137,"+1",IF(70&gt;F137,"+2",IF(F137&gt;=70,"+3")))),"活性補正")</f>
        <v>活性補正</v>
      </c>
      <c r="D143" s="20" t="s">
        <v>667</v>
      </c>
      <c r="E143" s="150"/>
      <c r="F143" s="18"/>
      <c r="G143" s="930" t="s">
        <v>668</v>
      </c>
      <c r="H143" s="930"/>
      <c r="I143" s="107" t="s">
        <v>669</v>
      </c>
      <c r="J143" s="104"/>
      <c r="K143" s="104" t="s">
        <v>670</v>
      </c>
      <c r="L143" s="108"/>
      <c r="M143" s="103" t="s">
        <v>666</v>
      </c>
      <c r="N143" s="104" t="s">
        <v>647</v>
      </c>
      <c r="O143" s="104"/>
      <c r="IL143" s="106"/>
      <c r="IM143" s="1"/>
      <c r="IN143" s="1"/>
      <c r="IO143" s="1"/>
      <c r="IP143" s="1"/>
      <c r="IQ143" s="1"/>
      <c r="IR143" s="1"/>
      <c r="IS143" s="1"/>
      <c r="IT143" s="1"/>
    </row>
    <row r="144" spans="1:254" s="153" customFormat="1" ht="12.95" customHeight="1" thickBot="1" x14ac:dyDescent="0.2">
      <c r="A144" s="21" t="s">
        <v>444</v>
      </c>
      <c r="B144" s="150"/>
      <c r="C144" s="929"/>
      <c r="D144" s="20" t="s">
        <v>449</v>
      </c>
      <c r="E144" s="150"/>
      <c r="F144" s="109" t="str">
        <f>IF(G135="覚醒型",IF(50&gt;F137,"+0",IF(60&gt;F137,"+1",IF(70&gt;F137,"+2",IF(F137&gt;=70,"+3")))),"活性補正")</f>
        <v>活性補正</v>
      </c>
      <c r="G144" s="931" t="s">
        <v>671</v>
      </c>
      <c r="H144" s="931"/>
      <c r="I144" s="110" t="s">
        <v>672</v>
      </c>
      <c r="J144" s="111"/>
      <c r="K144" s="111" t="s">
        <v>673</v>
      </c>
      <c r="L144" s="112">
        <f>L143</f>
        <v>0</v>
      </c>
      <c r="M144" s="151" t="s">
        <v>661</v>
      </c>
      <c r="N144" s="152" t="s">
        <v>647</v>
      </c>
      <c r="O144" s="152">
        <v>0</v>
      </c>
      <c r="IL144" s="154"/>
      <c r="IM144" s="1"/>
      <c r="IN144" s="1"/>
      <c r="IO144" s="1"/>
      <c r="IP144" s="1"/>
      <c r="IQ144" s="1"/>
      <c r="IR144" s="1"/>
      <c r="IS144" s="1"/>
      <c r="IT144" s="1"/>
    </row>
    <row r="145" spans="1:12" s="1" customFormat="1" ht="12" customHeight="1" x14ac:dyDescent="0.15">
      <c r="A145" s="45" t="s">
        <v>33</v>
      </c>
      <c r="B145" s="155"/>
      <c r="C145" s="45" t="s">
        <v>125</v>
      </c>
      <c r="D145" s="155"/>
      <c r="E145" s="46" t="s">
        <v>185</v>
      </c>
      <c r="F145" s="155"/>
      <c r="G145" s="46" t="s">
        <v>240</v>
      </c>
      <c r="H145" s="155"/>
      <c r="I145" s="46" t="s">
        <v>283</v>
      </c>
      <c r="J145" s="155"/>
      <c r="K145" s="46" t="s">
        <v>324</v>
      </c>
      <c r="L145" s="156"/>
    </row>
    <row r="146" spans="1:12" s="1" customFormat="1" ht="12" customHeight="1" thickBot="1" x14ac:dyDescent="0.2">
      <c r="A146" s="47" t="s">
        <v>87</v>
      </c>
      <c r="B146" s="157"/>
      <c r="C146" s="47" t="s">
        <v>154</v>
      </c>
      <c r="D146" s="157"/>
      <c r="E146" s="23" t="s">
        <v>213</v>
      </c>
      <c r="F146" s="157"/>
      <c r="G146" s="23" t="s">
        <v>264</v>
      </c>
      <c r="H146" s="157"/>
      <c r="I146" s="23" t="s">
        <v>302</v>
      </c>
      <c r="J146" s="157"/>
      <c r="K146" s="23" t="s">
        <v>248</v>
      </c>
      <c r="L146" s="158"/>
    </row>
    <row r="65486" ht="12.75" customHeight="1" x14ac:dyDescent="0.15"/>
    <row r="65487" ht="12.75" customHeight="1" x14ac:dyDescent="0.15"/>
    <row r="65488" ht="12.75" customHeight="1" x14ac:dyDescent="0.15"/>
    <row r="65489" ht="12.75" customHeight="1" x14ac:dyDescent="0.15"/>
    <row r="65490" ht="12.75" customHeight="1" x14ac:dyDescent="0.15"/>
    <row r="65491" ht="12.75" customHeight="1" x14ac:dyDescent="0.15"/>
    <row r="65492" ht="12.75" customHeight="1" x14ac:dyDescent="0.15"/>
    <row r="65493" ht="12.75" customHeight="1" x14ac:dyDescent="0.15"/>
    <row r="65494" ht="12.75" customHeight="1" x14ac:dyDescent="0.15"/>
    <row r="65495" ht="12.75" customHeight="1" x14ac:dyDescent="0.15"/>
    <row r="65496" ht="12.75" customHeight="1" x14ac:dyDescent="0.15"/>
    <row r="65497" ht="12.75" customHeight="1" x14ac:dyDescent="0.15"/>
    <row r="65498" ht="12.75" customHeight="1" x14ac:dyDescent="0.15"/>
    <row r="65499" ht="12.75" customHeight="1" x14ac:dyDescent="0.15"/>
    <row r="65500" ht="12.75" customHeight="1" x14ac:dyDescent="0.15"/>
    <row r="65501" ht="12.75" customHeight="1" x14ac:dyDescent="0.15"/>
    <row r="65502" ht="12.75" customHeight="1" x14ac:dyDescent="0.15"/>
    <row r="65503" ht="12.75" customHeight="1" x14ac:dyDescent="0.15"/>
    <row r="65504" ht="12.75" customHeight="1" x14ac:dyDescent="0.15"/>
    <row r="65505" ht="12.75" customHeight="1" x14ac:dyDescent="0.15"/>
    <row r="65506" ht="12.75" customHeight="1" x14ac:dyDescent="0.15"/>
    <row r="65507" ht="12.75" customHeight="1" x14ac:dyDescent="0.15"/>
    <row r="65508" ht="12.75" customHeight="1" x14ac:dyDescent="0.15"/>
    <row r="65509" ht="12.75" customHeight="1" x14ac:dyDescent="0.15"/>
    <row r="65510" ht="12.75" customHeight="1" x14ac:dyDescent="0.15"/>
    <row r="65511" ht="12.75" customHeight="1" x14ac:dyDescent="0.15"/>
    <row r="65512" ht="12.75" customHeight="1" x14ac:dyDescent="0.15"/>
    <row r="65513" ht="12.75" customHeight="1" x14ac:dyDescent="0.15"/>
    <row r="65514" ht="12.75" customHeight="1" x14ac:dyDescent="0.15"/>
    <row r="65515" ht="12.75" customHeight="1" x14ac:dyDescent="0.15"/>
    <row r="65516" ht="12.75" customHeight="1" x14ac:dyDescent="0.15"/>
    <row r="65517" ht="12.75" customHeight="1" x14ac:dyDescent="0.15"/>
    <row r="65518" ht="12.75" customHeight="1" x14ac:dyDescent="0.15"/>
    <row r="65519" ht="12.75" customHeight="1" x14ac:dyDescent="0.15"/>
    <row r="65520" ht="12.75" customHeight="1" x14ac:dyDescent="0.15"/>
    <row r="65521" ht="12.75" customHeight="1" x14ac:dyDescent="0.15"/>
    <row r="65522" ht="12.75" customHeight="1" x14ac:dyDescent="0.15"/>
    <row r="65523" ht="12.75" customHeight="1" x14ac:dyDescent="0.15"/>
    <row r="65524" ht="12.75" customHeight="1" x14ac:dyDescent="0.15"/>
    <row r="65525" ht="12.75" customHeight="1" x14ac:dyDescent="0.15"/>
    <row r="65526" ht="12.75" customHeight="1" x14ac:dyDescent="0.15"/>
    <row r="65527" ht="12.75" customHeight="1" x14ac:dyDescent="0.15"/>
    <row r="65528" ht="12.75" customHeight="1" x14ac:dyDescent="0.15"/>
    <row r="65529" ht="12.75" customHeight="1" x14ac:dyDescent="0.15"/>
    <row r="65530" ht="12.75" customHeight="1" x14ac:dyDescent="0.15"/>
    <row r="65531" ht="12.75" customHeight="1" x14ac:dyDescent="0.15"/>
    <row r="65532" ht="12.75" customHeight="1" x14ac:dyDescent="0.15"/>
    <row r="65533" ht="12.75" customHeight="1" x14ac:dyDescent="0.15"/>
    <row r="65534" ht="12.75" customHeight="1" x14ac:dyDescent="0.15"/>
    <row r="65535" ht="12.75" customHeight="1" x14ac:dyDescent="0.15"/>
    <row r="65536" ht="12.75" customHeight="1" x14ac:dyDescent="0.15"/>
  </sheetData>
  <sheetProtection selectLockedCells="1" selectUnlockedCells="1"/>
  <mergeCells count="2881">
    <mergeCell ref="F8:K15"/>
    <mergeCell ref="F7:K7"/>
    <mergeCell ref="W9:W15"/>
    <mergeCell ref="X9:X15"/>
    <mergeCell ref="Y9:Y15"/>
    <mergeCell ref="Z9:Z15"/>
    <mergeCell ref="AA9:AA15"/>
    <mergeCell ref="AB9:AB15"/>
    <mergeCell ref="Q9:Q15"/>
    <mergeCell ref="R9:R15"/>
    <mergeCell ref="S9:S15"/>
    <mergeCell ref="T9:T15"/>
    <mergeCell ref="U9:U15"/>
    <mergeCell ref="V9:V15"/>
    <mergeCell ref="M9:M15"/>
    <mergeCell ref="N9:N15"/>
    <mergeCell ref="O9:O15"/>
    <mergeCell ref="P9:P15"/>
    <mergeCell ref="AO9:AO15"/>
    <mergeCell ref="AP9:AP15"/>
    <mergeCell ref="AQ9:AQ15"/>
    <mergeCell ref="AR9:AR15"/>
    <mergeCell ref="AS9:AS15"/>
    <mergeCell ref="AT9:AT15"/>
    <mergeCell ref="AI9:AI15"/>
    <mergeCell ref="AJ9:AJ15"/>
    <mergeCell ref="AK9:AK15"/>
    <mergeCell ref="AL9:AL15"/>
    <mergeCell ref="AM9:AM15"/>
    <mergeCell ref="AN9:AN15"/>
    <mergeCell ref="AC9:AC15"/>
    <mergeCell ref="AD9:AD15"/>
    <mergeCell ref="AE9:AE15"/>
    <mergeCell ref="AF9:AF15"/>
    <mergeCell ref="AG9:AG15"/>
    <mergeCell ref="AH9:AH15"/>
    <mergeCell ref="BG9:BG15"/>
    <mergeCell ref="BH9:BH15"/>
    <mergeCell ref="BI9:BI15"/>
    <mergeCell ref="BJ9:BJ15"/>
    <mergeCell ref="BK9:BK15"/>
    <mergeCell ref="BL9:BL15"/>
    <mergeCell ref="BA9:BA15"/>
    <mergeCell ref="BB9:BB15"/>
    <mergeCell ref="BC9:BC15"/>
    <mergeCell ref="BD9:BD15"/>
    <mergeCell ref="BE9:BE15"/>
    <mergeCell ref="BF9:BF15"/>
    <mergeCell ref="AU9:AU15"/>
    <mergeCell ref="AV9:AV15"/>
    <mergeCell ref="AW9:AW15"/>
    <mergeCell ref="AX9:AX15"/>
    <mergeCell ref="AY9:AY15"/>
    <mergeCell ref="AZ9:AZ15"/>
    <mergeCell ref="BY9:BY15"/>
    <mergeCell ref="BZ9:BZ15"/>
    <mergeCell ref="CA9:CA15"/>
    <mergeCell ref="CB9:CB15"/>
    <mergeCell ref="CC9:CC15"/>
    <mergeCell ref="CD9:CD15"/>
    <mergeCell ref="BS9:BS15"/>
    <mergeCell ref="BT9:BT15"/>
    <mergeCell ref="BU9:BU15"/>
    <mergeCell ref="BV9:BV15"/>
    <mergeCell ref="BW9:BW15"/>
    <mergeCell ref="BX9:BX15"/>
    <mergeCell ref="BM9:BM15"/>
    <mergeCell ref="BN9:BN15"/>
    <mergeCell ref="BO9:BO15"/>
    <mergeCell ref="BP9:BP15"/>
    <mergeCell ref="BQ9:BQ15"/>
    <mergeCell ref="BR9:BR15"/>
    <mergeCell ref="CQ9:CQ15"/>
    <mergeCell ref="CR9:CR15"/>
    <mergeCell ref="CS9:CS15"/>
    <mergeCell ref="CT9:CT15"/>
    <mergeCell ref="CU9:CU15"/>
    <mergeCell ref="CV9:CV15"/>
    <mergeCell ref="CK9:CK15"/>
    <mergeCell ref="CL9:CL15"/>
    <mergeCell ref="CM9:CM15"/>
    <mergeCell ref="CN9:CN15"/>
    <mergeCell ref="CO9:CO15"/>
    <mergeCell ref="CP9:CP15"/>
    <mergeCell ref="CE9:CE15"/>
    <mergeCell ref="CF9:CF15"/>
    <mergeCell ref="CG9:CG15"/>
    <mergeCell ref="CH9:CH15"/>
    <mergeCell ref="CI9:CI15"/>
    <mergeCell ref="CJ9:CJ15"/>
    <mergeCell ref="DI9:DI15"/>
    <mergeCell ref="DJ9:DJ15"/>
    <mergeCell ref="DK9:DK15"/>
    <mergeCell ref="DL9:DL15"/>
    <mergeCell ref="DM9:DM15"/>
    <mergeCell ref="DN9:DN15"/>
    <mergeCell ref="DC9:DC15"/>
    <mergeCell ref="DD9:DD15"/>
    <mergeCell ref="DE9:DE15"/>
    <mergeCell ref="DF9:DF15"/>
    <mergeCell ref="DG9:DG15"/>
    <mergeCell ref="DH9:DH15"/>
    <mergeCell ref="CW9:CW15"/>
    <mergeCell ref="CX9:CX15"/>
    <mergeCell ref="CY9:CY15"/>
    <mergeCell ref="CZ9:CZ15"/>
    <mergeCell ref="DA9:DA15"/>
    <mergeCell ref="DB9:DB15"/>
    <mergeCell ref="EA9:EA15"/>
    <mergeCell ref="EB9:EB15"/>
    <mergeCell ref="EC9:EC15"/>
    <mergeCell ref="ED9:ED15"/>
    <mergeCell ref="EE9:EE15"/>
    <mergeCell ref="EF9:EF15"/>
    <mergeCell ref="DU9:DU15"/>
    <mergeCell ref="DV9:DV15"/>
    <mergeCell ref="DW9:DW15"/>
    <mergeCell ref="DX9:DX15"/>
    <mergeCell ref="DY9:DY15"/>
    <mergeCell ref="DZ9:DZ15"/>
    <mergeCell ref="DO9:DO15"/>
    <mergeCell ref="DP9:DP15"/>
    <mergeCell ref="DQ9:DQ15"/>
    <mergeCell ref="DR9:DR15"/>
    <mergeCell ref="DS9:DS15"/>
    <mergeCell ref="DT9:DT15"/>
    <mergeCell ref="ES9:ES15"/>
    <mergeCell ref="ET9:ET15"/>
    <mergeCell ref="EU9:EU15"/>
    <mergeCell ref="EV9:EV15"/>
    <mergeCell ref="EW9:EW15"/>
    <mergeCell ref="EX9:EX15"/>
    <mergeCell ref="EM9:EM15"/>
    <mergeCell ref="EN9:EN15"/>
    <mergeCell ref="EO9:EO15"/>
    <mergeCell ref="EP9:EP15"/>
    <mergeCell ref="EQ9:EQ15"/>
    <mergeCell ref="ER9:ER15"/>
    <mergeCell ref="EG9:EG15"/>
    <mergeCell ref="EH9:EH15"/>
    <mergeCell ref="EI9:EI15"/>
    <mergeCell ref="EJ9:EJ15"/>
    <mergeCell ref="EK9:EK15"/>
    <mergeCell ref="EL9:EL15"/>
    <mergeCell ref="FK9:FK15"/>
    <mergeCell ref="FL9:FL15"/>
    <mergeCell ref="FM9:FM15"/>
    <mergeCell ref="FN9:FN15"/>
    <mergeCell ref="FO9:FO15"/>
    <mergeCell ref="FP9:FP15"/>
    <mergeCell ref="FE9:FE15"/>
    <mergeCell ref="FF9:FF15"/>
    <mergeCell ref="FG9:FG15"/>
    <mergeCell ref="FH9:FH15"/>
    <mergeCell ref="FI9:FI15"/>
    <mergeCell ref="FJ9:FJ15"/>
    <mergeCell ref="EY9:EY15"/>
    <mergeCell ref="EZ9:EZ15"/>
    <mergeCell ref="FA9:FA15"/>
    <mergeCell ref="FB9:FB15"/>
    <mergeCell ref="FC9:FC15"/>
    <mergeCell ref="FD9:FD15"/>
    <mergeCell ref="GC9:GC15"/>
    <mergeCell ref="GD9:GD15"/>
    <mergeCell ref="GE9:GE15"/>
    <mergeCell ref="GF9:GF15"/>
    <mergeCell ref="GG9:GG15"/>
    <mergeCell ref="GH9:GH15"/>
    <mergeCell ref="FW9:FW15"/>
    <mergeCell ref="FX9:FX15"/>
    <mergeCell ref="FY9:FY15"/>
    <mergeCell ref="FZ9:FZ15"/>
    <mergeCell ref="GA9:GA15"/>
    <mergeCell ref="GB9:GB15"/>
    <mergeCell ref="FQ9:FQ15"/>
    <mergeCell ref="FR9:FR15"/>
    <mergeCell ref="FS9:FS15"/>
    <mergeCell ref="FT9:FT15"/>
    <mergeCell ref="FU9:FU15"/>
    <mergeCell ref="FV9:FV15"/>
    <mergeCell ref="GU9:GU15"/>
    <mergeCell ref="GV9:GV15"/>
    <mergeCell ref="GW9:GW15"/>
    <mergeCell ref="GX9:GX15"/>
    <mergeCell ref="GY9:GY15"/>
    <mergeCell ref="GZ9:GZ15"/>
    <mergeCell ref="GO9:GO15"/>
    <mergeCell ref="GP9:GP15"/>
    <mergeCell ref="GQ9:GQ15"/>
    <mergeCell ref="GR9:GR15"/>
    <mergeCell ref="GS9:GS15"/>
    <mergeCell ref="GT9:GT15"/>
    <mergeCell ref="GI9:GI15"/>
    <mergeCell ref="GJ9:GJ15"/>
    <mergeCell ref="GK9:GK15"/>
    <mergeCell ref="GL9:GL15"/>
    <mergeCell ref="GM9:GM15"/>
    <mergeCell ref="GN9:GN15"/>
    <mergeCell ref="HW9:HW15"/>
    <mergeCell ref="HX9:HX15"/>
    <mergeCell ref="HM9:HM15"/>
    <mergeCell ref="HN9:HN15"/>
    <mergeCell ref="HO9:HO15"/>
    <mergeCell ref="HP9:HP15"/>
    <mergeCell ref="HQ9:HQ15"/>
    <mergeCell ref="HR9:HR15"/>
    <mergeCell ref="HG9:HG15"/>
    <mergeCell ref="HH9:HH15"/>
    <mergeCell ref="HI9:HI15"/>
    <mergeCell ref="HJ9:HJ15"/>
    <mergeCell ref="HK9:HK15"/>
    <mergeCell ref="HL9:HL15"/>
    <mergeCell ref="HA9:HA15"/>
    <mergeCell ref="HB9:HB15"/>
    <mergeCell ref="HC9:HC15"/>
    <mergeCell ref="HD9:HD15"/>
    <mergeCell ref="HE9:HE15"/>
    <mergeCell ref="HF9:HF15"/>
    <mergeCell ref="Q17:Q22"/>
    <mergeCell ref="R17:R22"/>
    <mergeCell ref="S17:S22"/>
    <mergeCell ref="T17:T22"/>
    <mergeCell ref="U17:U22"/>
    <mergeCell ref="V17:V22"/>
    <mergeCell ref="IK9:IK15"/>
    <mergeCell ref="IL9:IL15"/>
    <mergeCell ref="A17:D17"/>
    <mergeCell ref="E17:F17"/>
    <mergeCell ref="G17:H17"/>
    <mergeCell ref="I17:L17"/>
    <mergeCell ref="M17:M22"/>
    <mergeCell ref="N17:N22"/>
    <mergeCell ref="O17:O22"/>
    <mergeCell ref="P17:P22"/>
    <mergeCell ref="IE9:IE15"/>
    <mergeCell ref="IF9:IF15"/>
    <mergeCell ref="IG9:IG15"/>
    <mergeCell ref="IH9:IH15"/>
    <mergeCell ref="II9:II15"/>
    <mergeCell ref="IJ9:IJ15"/>
    <mergeCell ref="HY9:HY15"/>
    <mergeCell ref="HZ9:HZ15"/>
    <mergeCell ref="IA9:IA15"/>
    <mergeCell ref="IB9:IB15"/>
    <mergeCell ref="IC9:IC15"/>
    <mergeCell ref="ID9:ID15"/>
    <mergeCell ref="HS9:HS15"/>
    <mergeCell ref="HT9:HT15"/>
    <mergeCell ref="HU9:HU15"/>
    <mergeCell ref="HV9:HV15"/>
    <mergeCell ref="AI17:AI22"/>
    <mergeCell ref="AJ17:AJ22"/>
    <mergeCell ref="AK17:AK22"/>
    <mergeCell ref="AL17:AL22"/>
    <mergeCell ref="AM17:AM22"/>
    <mergeCell ref="AN17:AN22"/>
    <mergeCell ref="AC17:AC22"/>
    <mergeCell ref="AD17:AD22"/>
    <mergeCell ref="AE17:AE22"/>
    <mergeCell ref="AF17:AF22"/>
    <mergeCell ref="AG17:AG22"/>
    <mergeCell ref="AH17:AH22"/>
    <mergeCell ref="W17:W22"/>
    <mergeCell ref="X17:X22"/>
    <mergeCell ref="Y17:Y22"/>
    <mergeCell ref="Z17:Z22"/>
    <mergeCell ref="AA17:AA22"/>
    <mergeCell ref="AB17:AB22"/>
    <mergeCell ref="BA17:BA22"/>
    <mergeCell ref="BB17:BB22"/>
    <mergeCell ref="BC17:BC22"/>
    <mergeCell ref="BD17:BD22"/>
    <mergeCell ref="BE17:BE22"/>
    <mergeCell ref="BF17:BF22"/>
    <mergeCell ref="AU17:AU22"/>
    <mergeCell ref="AV17:AV22"/>
    <mergeCell ref="AW17:AW22"/>
    <mergeCell ref="AX17:AX22"/>
    <mergeCell ref="AY17:AY22"/>
    <mergeCell ref="AZ17:AZ22"/>
    <mergeCell ref="AO17:AO22"/>
    <mergeCell ref="AP17:AP22"/>
    <mergeCell ref="AQ17:AQ22"/>
    <mergeCell ref="AR17:AR22"/>
    <mergeCell ref="AS17:AS22"/>
    <mergeCell ref="AT17:AT22"/>
    <mergeCell ref="BS17:BS22"/>
    <mergeCell ref="BT17:BT22"/>
    <mergeCell ref="BU17:BU22"/>
    <mergeCell ref="BV17:BV22"/>
    <mergeCell ref="BW17:BW22"/>
    <mergeCell ref="BX17:BX22"/>
    <mergeCell ref="BM17:BM22"/>
    <mergeCell ref="BN17:BN22"/>
    <mergeCell ref="BO17:BO22"/>
    <mergeCell ref="BP17:BP22"/>
    <mergeCell ref="BQ17:BQ22"/>
    <mergeCell ref="BR17:BR22"/>
    <mergeCell ref="BG17:BG22"/>
    <mergeCell ref="BH17:BH22"/>
    <mergeCell ref="BI17:BI22"/>
    <mergeCell ref="BJ17:BJ22"/>
    <mergeCell ref="BK17:BK22"/>
    <mergeCell ref="BL17:BL22"/>
    <mergeCell ref="CK17:CK22"/>
    <mergeCell ref="CL17:CL22"/>
    <mergeCell ref="CM17:CM22"/>
    <mergeCell ref="CN17:CN22"/>
    <mergeCell ref="CO17:CO22"/>
    <mergeCell ref="CP17:CP22"/>
    <mergeCell ref="CE17:CE22"/>
    <mergeCell ref="CF17:CF22"/>
    <mergeCell ref="CG17:CG22"/>
    <mergeCell ref="CH17:CH22"/>
    <mergeCell ref="CI17:CI22"/>
    <mergeCell ref="CJ17:CJ22"/>
    <mergeCell ref="BY17:BY22"/>
    <mergeCell ref="BZ17:BZ22"/>
    <mergeCell ref="CA17:CA22"/>
    <mergeCell ref="CB17:CB22"/>
    <mergeCell ref="CC17:CC22"/>
    <mergeCell ref="CD17:CD22"/>
    <mergeCell ref="DC17:DC22"/>
    <mergeCell ref="DD17:DD22"/>
    <mergeCell ref="DE17:DE22"/>
    <mergeCell ref="DF17:DF22"/>
    <mergeCell ref="DG17:DG22"/>
    <mergeCell ref="DH17:DH22"/>
    <mergeCell ref="CW17:CW22"/>
    <mergeCell ref="CX17:CX22"/>
    <mergeCell ref="CY17:CY22"/>
    <mergeCell ref="CZ17:CZ22"/>
    <mergeCell ref="DA17:DA22"/>
    <mergeCell ref="DB17:DB22"/>
    <mergeCell ref="CQ17:CQ22"/>
    <mergeCell ref="CR17:CR22"/>
    <mergeCell ref="CS17:CS22"/>
    <mergeCell ref="CT17:CT22"/>
    <mergeCell ref="CU17:CU22"/>
    <mergeCell ref="CV17:CV22"/>
    <mergeCell ref="DU17:DU22"/>
    <mergeCell ref="DV17:DV22"/>
    <mergeCell ref="DW17:DW22"/>
    <mergeCell ref="DX17:DX22"/>
    <mergeCell ref="DY17:DY22"/>
    <mergeCell ref="DZ17:DZ22"/>
    <mergeCell ref="DO17:DO22"/>
    <mergeCell ref="DP17:DP22"/>
    <mergeCell ref="DQ17:DQ22"/>
    <mergeCell ref="DR17:DR22"/>
    <mergeCell ref="DS17:DS22"/>
    <mergeCell ref="DT17:DT22"/>
    <mergeCell ref="DI17:DI22"/>
    <mergeCell ref="DJ17:DJ22"/>
    <mergeCell ref="DK17:DK22"/>
    <mergeCell ref="DL17:DL22"/>
    <mergeCell ref="DM17:DM22"/>
    <mergeCell ref="DN17:DN22"/>
    <mergeCell ref="EM17:EM22"/>
    <mergeCell ref="EN17:EN22"/>
    <mergeCell ref="EO17:EO22"/>
    <mergeCell ref="EP17:EP22"/>
    <mergeCell ref="EQ17:EQ22"/>
    <mergeCell ref="ER17:ER22"/>
    <mergeCell ref="EG17:EG22"/>
    <mergeCell ref="EH17:EH22"/>
    <mergeCell ref="EI17:EI22"/>
    <mergeCell ref="EJ17:EJ22"/>
    <mergeCell ref="EK17:EK22"/>
    <mergeCell ref="EL17:EL22"/>
    <mergeCell ref="EA17:EA22"/>
    <mergeCell ref="EB17:EB22"/>
    <mergeCell ref="EC17:EC22"/>
    <mergeCell ref="ED17:ED22"/>
    <mergeCell ref="EE17:EE22"/>
    <mergeCell ref="EF17:EF22"/>
    <mergeCell ref="FE17:FE22"/>
    <mergeCell ref="FF17:FF22"/>
    <mergeCell ref="FG17:FG22"/>
    <mergeCell ref="FH17:FH22"/>
    <mergeCell ref="FI17:FI22"/>
    <mergeCell ref="FJ17:FJ22"/>
    <mergeCell ref="EY17:EY22"/>
    <mergeCell ref="EZ17:EZ22"/>
    <mergeCell ref="FA17:FA22"/>
    <mergeCell ref="FB17:FB22"/>
    <mergeCell ref="FC17:FC22"/>
    <mergeCell ref="FD17:FD22"/>
    <mergeCell ref="ES17:ES22"/>
    <mergeCell ref="ET17:ET22"/>
    <mergeCell ref="EU17:EU22"/>
    <mergeCell ref="EV17:EV22"/>
    <mergeCell ref="EW17:EW22"/>
    <mergeCell ref="EX17:EX22"/>
    <mergeCell ref="FW17:FW22"/>
    <mergeCell ref="FX17:FX22"/>
    <mergeCell ref="FY17:FY22"/>
    <mergeCell ref="FZ17:FZ22"/>
    <mergeCell ref="GA17:GA22"/>
    <mergeCell ref="GB17:GB22"/>
    <mergeCell ref="FQ17:FQ22"/>
    <mergeCell ref="FR17:FR22"/>
    <mergeCell ref="FS17:FS22"/>
    <mergeCell ref="FT17:FT22"/>
    <mergeCell ref="FU17:FU22"/>
    <mergeCell ref="FV17:FV22"/>
    <mergeCell ref="FK17:FK22"/>
    <mergeCell ref="FL17:FL22"/>
    <mergeCell ref="FM17:FM22"/>
    <mergeCell ref="FN17:FN22"/>
    <mergeCell ref="FO17:FO22"/>
    <mergeCell ref="FP17:FP22"/>
    <mergeCell ref="GW17:GW22"/>
    <mergeCell ref="GX17:GX22"/>
    <mergeCell ref="GY17:GY22"/>
    <mergeCell ref="GZ17:GZ22"/>
    <mergeCell ref="GO17:GO22"/>
    <mergeCell ref="GP17:GP22"/>
    <mergeCell ref="GQ17:GQ22"/>
    <mergeCell ref="GR17:GR22"/>
    <mergeCell ref="GS17:GS22"/>
    <mergeCell ref="GT17:GT22"/>
    <mergeCell ref="GI17:GI22"/>
    <mergeCell ref="GJ17:GJ22"/>
    <mergeCell ref="GK17:GK22"/>
    <mergeCell ref="GL17:GL22"/>
    <mergeCell ref="GM17:GM22"/>
    <mergeCell ref="GN17:GN22"/>
    <mergeCell ref="GC17:GC22"/>
    <mergeCell ref="GD17:GD22"/>
    <mergeCell ref="GE17:GE22"/>
    <mergeCell ref="GF17:GF22"/>
    <mergeCell ref="GG17:GG22"/>
    <mergeCell ref="GH17:GH22"/>
    <mergeCell ref="IL17:IL22"/>
    <mergeCell ref="A18:D18"/>
    <mergeCell ref="E18:F18"/>
    <mergeCell ref="G18:H18"/>
    <mergeCell ref="I18:J18"/>
    <mergeCell ref="K18:L18"/>
    <mergeCell ref="A19:B19"/>
    <mergeCell ref="C19:D19"/>
    <mergeCell ref="E19:F19"/>
    <mergeCell ref="IE17:IE22"/>
    <mergeCell ref="IF17:IF22"/>
    <mergeCell ref="IG17:IG22"/>
    <mergeCell ref="IH17:IH22"/>
    <mergeCell ref="II17:II22"/>
    <mergeCell ref="IJ17:IJ22"/>
    <mergeCell ref="HY17:HY22"/>
    <mergeCell ref="HZ17:HZ22"/>
    <mergeCell ref="IA17:IA22"/>
    <mergeCell ref="IB17:IB22"/>
    <mergeCell ref="IC17:IC22"/>
    <mergeCell ref="ID17:ID22"/>
    <mergeCell ref="HS17:HS22"/>
    <mergeCell ref="HT17:HT22"/>
    <mergeCell ref="HU17:HU22"/>
    <mergeCell ref="HV17:HV22"/>
    <mergeCell ref="HW17:HW22"/>
    <mergeCell ref="HX17:HX22"/>
    <mergeCell ref="HM17:HM22"/>
    <mergeCell ref="HN17:HN22"/>
    <mergeCell ref="HO17:HO22"/>
    <mergeCell ref="HP17:HP22"/>
    <mergeCell ref="HQ17:HQ22"/>
    <mergeCell ref="A21:A22"/>
    <mergeCell ref="B21:B22"/>
    <mergeCell ref="E21:F21"/>
    <mergeCell ref="G21:H21"/>
    <mergeCell ref="I21:J21"/>
    <mergeCell ref="K21:L21"/>
    <mergeCell ref="E22:F22"/>
    <mergeCell ref="G22:H22"/>
    <mergeCell ref="I22:J22"/>
    <mergeCell ref="K22:L22"/>
    <mergeCell ref="G19:H19"/>
    <mergeCell ref="I19:J19"/>
    <mergeCell ref="K19:L19"/>
    <mergeCell ref="G20:H20"/>
    <mergeCell ref="I20:J20"/>
    <mergeCell ref="K20:L20"/>
    <mergeCell ref="IK17:IK22"/>
    <mergeCell ref="HR17:HR22"/>
    <mergeCell ref="HG17:HG22"/>
    <mergeCell ref="HH17:HH22"/>
    <mergeCell ref="HI17:HI22"/>
    <mergeCell ref="HJ17:HJ22"/>
    <mergeCell ref="HK17:HK22"/>
    <mergeCell ref="HL17:HL22"/>
    <mergeCell ref="HA17:HA22"/>
    <mergeCell ref="HB17:HB22"/>
    <mergeCell ref="HC17:HC22"/>
    <mergeCell ref="HD17:HD22"/>
    <mergeCell ref="HE17:HE22"/>
    <mergeCell ref="HF17:HF22"/>
    <mergeCell ref="GU17:GU22"/>
    <mergeCell ref="GV17:GV22"/>
    <mergeCell ref="I30:L30"/>
    <mergeCell ref="I31:L31"/>
    <mergeCell ref="I32:L32"/>
    <mergeCell ref="G33:H33"/>
    <mergeCell ref="A36:D36"/>
    <mergeCell ref="E36:E37"/>
    <mergeCell ref="F36:F37"/>
    <mergeCell ref="G36:L36"/>
    <mergeCell ref="A37:D39"/>
    <mergeCell ref="E38:E39"/>
    <mergeCell ref="C26:C27"/>
    <mergeCell ref="G26:H26"/>
    <mergeCell ref="G27:H27"/>
    <mergeCell ref="G28:H28"/>
    <mergeCell ref="G29:H29"/>
    <mergeCell ref="G30:H30"/>
    <mergeCell ref="C23:C25"/>
    <mergeCell ref="F23:F25"/>
    <mergeCell ref="G23:H23"/>
    <mergeCell ref="I23:L23"/>
    <mergeCell ref="G24:H24"/>
    <mergeCell ref="G25:H25"/>
    <mergeCell ref="Y36:Y41"/>
    <mergeCell ref="Z36:Z41"/>
    <mergeCell ref="AA36:AA41"/>
    <mergeCell ref="AB36:AB41"/>
    <mergeCell ref="AC36:AC41"/>
    <mergeCell ref="AD36:AD41"/>
    <mergeCell ref="S36:S41"/>
    <mergeCell ref="T36:T41"/>
    <mergeCell ref="U36:U41"/>
    <mergeCell ref="V36:V41"/>
    <mergeCell ref="W36:W41"/>
    <mergeCell ref="X36:X41"/>
    <mergeCell ref="M36:M41"/>
    <mergeCell ref="N36:N41"/>
    <mergeCell ref="O36:O41"/>
    <mergeCell ref="P36:P41"/>
    <mergeCell ref="Q36:Q41"/>
    <mergeCell ref="R36:R41"/>
    <mergeCell ref="AQ36:AQ41"/>
    <mergeCell ref="AR36:AR41"/>
    <mergeCell ref="AS36:AS41"/>
    <mergeCell ref="AT36:AT41"/>
    <mergeCell ref="AU36:AU41"/>
    <mergeCell ref="AV36:AV41"/>
    <mergeCell ref="AK36:AK41"/>
    <mergeCell ref="AL36:AL41"/>
    <mergeCell ref="AM36:AM41"/>
    <mergeCell ref="AN36:AN41"/>
    <mergeCell ref="AO36:AO41"/>
    <mergeCell ref="AP36:AP41"/>
    <mergeCell ref="AE36:AE41"/>
    <mergeCell ref="AF36:AF41"/>
    <mergeCell ref="AG36:AG41"/>
    <mergeCell ref="AH36:AH41"/>
    <mergeCell ref="AI36:AI41"/>
    <mergeCell ref="AJ36:AJ41"/>
    <mergeCell ref="BI36:BI41"/>
    <mergeCell ref="BJ36:BJ41"/>
    <mergeCell ref="BK36:BK41"/>
    <mergeCell ref="BL36:BL41"/>
    <mergeCell ref="BM36:BM41"/>
    <mergeCell ref="BN36:BN41"/>
    <mergeCell ref="BC36:BC41"/>
    <mergeCell ref="BD36:BD41"/>
    <mergeCell ref="BE36:BE41"/>
    <mergeCell ref="BF36:BF41"/>
    <mergeCell ref="BG36:BG41"/>
    <mergeCell ref="BH36:BH41"/>
    <mergeCell ref="AW36:AW41"/>
    <mergeCell ref="AX36:AX41"/>
    <mergeCell ref="AY36:AY41"/>
    <mergeCell ref="AZ36:AZ41"/>
    <mergeCell ref="BA36:BA41"/>
    <mergeCell ref="BB36:BB41"/>
    <mergeCell ref="CA36:CA41"/>
    <mergeCell ref="CB36:CB41"/>
    <mergeCell ref="CC36:CC41"/>
    <mergeCell ref="CD36:CD41"/>
    <mergeCell ref="CE36:CE41"/>
    <mergeCell ref="CF36:CF41"/>
    <mergeCell ref="BU36:BU41"/>
    <mergeCell ref="BV36:BV41"/>
    <mergeCell ref="BW36:BW41"/>
    <mergeCell ref="BX36:BX41"/>
    <mergeCell ref="BY36:BY41"/>
    <mergeCell ref="BZ36:BZ41"/>
    <mergeCell ref="BO36:BO41"/>
    <mergeCell ref="BP36:BP41"/>
    <mergeCell ref="BQ36:BQ41"/>
    <mergeCell ref="BR36:BR41"/>
    <mergeCell ref="BS36:BS41"/>
    <mergeCell ref="BT36:BT41"/>
    <mergeCell ref="CS36:CS41"/>
    <mergeCell ref="CT36:CT41"/>
    <mergeCell ref="CU36:CU41"/>
    <mergeCell ref="CV36:CV41"/>
    <mergeCell ref="CW36:CW41"/>
    <mergeCell ref="CX36:CX41"/>
    <mergeCell ref="CM36:CM41"/>
    <mergeCell ref="CN36:CN41"/>
    <mergeCell ref="CO36:CO41"/>
    <mergeCell ref="CP36:CP41"/>
    <mergeCell ref="CQ36:CQ41"/>
    <mergeCell ref="CR36:CR41"/>
    <mergeCell ref="CG36:CG41"/>
    <mergeCell ref="CH36:CH41"/>
    <mergeCell ref="CI36:CI41"/>
    <mergeCell ref="CJ36:CJ41"/>
    <mergeCell ref="CK36:CK41"/>
    <mergeCell ref="CL36:CL41"/>
    <mergeCell ref="DK36:DK41"/>
    <mergeCell ref="DL36:DL41"/>
    <mergeCell ref="DM36:DM41"/>
    <mergeCell ref="DN36:DN41"/>
    <mergeCell ref="DO36:DO41"/>
    <mergeCell ref="DP36:DP41"/>
    <mergeCell ref="DE36:DE41"/>
    <mergeCell ref="DF36:DF41"/>
    <mergeCell ref="DG36:DG41"/>
    <mergeCell ref="DH36:DH41"/>
    <mergeCell ref="DI36:DI41"/>
    <mergeCell ref="DJ36:DJ41"/>
    <mergeCell ref="CY36:CY41"/>
    <mergeCell ref="CZ36:CZ41"/>
    <mergeCell ref="DA36:DA41"/>
    <mergeCell ref="DB36:DB41"/>
    <mergeCell ref="DC36:DC41"/>
    <mergeCell ref="DD36:DD41"/>
    <mergeCell ref="EC36:EC41"/>
    <mergeCell ref="ED36:ED41"/>
    <mergeCell ref="EE36:EE41"/>
    <mergeCell ref="EF36:EF41"/>
    <mergeCell ref="EG36:EG41"/>
    <mergeCell ref="EH36:EH41"/>
    <mergeCell ref="DW36:DW41"/>
    <mergeCell ref="DX36:DX41"/>
    <mergeCell ref="DY36:DY41"/>
    <mergeCell ref="DZ36:DZ41"/>
    <mergeCell ref="EA36:EA41"/>
    <mergeCell ref="EB36:EB41"/>
    <mergeCell ref="DQ36:DQ41"/>
    <mergeCell ref="DR36:DR41"/>
    <mergeCell ref="DS36:DS41"/>
    <mergeCell ref="DT36:DT41"/>
    <mergeCell ref="DU36:DU41"/>
    <mergeCell ref="DV36:DV41"/>
    <mergeCell ref="EU36:EU41"/>
    <mergeCell ref="EV36:EV41"/>
    <mergeCell ref="EW36:EW41"/>
    <mergeCell ref="EX36:EX41"/>
    <mergeCell ref="EY36:EY41"/>
    <mergeCell ref="EZ36:EZ41"/>
    <mergeCell ref="EO36:EO41"/>
    <mergeCell ref="EP36:EP41"/>
    <mergeCell ref="EQ36:EQ41"/>
    <mergeCell ref="ER36:ER41"/>
    <mergeCell ref="ES36:ES41"/>
    <mergeCell ref="ET36:ET41"/>
    <mergeCell ref="EI36:EI41"/>
    <mergeCell ref="EJ36:EJ41"/>
    <mergeCell ref="EK36:EK41"/>
    <mergeCell ref="EL36:EL41"/>
    <mergeCell ref="EM36:EM41"/>
    <mergeCell ref="EN36:EN41"/>
    <mergeCell ref="FM36:FM41"/>
    <mergeCell ref="FN36:FN41"/>
    <mergeCell ref="FO36:FO41"/>
    <mergeCell ref="FP36:FP41"/>
    <mergeCell ref="FQ36:FQ41"/>
    <mergeCell ref="FR36:FR41"/>
    <mergeCell ref="FG36:FG41"/>
    <mergeCell ref="FH36:FH41"/>
    <mergeCell ref="FI36:FI41"/>
    <mergeCell ref="FJ36:FJ41"/>
    <mergeCell ref="FK36:FK41"/>
    <mergeCell ref="FL36:FL41"/>
    <mergeCell ref="FA36:FA41"/>
    <mergeCell ref="FB36:FB41"/>
    <mergeCell ref="FC36:FC41"/>
    <mergeCell ref="FD36:FD41"/>
    <mergeCell ref="FE36:FE41"/>
    <mergeCell ref="FF36:FF41"/>
    <mergeCell ref="GE36:GE41"/>
    <mergeCell ref="GF36:GF41"/>
    <mergeCell ref="GG36:GG41"/>
    <mergeCell ref="GH36:GH41"/>
    <mergeCell ref="GI36:GI41"/>
    <mergeCell ref="GJ36:GJ41"/>
    <mergeCell ref="FY36:FY41"/>
    <mergeCell ref="FZ36:FZ41"/>
    <mergeCell ref="GA36:GA41"/>
    <mergeCell ref="GB36:GB41"/>
    <mergeCell ref="GC36:GC41"/>
    <mergeCell ref="GD36:GD41"/>
    <mergeCell ref="FS36:FS41"/>
    <mergeCell ref="FT36:FT41"/>
    <mergeCell ref="FU36:FU41"/>
    <mergeCell ref="FV36:FV41"/>
    <mergeCell ref="FW36:FW41"/>
    <mergeCell ref="FX36:FX41"/>
    <mergeCell ref="GW36:GW41"/>
    <mergeCell ref="GX36:GX41"/>
    <mergeCell ref="GY36:GY41"/>
    <mergeCell ref="GZ36:GZ41"/>
    <mergeCell ref="HA36:HA41"/>
    <mergeCell ref="HB36:HB41"/>
    <mergeCell ref="GQ36:GQ41"/>
    <mergeCell ref="GR36:GR41"/>
    <mergeCell ref="GS36:GS41"/>
    <mergeCell ref="GT36:GT41"/>
    <mergeCell ref="GU36:GU41"/>
    <mergeCell ref="GV36:GV41"/>
    <mergeCell ref="GK36:GK41"/>
    <mergeCell ref="GL36:GL41"/>
    <mergeCell ref="GM36:GM41"/>
    <mergeCell ref="GN36:GN41"/>
    <mergeCell ref="GO36:GO41"/>
    <mergeCell ref="GP36:GP41"/>
    <mergeCell ref="HO36:HO41"/>
    <mergeCell ref="HP36:HP41"/>
    <mergeCell ref="HQ36:HQ41"/>
    <mergeCell ref="HR36:HR41"/>
    <mergeCell ref="HS36:HS41"/>
    <mergeCell ref="HT36:HT41"/>
    <mergeCell ref="HI36:HI41"/>
    <mergeCell ref="HJ36:HJ41"/>
    <mergeCell ref="HK36:HK41"/>
    <mergeCell ref="HL36:HL41"/>
    <mergeCell ref="HM36:HM41"/>
    <mergeCell ref="HN36:HN41"/>
    <mergeCell ref="HC36:HC41"/>
    <mergeCell ref="HD36:HD41"/>
    <mergeCell ref="HE36:HE41"/>
    <mergeCell ref="HF36:HF41"/>
    <mergeCell ref="HG36:HG41"/>
    <mergeCell ref="HH36:HH41"/>
    <mergeCell ref="IG36:IG41"/>
    <mergeCell ref="IH36:IH41"/>
    <mergeCell ref="II36:II41"/>
    <mergeCell ref="IJ36:IJ41"/>
    <mergeCell ref="IK36:IK41"/>
    <mergeCell ref="IL36:IL41"/>
    <mergeCell ref="IA36:IA41"/>
    <mergeCell ref="IB36:IB41"/>
    <mergeCell ref="IC36:IC41"/>
    <mergeCell ref="ID36:ID41"/>
    <mergeCell ref="IE36:IE41"/>
    <mergeCell ref="IF36:IF41"/>
    <mergeCell ref="HU36:HU41"/>
    <mergeCell ref="HV36:HV41"/>
    <mergeCell ref="HW36:HW41"/>
    <mergeCell ref="HX36:HX41"/>
    <mergeCell ref="HY36:HY41"/>
    <mergeCell ref="HZ36:HZ41"/>
    <mergeCell ref="N45:N50"/>
    <mergeCell ref="O45:O50"/>
    <mergeCell ref="P45:P50"/>
    <mergeCell ref="Q45:Q50"/>
    <mergeCell ref="R45:R50"/>
    <mergeCell ref="S45:S50"/>
    <mergeCell ref="G42:H42"/>
    <mergeCell ref="A45:D45"/>
    <mergeCell ref="E45:E46"/>
    <mergeCell ref="F45:F46"/>
    <mergeCell ref="G45:L45"/>
    <mergeCell ref="M45:M50"/>
    <mergeCell ref="D49:D50"/>
    <mergeCell ref="E49:E50"/>
    <mergeCell ref="F49:F50"/>
    <mergeCell ref="F38:F39"/>
    <mergeCell ref="A40:B40"/>
    <mergeCell ref="C40:C41"/>
    <mergeCell ref="D40:D41"/>
    <mergeCell ref="E40:E41"/>
    <mergeCell ref="F40:F41"/>
    <mergeCell ref="AF45:AF50"/>
    <mergeCell ref="AG45:AG50"/>
    <mergeCell ref="AH45:AH50"/>
    <mergeCell ref="AI45:AI50"/>
    <mergeCell ref="AJ45:AJ50"/>
    <mergeCell ref="AK45:AK50"/>
    <mergeCell ref="Z45:Z50"/>
    <mergeCell ref="AA45:AA50"/>
    <mergeCell ref="AB45:AB50"/>
    <mergeCell ref="AC45:AC50"/>
    <mergeCell ref="AD45:AD50"/>
    <mergeCell ref="AE45:AE50"/>
    <mergeCell ref="T45:T50"/>
    <mergeCell ref="U45:U50"/>
    <mergeCell ref="V45:V50"/>
    <mergeCell ref="W45:W50"/>
    <mergeCell ref="X45:X50"/>
    <mergeCell ref="Y45:Y50"/>
    <mergeCell ref="AX45:AX50"/>
    <mergeCell ref="AY45:AY50"/>
    <mergeCell ref="AZ45:AZ50"/>
    <mergeCell ref="BA45:BA50"/>
    <mergeCell ref="BB45:BB50"/>
    <mergeCell ref="BC45:BC50"/>
    <mergeCell ref="AR45:AR50"/>
    <mergeCell ref="AS45:AS50"/>
    <mergeCell ref="AT45:AT50"/>
    <mergeCell ref="AU45:AU50"/>
    <mergeCell ref="AV45:AV50"/>
    <mergeCell ref="AW45:AW50"/>
    <mergeCell ref="AL45:AL50"/>
    <mergeCell ref="AM45:AM50"/>
    <mergeCell ref="AN45:AN50"/>
    <mergeCell ref="AO45:AO50"/>
    <mergeCell ref="AP45:AP50"/>
    <mergeCell ref="AQ45:AQ50"/>
    <mergeCell ref="BP45:BP50"/>
    <mergeCell ref="BQ45:BQ50"/>
    <mergeCell ref="BR45:BR50"/>
    <mergeCell ref="BS45:BS50"/>
    <mergeCell ref="BT45:BT50"/>
    <mergeCell ref="BU45:BU50"/>
    <mergeCell ref="BJ45:BJ50"/>
    <mergeCell ref="BK45:BK50"/>
    <mergeCell ref="BL45:BL50"/>
    <mergeCell ref="BM45:BM50"/>
    <mergeCell ref="BN45:BN50"/>
    <mergeCell ref="BO45:BO50"/>
    <mergeCell ref="BD45:BD50"/>
    <mergeCell ref="BE45:BE50"/>
    <mergeCell ref="BF45:BF50"/>
    <mergeCell ref="BG45:BG50"/>
    <mergeCell ref="BH45:BH50"/>
    <mergeCell ref="BI45:BI50"/>
    <mergeCell ref="CH45:CH50"/>
    <mergeCell ref="CI45:CI50"/>
    <mergeCell ref="CJ45:CJ50"/>
    <mergeCell ref="CK45:CK50"/>
    <mergeCell ref="CL45:CL50"/>
    <mergeCell ref="CM45:CM50"/>
    <mergeCell ref="CB45:CB50"/>
    <mergeCell ref="CC45:CC50"/>
    <mergeCell ref="CD45:CD50"/>
    <mergeCell ref="CE45:CE50"/>
    <mergeCell ref="CF45:CF50"/>
    <mergeCell ref="CG45:CG50"/>
    <mergeCell ref="BV45:BV50"/>
    <mergeCell ref="BW45:BW50"/>
    <mergeCell ref="BX45:BX50"/>
    <mergeCell ref="BY45:BY50"/>
    <mergeCell ref="BZ45:BZ50"/>
    <mergeCell ref="CA45:CA50"/>
    <mergeCell ref="CZ45:CZ50"/>
    <mergeCell ref="DA45:DA50"/>
    <mergeCell ref="DB45:DB50"/>
    <mergeCell ref="DC45:DC50"/>
    <mergeCell ref="DD45:DD50"/>
    <mergeCell ref="DE45:DE50"/>
    <mergeCell ref="CT45:CT50"/>
    <mergeCell ref="CU45:CU50"/>
    <mergeCell ref="CV45:CV50"/>
    <mergeCell ref="CW45:CW50"/>
    <mergeCell ref="CX45:CX50"/>
    <mergeCell ref="CY45:CY50"/>
    <mergeCell ref="CN45:CN50"/>
    <mergeCell ref="CO45:CO50"/>
    <mergeCell ref="CP45:CP50"/>
    <mergeCell ref="CQ45:CQ50"/>
    <mergeCell ref="CR45:CR50"/>
    <mergeCell ref="CS45:CS50"/>
    <mergeCell ref="DR45:DR50"/>
    <mergeCell ref="DS45:DS50"/>
    <mergeCell ref="DT45:DT50"/>
    <mergeCell ref="DU45:DU50"/>
    <mergeCell ref="DV45:DV50"/>
    <mergeCell ref="DW45:DW50"/>
    <mergeCell ref="DL45:DL50"/>
    <mergeCell ref="DM45:DM50"/>
    <mergeCell ref="DN45:DN50"/>
    <mergeCell ref="DO45:DO50"/>
    <mergeCell ref="DP45:DP50"/>
    <mergeCell ref="DQ45:DQ50"/>
    <mergeCell ref="DF45:DF50"/>
    <mergeCell ref="DG45:DG50"/>
    <mergeCell ref="DH45:DH50"/>
    <mergeCell ref="DI45:DI50"/>
    <mergeCell ref="DJ45:DJ50"/>
    <mergeCell ref="DK45:DK50"/>
    <mergeCell ref="EJ45:EJ50"/>
    <mergeCell ref="EK45:EK50"/>
    <mergeCell ref="EL45:EL50"/>
    <mergeCell ref="EM45:EM50"/>
    <mergeCell ref="EN45:EN50"/>
    <mergeCell ref="EO45:EO50"/>
    <mergeCell ref="ED45:ED50"/>
    <mergeCell ref="EE45:EE50"/>
    <mergeCell ref="EF45:EF50"/>
    <mergeCell ref="EG45:EG50"/>
    <mergeCell ref="EH45:EH50"/>
    <mergeCell ref="EI45:EI50"/>
    <mergeCell ref="DX45:DX50"/>
    <mergeCell ref="DY45:DY50"/>
    <mergeCell ref="DZ45:DZ50"/>
    <mergeCell ref="EA45:EA50"/>
    <mergeCell ref="EB45:EB50"/>
    <mergeCell ref="EC45:EC50"/>
    <mergeCell ref="FB45:FB50"/>
    <mergeCell ref="FC45:FC50"/>
    <mergeCell ref="FD45:FD50"/>
    <mergeCell ref="FE45:FE50"/>
    <mergeCell ref="FF45:FF50"/>
    <mergeCell ref="FG45:FG50"/>
    <mergeCell ref="EV45:EV50"/>
    <mergeCell ref="EW45:EW50"/>
    <mergeCell ref="EX45:EX50"/>
    <mergeCell ref="EY45:EY50"/>
    <mergeCell ref="EZ45:EZ50"/>
    <mergeCell ref="FA45:FA50"/>
    <mergeCell ref="EP45:EP50"/>
    <mergeCell ref="EQ45:EQ50"/>
    <mergeCell ref="ER45:ER50"/>
    <mergeCell ref="ES45:ES50"/>
    <mergeCell ref="ET45:ET50"/>
    <mergeCell ref="EU45:EU50"/>
    <mergeCell ref="FT45:FT50"/>
    <mergeCell ref="FU45:FU50"/>
    <mergeCell ref="FV45:FV50"/>
    <mergeCell ref="FW45:FW50"/>
    <mergeCell ref="FX45:FX50"/>
    <mergeCell ref="FY45:FY50"/>
    <mergeCell ref="FN45:FN50"/>
    <mergeCell ref="FO45:FO50"/>
    <mergeCell ref="FP45:FP50"/>
    <mergeCell ref="FQ45:FQ50"/>
    <mergeCell ref="FR45:FR50"/>
    <mergeCell ref="FS45:FS50"/>
    <mergeCell ref="FH45:FH50"/>
    <mergeCell ref="FI45:FI50"/>
    <mergeCell ref="FJ45:FJ50"/>
    <mergeCell ref="FK45:FK50"/>
    <mergeCell ref="FL45:FL50"/>
    <mergeCell ref="FM45:FM50"/>
    <mergeCell ref="GU45:GU50"/>
    <mergeCell ref="GV45:GV50"/>
    <mergeCell ref="GW45:GW50"/>
    <mergeCell ref="GL45:GL50"/>
    <mergeCell ref="GM45:GM50"/>
    <mergeCell ref="GN45:GN50"/>
    <mergeCell ref="GO45:GO50"/>
    <mergeCell ref="GP45:GP50"/>
    <mergeCell ref="GQ45:GQ50"/>
    <mergeCell ref="GF45:GF50"/>
    <mergeCell ref="GG45:GG50"/>
    <mergeCell ref="GH45:GH50"/>
    <mergeCell ref="GI45:GI50"/>
    <mergeCell ref="GJ45:GJ50"/>
    <mergeCell ref="GK45:GK50"/>
    <mergeCell ref="FZ45:FZ50"/>
    <mergeCell ref="GA45:GA50"/>
    <mergeCell ref="GB45:GB50"/>
    <mergeCell ref="GC45:GC50"/>
    <mergeCell ref="GD45:GD50"/>
    <mergeCell ref="GE45:GE50"/>
    <mergeCell ref="IJ45:IJ50"/>
    <mergeCell ref="IK45:IK50"/>
    <mergeCell ref="IL45:IL50"/>
    <mergeCell ref="A46:D48"/>
    <mergeCell ref="E47:E48"/>
    <mergeCell ref="F47:F48"/>
    <mergeCell ref="A49:B49"/>
    <mergeCell ref="C49:C50"/>
    <mergeCell ref="IB45:IB50"/>
    <mergeCell ref="IC45:IC50"/>
    <mergeCell ref="ID45:ID50"/>
    <mergeCell ref="IE45:IE50"/>
    <mergeCell ref="IF45:IF50"/>
    <mergeCell ref="IG45:IG50"/>
    <mergeCell ref="HV45:HV50"/>
    <mergeCell ref="HW45:HW50"/>
    <mergeCell ref="HX45:HX50"/>
    <mergeCell ref="HY45:HY50"/>
    <mergeCell ref="HZ45:HZ50"/>
    <mergeCell ref="IA45:IA50"/>
    <mergeCell ref="HP45:HP50"/>
    <mergeCell ref="HQ45:HQ50"/>
    <mergeCell ref="HR45:HR50"/>
    <mergeCell ref="HS45:HS50"/>
    <mergeCell ref="HT45:HT50"/>
    <mergeCell ref="HU45:HU50"/>
    <mergeCell ref="HJ45:HJ50"/>
    <mergeCell ref="HK45:HK50"/>
    <mergeCell ref="HL45:HL50"/>
    <mergeCell ref="HM45:HM50"/>
    <mergeCell ref="HN45:HN50"/>
    <mergeCell ref="HO45:HO50"/>
    <mergeCell ref="N54:N59"/>
    <mergeCell ref="O54:O59"/>
    <mergeCell ref="P54:P59"/>
    <mergeCell ref="Q54:Q59"/>
    <mergeCell ref="R54:R59"/>
    <mergeCell ref="S54:S59"/>
    <mergeCell ref="G51:H51"/>
    <mergeCell ref="A54:D54"/>
    <mergeCell ref="E54:E55"/>
    <mergeCell ref="F54:F55"/>
    <mergeCell ref="G54:L54"/>
    <mergeCell ref="M54:M59"/>
    <mergeCell ref="D58:D59"/>
    <mergeCell ref="E58:E59"/>
    <mergeCell ref="F58:F59"/>
    <mergeCell ref="IH45:IH50"/>
    <mergeCell ref="II45:II50"/>
    <mergeCell ref="HD45:HD50"/>
    <mergeCell ref="HE45:HE50"/>
    <mergeCell ref="HF45:HF50"/>
    <mergeCell ref="HG45:HG50"/>
    <mergeCell ref="HH45:HH50"/>
    <mergeCell ref="HI45:HI50"/>
    <mergeCell ref="GX45:GX50"/>
    <mergeCell ref="GY45:GY50"/>
    <mergeCell ref="GZ45:GZ50"/>
    <mergeCell ref="HA45:HA50"/>
    <mergeCell ref="HB45:HB50"/>
    <mergeCell ref="HC45:HC50"/>
    <mergeCell ref="GR45:GR50"/>
    <mergeCell ref="GS45:GS50"/>
    <mergeCell ref="GT45:GT50"/>
    <mergeCell ref="AF54:AF59"/>
    <mergeCell ref="AG54:AG59"/>
    <mergeCell ref="AH54:AH59"/>
    <mergeCell ref="AI54:AI59"/>
    <mergeCell ref="AJ54:AJ59"/>
    <mergeCell ref="AK54:AK59"/>
    <mergeCell ref="Z54:Z59"/>
    <mergeCell ref="AA54:AA59"/>
    <mergeCell ref="AB54:AB59"/>
    <mergeCell ref="AC54:AC59"/>
    <mergeCell ref="AD54:AD59"/>
    <mergeCell ref="AE54:AE59"/>
    <mergeCell ref="T54:T59"/>
    <mergeCell ref="U54:U59"/>
    <mergeCell ref="V54:V59"/>
    <mergeCell ref="W54:W59"/>
    <mergeCell ref="X54:X59"/>
    <mergeCell ref="Y54:Y59"/>
    <mergeCell ref="AX54:AX59"/>
    <mergeCell ref="AY54:AY59"/>
    <mergeCell ref="AZ54:AZ59"/>
    <mergeCell ref="BA54:BA59"/>
    <mergeCell ref="BB54:BB59"/>
    <mergeCell ref="BC54:BC59"/>
    <mergeCell ref="AR54:AR59"/>
    <mergeCell ref="AS54:AS59"/>
    <mergeCell ref="AT54:AT59"/>
    <mergeCell ref="AU54:AU59"/>
    <mergeCell ref="AV54:AV59"/>
    <mergeCell ref="AW54:AW59"/>
    <mergeCell ref="AL54:AL59"/>
    <mergeCell ref="AM54:AM59"/>
    <mergeCell ref="AN54:AN59"/>
    <mergeCell ref="AO54:AO59"/>
    <mergeCell ref="AP54:AP59"/>
    <mergeCell ref="AQ54:AQ59"/>
    <mergeCell ref="BP54:BP59"/>
    <mergeCell ref="BQ54:BQ59"/>
    <mergeCell ref="BR54:BR59"/>
    <mergeCell ref="BS54:BS59"/>
    <mergeCell ref="BT54:BT59"/>
    <mergeCell ref="BU54:BU59"/>
    <mergeCell ref="BJ54:BJ59"/>
    <mergeCell ref="BK54:BK59"/>
    <mergeCell ref="BL54:BL59"/>
    <mergeCell ref="BM54:BM59"/>
    <mergeCell ref="BN54:BN59"/>
    <mergeCell ref="BO54:BO59"/>
    <mergeCell ref="BD54:BD59"/>
    <mergeCell ref="BE54:BE59"/>
    <mergeCell ref="BF54:BF59"/>
    <mergeCell ref="BG54:BG59"/>
    <mergeCell ref="BH54:BH59"/>
    <mergeCell ref="BI54:BI59"/>
    <mergeCell ref="CH54:CH59"/>
    <mergeCell ref="CI54:CI59"/>
    <mergeCell ref="CJ54:CJ59"/>
    <mergeCell ref="CK54:CK59"/>
    <mergeCell ref="CL54:CL59"/>
    <mergeCell ref="CM54:CM59"/>
    <mergeCell ref="CB54:CB59"/>
    <mergeCell ref="CC54:CC59"/>
    <mergeCell ref="CD54:CD59"/>
    <mergeCell ref="CE54:CE59"/>
    <mergeCell ref="CF54:CF59"/>
    <mergeCell ref="CG54:CG59"/>
    <mergeCell ref="BV54:BV59"/>
    <mergeCell ref="BW54:BW59"/>
    <mergeCell ref="BX54:BX59"/>
    <mergeCell ref="BY54:BY59"/>
    <mergeCell ref="BZ54:BZ59"/>
    <mergeCell ref="CA54:CA59"/>
    <mergeCell ref="CZ54:CZ59"/>
    <mergeCell ref="DA54:DA59"/>
    <mergeCell ref="DB54:DB59"/>
    <mergeCell ref="DC54:DC59"/>
    <mergeCell ref="DD54:DD59"/>
    <mergeCell ref="DE54:DE59"/>
    <mergeCell ref="CT54:CT59"/>
    <mergeCell ref="CU54:CU59"/>
    <mergeCell ref="CV54:CV59"/>
    <mergeCell ref="CW54:CW59"/>
    <mergeCell ref="CX54:CX59"/>
    <mergeCell ref="CY54:CY59"/>
    <mergeCell ref="CN54:CN59"/>
    <mergeCell ref="CO54:CO59"/>
    <mergeCell ref="CP54:CP59"/>
    <mergeCell ref="CQ54:CQ59"/>
    <mergeCell ref="CR54:CR59"/>
    <mergeCell ref="CS54:CS59"/>
    <mergeCell ref="DR54:DR59"/>
    <mergeCell ref="DS54:DS59"/>
    <mergeCell ref="DT54:DT59"/>
    <mergeCell ref="DU54:DU59"/>
    <mergeCell ref="DV54:DV59"/>
    <mergeCell ref="DW54:DW59"/>
    <mergeCell ref="DL54:DL59"/>
    <mergeCell ref="DM54:DM59"/>
    <mergeCell ref="DN54:DN59"/>
    <mergeCell ref="DO54:DO59"/>
    <mergeCell ref="DP54:DP59"/>
    <mergeCell ref="DQ54:DQ59"/>
    <mergeCell ref="DF54:DF59"/>
    <mergeCell ref="DG54:DG59"/>
    <mergeCell ref="DH54:DH59"/>
    <mergeCell ref="DI54:DI59"/>
    <mergeCell ref="DJ54:DJ59"/>
    <mergeCell ref="DK54:DK59"/>
    <mergeCell ref="EJ54:EJ59"/>
    <mergeCell ref="EK54:EK59"/>
    <mergeCell ref="EL54:EL59"/>
    <mergeCell ref="EM54:EM59"/>
    <mergeCell ref="EN54:EN59"/>
    <mergeCell ref="EO54:EO59"/>
    <mergeCell ref="ED54:ED59"/>
    <mergeCell ref="EE54:EE59"/>
    <mergeCell ref="EF54:EF59"/>
    <mergeCell ref="EG54:EG59"/>
    <mergeCell ref="EH54:EH59"/>
    <mergeCell ref="EI54:EI59"/>
    <mergeCell ref="DX54:DX59"/>
    <mergeCell ref="DY54:DY59"/>
    <mergeCell ref="DZ54:DZ59"/>
    <mergeCell ref="EA54:EA59"/>
    <mergeCell ref="EB54:EB59"/>
    <mergeCell ref="EC54:EC59"/>
    <mergeCell ref="FB54:FB59"/>
    <mergeCell ref="FC54:FC59"/>
    <mergeCell ref="FD54:FD59"/>
    <mergeCell ref="FE54:FE59"/>
    <mergeCell ref="FF54:FF59"/>
    <mergeCell ref="FG54:FG59"/>
    <mergeCell ref="EV54:EV59"/>
    <mergeCell ref="EW54:EW59"/>
    <mergeCell ref="EX54:EX59"/>
    <mergeCell ref="EY54:EY59"/>
    <mergeCell ref="EZ54:EZ59"/>
    <mergeCell ref="FA54:FA59"/>
    <mergeCell ref="EP54:EP59"/>
    <mergeCell ref="EQ54:EQ59"/>
    <mergeCell ref="ER54:ER59"/>
    <mergeCell ref="ES54:ES59"/>
    <mergeCell ref="ET54:ET59"/>
    <mergeCell ref="EU54:EU59"/>
    <mergeCell ref="FT54:FT59"/>
    <mergeCell ref="FU54:FU59"/>
    <mergeCell ref="FV54:FV59"/>
    <mergeCell ref="FW54:FW59"/>
    <mergeCell ref="FX54:FX59"/>
    <mergeCell ref="FY54:FY59"/>
    <mergeCell ref="FN54:FN59"/>
    <mergeCell ref="FO54:FO59"/>
    <mergeCell ref="FP54:FP59"/>
    <mergeCell ref="FQ54:FQ59"/>
    <mergeCell ref="FR54:FR59"/>
    <mergeCell ref="FS54:FS59"/>
    <mergeCell ref="FH54:FH59"/>
    <mergeCell ref="FI54:FI59"/>
    <mergeCell ref="FJ54:FJ59"/>
    <mergeCell ref="FK54:FK59"/>
    <mergeCell ref="FL54:FL59"/>
    <mergeCell ref="FM54:FM59"/>
    <mergeCell ref="GT54:GT59"/>
    <mergeCell ref="GU54:GU59"/>
    <mergeCell ref="GV54:GV59"/>
    <mergeCell ref="GW54:GW59"/>
    <mergeCell ref="GL54:GL59"/>
    <mergeCell ref="GM54:GM59"/>
    <mergeCell ref="GN54:GN59"/>
    <mergeCell ref="GO54:GO59"/>
    <mergeCell ref="GP54:GP59"/>
    <mergeCell ref="GQ54:GQ59"/>
    <mergeCell ref="GF54:GF59"/>
    <mergeCell ref="GG54:GG59"/>
    <mergeCell ref="GH54:GH59"/>
    <mergeCell ref="GI54:GI59"/>
    <mergeCell ref="GJ54:GJ59"/>
    <mergeCell ref="GK54:GK59"/>
    <mergeCell ref="FZ54:FZ59"/>
    <mergeCell ref="GA54:GA59"/>
    <mergeCell ref="GB54:GB59"/>
    <mergeCell ref="GC54:GC59"/>
    <mergeCell ref="GD54:GD59"/>
    <mergeCell ref="GE54:GE59"/>
    <mergeCell ref="II54:II59"/>
    <mergeCell ref="IJ54:IJ59"/>
    <mergeCell ref="IK54:IK59"/>
    <mergeCell ref="IL54:IL59"/>
    <mergeCell ref="A55:D57"/>
    <mergeCell ref="E56:E57"/>
    <mergeCell ref="F56:F57"/>
    <mergeCell ref="A58:B58"/>
    <mergeCell ref="C58:C59"/>
    <mergeCell ref="IB54:IB59"/>
    <mergeCell ref="IC54:IC59"/>
    <mergeCell ref="ID54:ID59"/>
    <mergeCell ref="IE54:IE59"/>
    <mergeCell ref="IF54:IF59"/>
    <mergeCell ref="IG54:IG59"/>
    <mergeCell ref="HV54:HV59"/>
    <mergeCell ref="HW54:HW59"/>
    <mergeCell ref="HX54:HX59"/>
    <mergeCell ref="HY54:HY59"/>
    <mergeCell ref="HZ54:HZ59"/>
    <mergeCell ref="IA54:IA59"/>
    <mergeCell ref="HP54:HP59"/>
    <mergeCell ref="HQ54:HQ59"/>
    <mergeCell ref="HR54:HR59"/>
    <mergeCell ref="HS54:HS59"/>
    <mergeCell ref="HT54:HT59"/>
    <mergeCell ref="HU54:HU59"/>
    <mergeCell ref="HJ54:HJ59"/>
    <mergeCell ref="HK54:HK59"/>
    <mergeCell ref="HL54:HL59"/>
    <mergeCell ref="HM54:HM59"/>
    <mergeCell ref="HN54:HN59"/>
    <mergeCell ref="N64:N69"/>
    <mergeCell ref="O64:O69"/>
    <mergeCell ref="P64:P69"/>
    <mergeCell ref="Q64:Q69"/>
    <mergeCell ref="R64:R69"/>
    <mergeCell ref="S64:S69"/>
    <mergeCell ref="G60:H60"/>
    <mergeCell ref="A64:D64"/>
    <mergeCell ref="E64:F64"/>
    <mergeCell ref="G64:H64"/>
    <mergeCell ref="I64:L64"/>
    <mergeCell ref="M64:M69"/>
    <mergeCell ref="A66:B66"/>
    <mergeCell ref="C66:D66"/>
    <mergeCell ref="E66:F66"/>
    <mergeCell ref="G66:H66"/>
    <mergeCell ref="IH54:IH59"/>
    <mergeCell ref="HO54:HO59"/>
    <mergeCell ref="HD54:HD59"/>
    <mergeCell ref="HE54:HE59"/>
    <mergeCell ref="HF54:HF59"/>
    <mergeCell ref="HG54:HG59"/>
    <mergeCell ref="HH54:HH59"/>
    <mergeCell ref="HI54:HI59"/>
    <mergeCell ref="GX54:GX59"/>
    <mergeCell ref="GY54:GY59"/>
    <mergeCell ref="GZ54:GZ59"/>
    <mergeCell ref="HA54:HA59"/>
    <mergeCell ref="HB54:HB59"/>
    <mergeCell ref="HC54:HC59"/>
    <mergeCell ref="GR54:GR59"/>
    <mergeCell ref="GS54:GS59"/>
    <mergeCell ref="AF64:AF69"/>
    <mergeCell ref="AG64:AG69"/>
    <mergeCell ref="AH64:AH69"/>
    <mergeCell ref="AI64:AI69"/>
    <mergeCell ref="AJ64:AJ69"/>
    <mergeCell ref="AK64:AK69"/>
    <mergeCell ref="Z64:Z69"/>
    <mergeCell ref="AA64:AA69"/>
    <mergeCell ref="AB64:AB69"/>
    <mergeCell ref="AC64:AC69"/>
    <mergeCell ref="AD64:AD69"/>
    <mergeCell ref="AE64:AE69"/>
    <mergeCell ref="T64:T69"/>
    <mergeCell ref="U64:U69"/>
    <mergeCell ref="V64:V69"/>
    <mergeCell ref="W64:W69"/>
    <mergeCell ref="X64:X69"/>
    <mergeCell ref="Y64:Y69"/>
    <mergeCell ref="AX64:AX69"/>
    <mergeCell ref="AY64:AY69"/>
    <mergeCell ref="AZ64:AZ69"/>
    <mergeCell ref="BA64:BA69"/>
    <mergeCell ref="BB64:BB69"/>
    <mergeCell ref="BC64:BC69"/>
    <mergeCell ref="AR64:AR69"/>
    <mergeCell ref="AS64:AS69"/>
    <mergeCell ref="AT64:AT69"/>
    <mergeCell ref="AU64:AU69"/>
    <mergeCell ref="AV64:AV69"/>
    <mergeCell ref="AW64:AW69"/>
    <mergeCell ref="AL64:AL69"/>
    <mergeCell ref="AM64:AM69"/>
    <mergeCell ref="AN64:AN69"/>
    <mergeCell ref="AO64:AO69"/>
    <mergeCell ref="AP64:AP69"/>
    <mergeCell ref="AQ64:AQ69"/>
    <mergeCell ref="BP64:BP69"/>
    <mergeCell ref="BQ64:BQ69"/>
    <mergeCell ref="BR64:BR69"/>
    <mergeCell ref="BS64:BS69"/>
    <mergeCell ref="BT64:BT69"/>
    <mergeCell ref="BU64:BU69"/>
    <mergeCell ref="BJ64:BJ69"/>
    <mergeCell ref="BK64:BK69"/>
    <mergeCell ref="BL64:BL69"/>
    <mergeCell ref="BM64:BM69"/>
    <mergeCell ref="BN64:BN69"/>
    <mergeCell ref="BO64:BO69"/>
    <mergeCell ref="BD64:BD69"/>
    <mergeCell ref="BE64:BE69"/>
    <mergeCell ref="BF64:BF69"/>
    <mergeCell ref="BG64:BG69"/>
    <mergeCell ref="BH64:BH69"/>
    <mergeCell ref="BI64:BI69"/>
    <mergeCell ref="CH64:CH69"/>
    <mergeCell ref="CI64:CI69"/>
    <mergeCell ref="CJ64:CJ69"/>
    <mergeCell ref="CK64:CK69"/>
    <mergeCell ref="CL64:CL69"/>
    <mergeCell ref="CM64:CM69"/>
    <mergeCell ref="CB64:CB69"/>
    <mergeCell ref="CC64:CC69"/>
    <mergeCell ref="CD64:CD69"/>
    <mergeCell ref="CE64:CE69"/>
    <mergeCell ref="CF64:CF69"/>
    <mergeCell ref="CG64:CG69"/>
    <mergeCell ref="BV64:BV69"/>
    <mergeCell ref="BW64:BW69"/>
    <mergeCell ref="BX64:BX69"/>
    <mergeCell ref="BY64:BY69"/>
    <mergeCell ref="BZ64:BZ69"/>
    <mergeCell ref="CA64:CA69"/>
    <mergeCell ref="CZ64:CZ69"/>
    <mergeCell ref="DA64:DA69"/>
    <mergeCell ref="DB64:DB69"/>
    <mergeCell ref="DC64:DC69"/>
    <mergeCell ref="DD64:DD69"/>
    <mergeCell ref="DE64:DE69"/>
    <mergeCell ref="CT64:CT69"/>
    <mergeCell ref="CU64:CU69"/>
    <mergeCell ref="CV64:CV69"/>
    <mergeCell ref="CW64:CW69"/>
    <mergeCell ref="CX64:CX69"/>
    <mergeCell ref="CY64:CY69"/>
    <mergeCell ref="CN64:CN69"/>
    <mergeCell ref="CO64:CO69"/>
    <mergeCell ref="CP64:CP69"/>
    <mergeCell ref="CQ64:CQ69"/>
    <mergeCell ref="CR64:CR69"/>
    <mergeCell ref="CS64:CS69"/>
    <mergeCell ref="DR64:DR69"/>
    <mergeCell ref="DS64:DS69"/>
    <mergeCell ref="DT64:DT69"/>
    <mergeCell ref="DU64:DU69"/>
    <mergeCell ref="DV64:DV69"/>
    <mergeCell ref="DW64:DW69"/>
    <mergeCell ref="DL64:DL69"/>
    <mergeCell ref="DM64:DM69"/>
    <mergeCell ref="DN64:DN69"/>
    <mergeCell ref="DO64:DO69"/>
    <mergeCell ref="DP64:DP69"/>
    <mergeCell ref="DQ64:DQ69"/>
    <mergeCell ref="DF64:DF69"/>
    <mergeCell ref="DG64:DG69"/>
    <mergeCell ref="DH64:DH69"/>
    <mergeCell ref="DI64:DI69"/>
    <mergeCell ref="DJ64:DJ69"/>
    <mergeCell ref="DK64:DK69"/>
    <mergeCell ref="EJ64:EJ69"/>
    <mergeCell ref="EK64:EK69"/>
    <mergeCell ref="EL64:EL69"/>
    <mergeCell ref="EM64:EM69"/>
    <mergeCell ref="EN64:EN69"/>
    <mergeCell ref="EO64:EO69"/>
    <mergeCell ref="ED64:ED69"/>
    <mergeCell ref="EE64:EE69"/>
    <mergeCell ref="EF64:EF69"/>
    <mergeCell ref="EG64:EG69"/>
    <mergeCell ref="EH64:EH69"/>
    <mergeCell ref="EI64:EI69"/>
    <mergeCell ref="DX64:DX69"/>
    <mergeCell ref="DY64:DY69"/>
    <mergeCell ref="DZ64:DZ69"/>
    <mergeCell ref="EA64:EA69"/>
    <mergeCell ref="EB64:EB69"/>
    <mergeCell ref="EC64:EC69"/>
    <mergeCell ref="FB64:FB69"/>
    <mergeCell ref="FC64:FC69"/>
    <mergeCell ref="FD64:FD69"/>
    <mergeCell ref="FE64:FE69"/>
    <mergeCell ref="FF64:FF69"/>
    <mergeCell ref="FG64:FG69"/>
    <mergeCell ref="EV64:EV69"/>
    <mergeCell ref="EW64:EW69"/>
    <mergeCell ref="EX64:EX69"/>
    <mergeCell ref="EY64:EY69"/>
    <mergeCell ref="EZ64:EZ69"/>
    <mergeCell ref="FA64:FA69"/>
    <mergeCell ref="EP64:EP69"/>
    <mergeCell ref="EQ64:EQ69"/>
    <mergeCell ref="ER64:ER69"/>
    <mergeCell ref="ES64:ES69"/>
    <mergeCell ref="ET64:ET69"/>
    <mergeCell ref="EU64:EU69"/>
    <mergeCell ref="FT64:FT69"/>
    <mergeCell ref="FU64:FU69"/>
    <mergeCell ref="FV64:FV69"/>
    <mergeCell ref="FW64:FW69"/>
    <mergeCell ref="FX64:FX69"/>
    <mergeCell ref="FY64:FY69"/>
    <mergeCell ref="FN64:FN69"/>
    <mergeCell ref="FO64:FO69"/>
    <mergeCell ref="FP64:FP69"/>
    <mergeCell ref="FQ64:FQ69"/>
    <mergeCell ref="FR64:FR69"/>
    <mergeCell ref="FS64:FS69"/>
    <mergeCell ref="FH64:FH69"/>
    <mergeCell ref="FI64:FI69"/>
    <mergeCell ref="FJ64:FJ69"/>
    <mergeCell ref="FK64:FK69"/>
    <mergeCell ref="FL64:FL69"/>
    <mergeCell ref="FM64:FM69"/>
    <mergeCell ref="GL64:GL69"/>
    <mergeCell ref="GM64:GM69"/>
    <mergeCell ref="GN64:GN69"/>
    <mergeCell ref="GO64:GO69"/>
    <mergeCell ref="GP64:GP69"/>
    <mergeCell ref="GQ64:GQ69"/>
    <mergeCell ref="GF64:GF69"/>
    <mergeCell ref="GG64:GG69"/>
    <mergeCell ref="GH64:GH69"/>
    <mergeCell ref="GI64:GI69"/>
    <mergeCell ref="GJ64:GJ69"/>
    <mergeCell ref="GK64:GK69"/>
    <mergeCell ref="FZ64:FZ69"/>
    <mergeCell ref="GA64:GA69"/>
    <mergeCell ref="GB64:GB69"/>
    <mergeCell ref="GC64:GC69"/>
    <mergeCell ref="GD64:GD69"/>
    <mergeCell ref="GE64:GE69"/>
    <mergeCell ref="HN64:HN69"/>
    <mergeCell ref="HO64:HO69"/>
    <mergeCell ref="HD64:HD69"/>
    <mergeCell ref="HE64:HE69"/>
    <mergeCell ref="HF64:HF69"/>
    <mergeCell ref="HG64:HG69"/>
    <mergeCell ref="HH64:HH69"/>
    <mergeCell ref="HI64:HI69"/>
    <mergeCell ref="GX64:GX69"/>
    <mergeCell ref="GY64:GY69"/>
    <mergeCell ref="GZ64:GZ69"/>
    <mergeCell ref="HA64:HA69"/>
    <mergeCell ref="HB64:HB69"/>
    <mergeCell ref="HC64:HC69"/>
    <mergeCell ref="GR64:GR69"/>
    <mergeCell ref="GS64:GS69"/>
    <mergeCell ref="GT64:GT69"/>
    <mergeCell ref="GU64:GU69"/>
    <mergeCell ref="GV64:GV69"/>
    <mergeCell ref="GW64:GW69"/>
    <mergeCell ref="IH64:IH69"/>
    <mergeCell ref="II64:II69"/>
    <mergeCell ref="IJ64:IJ69"/>
    <mergeCell ref="IK64:IK69"/>
    <mergeCell ref="IL64:IL69"/>
    <mergeCell ref="A65:D65"/>
    <mergeCell ref="E65:F65"/>
    <mergeCell ref="G65:H65"/>
    <mergeCell ref="I65:J65"/>
    <mergeCell ref="K65:L65"/>
    <mergeCell ref="IB64:IB69"/>
    <mergeCell ref="IC64:IC69"/>
    <mergeCell ref="ID64:ID69"/>
    <mergeCell ref="IE64:IE69"/>
    <mergeCell ref="IF64:IF69"/>
    <mergeCell ref="IG64:IG69"/>
    <mergeCell ref="HV64:HV69"/>
    <mergeCell ref="HW64:HW69"/>
    <mergeCell ref="HX64:HX69"/>
    <mergeCell ref="HY64:HY69"/>
    <mergeCell ref="HZ64:HZ69"/>
    <mergeCell ref="IA64:IA69"/>
    <mergeCell ref="HP64:HP69"/>
    <mergeCell ref="HQ64:HQ69"/>
    <mergeCell ref="HR64:HR69"/>
    <mergeCell ref="HS64:HS69"/>
    <mergeCell ref="HT64:HT69"/>
    <mergeCell ref="HU64:HU69"/>
    <mergeCell ref="HJ64:HJ69"/>
    <mergeCell ref="HK64:HK69"/>
    <mergeCell ref="HL64:HL69"/>
    <mergeCell ref="HM64:HM69"/>
    <mergeCell ref="K68:L68"/>
    <mergeCell ref="E69:F69"/>
    <mergeCell ref="G69:H69"/>
    <mergeCell ref="I69:J69"/>
    <mergeCell ref="K69:L69"/>
    <mergeCell ref="C70:C72"/>
    <mergeCell ref="F70:F72"/>
    <mergeCell ref="G70:H70"/>
    <mergeCell ref="I70:L70"/>
    <mergeCell ref="G71:H71"/>
    <mergeCell ref="I66:J66"/>
    <mergeCell ref="K66:L66"/>
    <mergeCell ref="G67:H67"/>
    <mergeCell ref="I67:J67"/>
    <mergeCell ref="K67:L67"/>
    <mergeCell ref="A68:A69"/>
    <mergeCell ref="B68:B69"/>
    <mergeCell ref="E68:F68"/>
    <mergeCell ref="G68:H68"/>
    <mergeCell ref="I68:J68"/>
    <mergeCell ref="S78:S83"/>
    <mergeCell ref="T78:T83"/>
    <mergeCell ref="U78:U83"/>
    <mergeCell ref="V78:V83"/>
    <mergeCell ref="W78:W83"/>
    <mergeCell ref="I78:L78"/>
    <mergeCell ref="M78:M83"/>
    <mergeCell ref="N78:N83"/>
    <mergeCell ref="O78:O83"/>
    <mergeCell ref="P78:P83"/>
    <mergeCell ref="Q78:Q83"/>
    <mergeCell ref="I80:J80"/>
    <mergeCell ref="K80:L80"/>
    <mergeCell ref="G72:H72"/>
    <mergeCell ref="C73:C74"/>
    <mergeCell ref="G73:H73"/>
    <mergeCell ref="G74:H74"/>
    <mergeCell ref="A78:D78"/>
    <mergeCell ref="E78:F78"/>
    <mergeCell ref="G78:H78"/>
    <mergeCell ref="G83:H83"/>
    <mergeCell ref="I83:J83"/>
    <mergeCell ref="K83:L83"/>
    <mergeCell ref="AJ78:AJ83"/>
    <mergeCell ref="AK78:AK83"/>
    <mergeCell ref="AL78:AL83"/>
    <mergeCell ref="AM78:AM83"/>
    <mergeCell ref="AN78:AN83"/>
    <mergeCell ref="AO78:AO83"/>
    <mergeCell ref="AD78:AD83"/>
    <mergeCell ref="AE78:AE83"/>
    <mergeCell ref="AF78:AF83"/>
    <mergeCell ref="AG78:AG83"/>
    <mergeCell ref="AH78:AH83"/>
    <mergeCell ref="AI78:AI83"/>
    <mergeCell ref="X78:X83"/>
    <mergeCell ref="Y78:Y83"/>
    <mergeCell ref="Z78:Z83"/>
    <mergeCell ref="AA78:AA83"/>
    <mergeCell ref="AB78:AB83"/>
    <mergeCell ref="AC78:AC83"/>
    <mergeCell ref="BB78:BB83"/>
    <mergeCell ref="BC78:BC83"/>
    <mergeCell ref="BD78:BD83"/>
    <mergeCell ref="BE78:BE83"/>
    <mergeCell ref="BF78:BF83"/>
    <mergeCell ref="BG78:BG83"/>
    <mergeCell ref="AV78:AV83"/>
    <mergeCell ref="AW78:AW83"/>
    <mergeCell ref="AX78:AX83"/>
    <mergeCell ref="AY78:AY83"/>
    <mergeCell ref="AZ78:AZ83"/>
    <mergeCell ref="BA78:BA83"/>
    <mergeCell ref="AP78:AP83"/>
    <mergeCell ref="AQ78:AQ83"/>
    <mergeCell ref="AR78:AR83"/>
    <mergeCell ref="AS78:AS83"/>
    <mergeCell ref="AT78:AT83"/>
    <mergeCell ref="AU78:AU83"/>
    <mergeCell ref="BT78:BT83"/>
    <mergeCell ref="BU78:BU83"/>
    <mergeCell ref="BV78:BV83"/>
    <mergeCell ref="BW78:BW83"/>
    <mergeCell ref="BX78:BX83"/>
    <mergeCell ref="BY78:BY83"/>
    <mergeCell ref="BN78:BN83"/>
    <mergeCell ref="BO78:BO83"/>
    <mergeCell ref="BP78:BP83"/>
    <mergeCell ref="BQ78:BQ83"/>
    <mergeCell ref="BR78:BR83"/>
    <mergeCell ref="BS78:BS83"/>
    <mergeCell ref="BH78:BH83"/>
    <mergeCell ref="BI78:BI83"/>
    <mergeCell ref="BJ78:BJ83"/>
    <mergeCell ref="BK78:BK83"/>
    <mergeCell ref="BL78:BL83"/>
    <mergeCell ref="BM78:BM83"/>
    <mergeCell ref="CL78:CL83"/>
    <mergeCell ref="CM78:CM83"/>
    <mergeCell ref="CN78:CN83"/>
    <mergeCell ref="CO78:CO83"/>
    <mergeCell ref="CP78:CP83"/>
    <mergeCell ref="CQ78:CQ83"/>
    <mergeCell ref="CF78:CF83"/>
    <mergeCell ref="CG78:CG83"/>
    <mergeCell ref="CH78:CH83"/>
    <mergeCell ref="CI78:CI83"/>
    <mergeCell ref="CJ78:CJ83"/>
    <mergeCell ref="CK78:CK83"/>
    <mergeCell ref="BZ78:BZ83"/>
    <mergeCell ref="CA78:CA83"/>
    <mergeCell ref="CB78:CB83"/>
    <mergeCell ref="CC78:CC83"/>
    <mergeCell ref="CD78:CD83"/>
    <mergeCell ref="CE78:CE83"/>
    <mergeCell ref="DD78:DD83"/>
    <mergeCell ref="DE78:DE83"/>
    <mergeCell ref="DF78:DF83"/>
    <mergeCell ref="DG78:DG83"/>
    <mergeCell ref="DH78:DH83"/>
    <mergeCell ref="DI78:DI83"/>
    <mergeCell ref="CX78:CX83"/>
    <mergeCell ref="CY78:CY83"/>
    <mergeCell ref="CZ78:CZ83"/>
    <mergeCell ref="DA78:DA83"/>
    <mergeCell ref="DB78:DB83"/>
    <mergeCell ref="DC78:DC83"/>
    <mergeCell ref="CR78:CR83"/>
    <mergeCell ref="CS78:CS83"/>
    <mergeCell ref="CT78:CT83"/>
    <mergeCell ref="CU78:CU83"/>
    <mergeCell ref="CV78:CV83"/>
    <mergeCell ref="CW78:CW83"/>
    <mergeCell ref="DV78:DV83"/>
    <mergeCell ref="DW78:DW83"/>
    <mergeCell ref="DX78:DX83"/>
    <mergeCell ref="DY78:DY83"/>
    <mergeCell ref="DZ78:DZ83"/>
    <mergeCell ref="EA78:EA83"/>
    <mergeCell ref="DP78:DP83"/>
    <mergeCell ref="DQ78:DQ83"/>
    <mergeCell ref="DR78:DR83"/>
    <mergeCell ref="DS78:DS83"/>
    <mergeCell ref="DT78:DT83"/>
    <mergeCell ref="DU78:DU83"/>
    <mergeCell ref="DJ78:DJ83"/>
    <mergeCell ref="DK78:DK83"/>
    <mergeCell ref="DL78:DL83"/>
    <mergeCell ref="DM78:DM83"/>
    <mergeCell ref="DN78:DN83"/>
    <mergeCell ref="DO78:DO83"/>
    <mergeCell ref="EN78:EN83"/>
    <mergeCell ref="EO78:EO83"/>
    <mergeCell ref="EP78:EP83"/>
    <mergeCell ref="EQ78:EQ83"/>
    <mergeCell ref="ER78:ER83"/>
    <mergeCell ref="ES78:ES83"/>
    <mergeCell ref="EH78:EH83"/>
    <mergeCell ref="EI78:EI83"/>
    <mergeCell ref="EJ78:EJ83"/>
    <mergeCell ref="EK78:EK83"/>
    <mergeCell ref="EL78:EL83"/>
    <mergeCell ref="EM78:EM83"/>
    <mergeCell ref="EB78:EB83"/>
    <mergeCell ref="EC78:EC83"/>
    <mergeCell ref="ED78:ED83"/>
    <mergeCell ref="EE78:EE83"/>
    <mergeCell ref="EF78:EF83"/>
    <mergeCell ref="EG78:EG83"/>
    <mergeCell ref="FF78:FF83"/>
    <mergeCell ref="FG78:FG83"/>
    <mergeCell ref="FH78:FH83"/>
    <mergeCell ref="FI78:FI83"/>
    <mergeCell ref="FJ78:FJ83"/>
    <mergeCell ref="FK78:FK83"/>
    <mergeCell ref="EZ78:EZ83"/>
    <mergeCell ref="FA78:FA83"/>
    <mergeCell ref="FB78:FB83"/>
    <mergeCell ref="FC78:FC83"/>
    <mergeCell ref="FD78:FD83"/>
    <mergeCell ref="FE78:FE83"/>
    <mergeCell ref="ET78:ET83"/>
    <mergeCell ref="EU78:EU83"/>
    <mergeCell ref="EV78:EV83"/>
    <mergeCell ref="EW78:EW83"/>
    <mergeCell ref="EX78:EX83"/>
    <mergeCell ref="EY78:EY83"/>
    <mergeCell ref="FX78:FX83"/>
    <mergeCell ref="FY78:FY83"/>
    <mergeCell ref="FZ78:FZ83"/>
    <mergeCell ref="GA78:GA83"/>
    <mergeCell ref="GB78:GB83"/>
    <mergeCell ref="GC78:GC83"/>
    <mergeCell ref="FR78:FR83"/>
    <mergeCell ref="FS78:FS83"/>
    <mergeCell ref="FT78:FT83"/>
    <mergeCell ref="FU78:FU83"/>
    <mergeCell ref="FV78:FV83"/>
    <mergeCell ref="FW78:FW83"/>
    <mergeCell ref="FL78:FL83"/>
    <mergeCell ref="FM78:FM83"/>
    <mergeCell ref="FN78:FN83"/>
    <mergeCell ref="FO78:FO83"/>
    <mergeCell ref="FP78:FP83"/>
    <mergeCell ref="FQ78:FQ83"/>
    <mergeCell ref="GP78:GP83"/>
    <mergeCell ref="GQ78:GQ83"/>
    <mergeCell ref="GR78:GR83"/>
    <mergeCell ref="GS78:GS83"/>
    <mergeCell ref="GT78:GT83"/>
    <mergeCell ref="GU78:GU83"/>
    <mergeCell ref="GJ78:GJ83"/>
    <mergeCell ref="GK78:GK83"/>
    <mergeCell ref="GL78:GL83"/>
    <mergeCell ref="GM78:GM83"/>
    <mergeCell ref="GN78:GN83"/>
    <mergeCell ref="GO78:GO83"/>
    <mergeCell ref="GD78:GD83"/>
    <mergeCell ref="GE78:GE83"/>
    <mergeCell ref="GF78:GF83"/>
    <mergeCell ref="GG78:GG83"/>
    <mergeCell ref="GH78:GH83"/>
    <mergeCell ref="GI78:GI83"/>
    <mergeCell ref="HR78:HR83"/>
    <mergeCell ref="HS78:HS83"/>
    <mergeCell ref="HH78:HH83"/>
    <mergeCell ref="HI78:HI83"/>
    <mergeCell ref="HJ78:HJ83"/>
    <mergeCell ref="HK78:HK83"/>
    <mergeCell ref="HL78:HL83"/>
    <mergeCell ref="HM78:HM83"/>
    <mergeCell ref="HB78:HB83"/>
    <mergeCell ref="HC78:HC83"/>
    <mergeCell ref="HD78:HD83"/>
    <mergeCell ref="HE78:HE83"/>
    <mergeCell ref="HF78:HF83"/>
    <mergeCell ref="HG78:HG83"/>
    <mergeCell ref="GV78:GV83"/>
    <mergeCell ref="GW78:GW83"/>
    <mergeCell ref="GX78:GX83"/>
    <mergeCell ref="GY78:GY83"/>
    <mergeCell ref="GZ78:GZ83"/>
    <mergeCell ref="HA78:HA83"/>
    <mergeCell ref="IL78:IL83"/>
    <mergeCell ref="A79:D79"/>
    <mergeCell ref="E79:F79"/>
    <mergeCell ref="G79:H79"/>
    <mergeCell ref="I79:J79"/>
    <mergeCell ref="K79:L79"/>
    <mergeCell ref="A80:B80"/>
    <mergeCell ref="C80:D80"/>
    <mergeCell ref="E80:F80"/>
    <mergeCell ref="G80:H80"/>
    <mergeCell ref="IF78:IF83"/>
    <mergeCell ref="IG78:IG83"/>
    <mergeCell ref="IH78:IH83"/>
    <mergeCell ref="II78:II83"/>
    <mergeCell ref="IJ78:IJ83"/>
    <mergeCell ref="IK78:IK83"/>
    <mergeCell ref="HZ78:HZ83"/>
    <mergeCell ref="IA78:IA83"/>
    <mergeCell ref="IB78:IB83"/>
    <mergeCell ref="IC78:IC83"/>
    <mergeCell ref="ID78:ID83"/>
    <mergeCell ref="IE78:IE83"/>
    <mergeCell ref="HT78:HT83"/>
    <mergeCell ref="HU78:HU83"/>
    <mergeCell ref="HV78:HV83"/>
    <mergeCell ref="HW78:HW83"/>
    <mergeCell ref="HX78:HX83"/>
    <mergeCell ref="HY78:HY83"/>
    <mergeCell ref="HN78:HN83"/>
    <mergeCell ref="HO78:HO83"/>
    <mergeCell ref="HP78:HP83"/>
    <mergeCell ref="HQ78:HQ83"/>
    <mergeCell ref="C84:C86"/>
    <mergeCell ref="F84:F86"/>
    <mergeCell ref="G84:H84"/>
    <mergeCell ref="I84:L84"/>
    <mergeCell ref="G85:H85"/>
    <mergeCell ref="G86:H86"/>
    <mergeCell ref="G81:H81"/>
    <mergeCell ref="I81:J81"/>
    <mergeCell ref="K81:L81"/>
    <mergeCell ref="A82:A83"/>
    <mergeCell ref="B82:B83"/>
    <mergeCell ref="E82:F82"/>
    <mergeCell ref="G82:H82"/>
    <mergeCell ref="I82:J82"/>
    <mergeCell ref="K82:L82"/>
    <mergeCell ref="E83:F83"/>
    <mergeCell ref="R92:R97"/>
    <mergeCell ref="R78:R83"/>
    <mergeCell ref="S92:S97"/>
    <mergeCell ref="T92:T97"/>
    <mergeCell ref="U92:U97"/>
    <mergeCell ref="V92:V97"/>
    <mergeCell ref="W92:W97"/>
    <mergeCell ref="I92:L92"/>
    <mergeCell ref="M92:M97"/>
    <mergeCell ref="N92:N97"/>
    <mergeCell ref="O92:O97"/>
    <mergeCell ref="P92:P97"/>
    <mergeCell ref="Q92:Q97"/>
    <mergeCell ref="I94:J94"/>
    <mergeCell ref="K94:L94"/>
    <mergeCell ref="C87:C88"/>
    <mergeCell ref="G87:H87"/>
    <mergeCell ref="G88:H88"/>
    <mergeCell ref="A92:D92"/>
    <mergeCell ref="E92:F92"/>
    <mergeCell ref="G92:H92"/>
    <mergeCell ref="G97:H97"/>
    <mergeCell ref="I97:J97"/>
    <mergeCell ref="K97:L97"/>
    <mergeCell ref="AJ92:AJ97"/>
    <mergeCell ref="AK92:AK97"/>
    <mergeCell ref="AL92:AL97"/>
    <mergeCell ref="AM92:AM97"/>
    <mergeCell ref="AN92:AN97"/>
    <mergeCell ref="AO92:AO97"/>
    <mergeCell ref="AD92:AD97"/>
    <mergeCell ref="AE92:AE97"/>
    <mergeCell ref="AF92:AF97"/>
    <mergeCell ref="AG92:AG97"/>
    <mergeCell ref="AH92:AH97"/>
    <mergeCell ref="AI92:AI97"/>
    <mergeCell ref="X92:X97"/>
    <mergeCell ref="Y92:Y97"/>
    <mergeCell ref="Z92:Z97"/>
    <mergeCell ref="AA92:AA97"/>
    <mergeCell ref="AB92:AB97"/>
    <mergeCell ref="AC92:AC97"/>
    <mergeCell ref="BB92:BB97"/>
    <mergeCell ref="BC92:BC97"/>
    <mergeCell ref="BD92:BD97"/>
    <mergeCell ref="BE92:BE97"/>
    <mergeCell ref="BF92:BF97"/>
    <mergeCell ref="BG92:BG97"/>
    <mergeCell ref="AV92:AV97"/>
    <mergeCell ref="AW92:AW97"/>
    <mergeCell ref="AX92:AX97"/>
    <mergeCell ref="AY92:AY97"/>
    <mergeCell ref="AZ92:AZ97"/>
    <mergeCell ref="BA92:BA97"/>
    <mergeCell ref="AP92:AP97"/>
    <mergeCell ref="AQ92:AQ97"/>
    <mergeCell ref="AR92:AR97"/>
    <mergeCell ref="AS92:AS97"/>
    <mergeCell ref="AT92:AT97"/>
    <mergeCell ref="AU92:AU97"/>
    <mergeCell ref="BT92:BT97"/>
    <mergeCell ref="BU92:BU97"/>
    <mergeCell ref="BV92:BV97"/>
    <mergeCell ref="BW92:BW97"/>
    <mergeCell ref="BX92:BX97"/>
    <mergeCell ref="BY92:BY97"/>
    <mergeCell ref="BN92:BN97"/>
    <mergeCell ref="BO92:BO97"/>
    <mergeCell ref="BP92:BP97"/>
    <mergeCell ref="BQ92:BQ97"/>
    <mergeCell ref="BR92:BR97"/>
    <mergeCell ref="BS92:BS97"/>
    <mergeCell ref="BH92:BH97"/>
    <mergeCell ref="BI92:BI97"/>
    <mergeCell ref="BJ92:BJ97"/>
    <mergeCell ref="BK92:BK97"/>
    <mergeCell ref="BL92:BL97"/>
    <mergeCell ref="BM92:BM97"/>
    <mergeCell ref="CL92:CL97"/>
    <mergeCell ref="CM92:CM97"/>
    <mergeCell ref="CN92:CN97"/>
    <mergeCell ref="CO92:CO97"/>
    <mergeCell ref="CP92:CP97"/>
    <mergeCell ref="CQ92:CQ97"/>
    <mergeCell ref="CF92:CF97"/>
    <mergeCell ref="CG92:CG97"/>
    <mergeCell ref="CH92:CH97"/>
    <mergeCell ref="CI92:CI97"/>
    <mergeCell ref="CJ92:CJ97"/>
    <mergeCell ref="CK92:CK97"/>
    <mergeCell ref="BZ92:BZ97"/>
    <mergeCell ref="CA92:CA97"/>
    <mergeCell ref="CB92:CB97"/>
    <mergeCell ref="CC92:CC97"/>
    <mergeCell ref="CD92:CD97"/>
    <mergeCell ref="CE92:CE97"/>
    <mergeCell ref="DD92:DD97"/>
    <mergeCell ref="DE92:DE97"/>
    <mergeCell ref="DF92:DF97"/>
    <mergeCell ref="DG92:DG97"/>
    <mergeCell ref="DH92:DH97"/>
    <mergeCell ref="DI92:DI97"/>
    <mergeCell ref="CX92:CX97"/>
    <mergeCell ref="CY92:CY97"/>
    <mergeCell ref="CZ92:CZ97"/>
    <mergeCell ref="DA92:DA97"/>
    <mergeCell ref="DB92:DB97"/>
    <mergeCell ref="DC92:DC97"/>
    <mergeCell ref="CR92:CR97"/>
    <mergeCell ref="CS92:CS97"/>
    <mergeCell ref="CT92:CT97"/>
    <mergeCell ref="CU92:CU97"/>
    <mergeCell ref="CV92:CV97"/>
    <mergeCell ref="CW92:CW97"/>
    <mergeCell ref="DV92:DV97"/>
    <mergeCell ref="DW92:DW97"/>
    <mergeCell ref="DX92:DX97"/>
    <mergeCell ref="DY92:DY97"/>
    <mergeCell ref="DZ92:DZ97"/>
    <mergeCell ref="EA92:EA97"/>
    <mergeCell ref="DP92:DP97"/>
    <mergeCell ref="DQ92:DQ97"/>
    <mergeCell ref="DR92:DR97"/>
    <mergeCell ref="DS92:DS97"/>
    <mergeCell ref="DT92:DT97"/>
    <mergeCell ref="DU92:DU97"/>
    <mergeCell ref="DJ92:DJ97"/>
    <mergeCell ref="DK92:DK97"/>
    <mergeCell ref="DL92:DL97"/>
    <mergeCell ref="DM92:DM97"/>
    <mergeCell ref="DN92:DN97"/>
    <mergeCell ref="DO92:DO97"/>
    <mergeCell ref="EN92:EN97"/>
    <mergeCell ref="EO92:EO97"/>
    <mergeCell ref="EP92:EP97"/>
    <mergeCell ref="EQ92:EQ97"/>
    <mergeCell ref="ER92:ER97"/>
    <mergeCell ref="ES92:ES97"/>
    <mergeCell ref="EH92:EH97"/>
    <mergeCell ref="EI92:EI97"/>
    <mergeCell ref="EJ92:EJ97"/>
    <mergeCell ref="EK92:EK97"/>
    <mergeCell ref="EL92:EL97"/>
    <mergeCell ref="EM92:EM97"/>
    <mergeCell ref="EB92:EB97"/>
    <mergeCell ref="EC92:EC97"/>
    <mergeCell ref="ED92:ED97"/>
    <mergeCell ref="EE92:EE97"/>
    <mergeCell ref="EF92:EF97"/>
    <mergeCell ref="EG92:EG97"/>
    <mergeCell ref="FF92:FF97"/>
    <mergeCell ref="FG92:FG97"/>
    <mergeCell ref="FH92:FH97"/>
    <mergeCell ref="FI92:FI97"/>
    <mergeCell ref="FJ92:FJ97"/>
    <mergeCell ref="FK92:FK97"/>
    <mergeCell ref="EZ92:EZ97"/>
    <mergeCell ref="FA92:FA97"/>
    <mergeCell ref="FB92:FB97"/>
    <mergeCell ref="FC92:FC97"/>
    <mergeCell ref="FD92:FD97"/>
    <mergeCell ref="FE92:FE97"/>
    <mergeCell ref="ET92:ET97"/>
    <mergeCell ref="EU92:EU97"/>
    <mergeCell ref="EV92:EV97"/>
    <mergeCell ref="EW92:EW97"/>
    <mergeCell ref="EX92:EX97"/>
    <mergeCell ref="EY92:EY97"/>
    <mergeCell ref="FX92:FX97"/>
    <mergeCell ref="FY92:FY97"/>
    <mergeCell ref="FZ92:FZ97"/>
    <mergeCell ref="GA92:GA97"/>
    <mergeCell ref="GB92:GB97"/>
    <mergeCell ref="GC92:GC97"/>
    <mergeCell ref="FR92:FR97"/>
    <mergeCell ref="FS92:FS97"/>
    <mergeCell ref="FT92:FT97"/>
    <mergeCell ref="FU92:FU97"/>
    <mergeCell ref="FV92:FV97"/>
    <mergeCell ref="FW92:FW97"/>
    <mergeCell ref="FL92:FL97"/>
    <mergeCell ref="FM92:FM97"/>
    <mergeCell ref="FN92:FN97"/>
    <mergeCell ref="FO92:FO97"/>
    <mergeCell ref="FP92:FP97"/>
    <mergeCell ref="FQ92:FQ97"/>
    <mergeCell ref="GP92:GP97"/>
    <mergeCell ref="GQ92:GQ97"/>
    <mergeCell ref="GR92:GR97"/>
    <mergeCell ref="GS92:GS97"/>
    <mergeCell ref="GT92:GT97"/>
    <mergeCell ref="GU92:GU97"/>
    <mergeCell ref="GJ92:GJ97"/>
    <mergeCell ref="GK92:GK97"/>
    <mergeCell ref="GL92:GL97"/>
    <mergeCell ref="GM92:GM97"/>
    <mergeCell ref="GN92:GN97"/>
    <mergeCell ref="GO92:GO97"/>
    <mergeCell ref="GD92:GD97"/>
    <mergeCell ref="GE92:GE97"/>
    <mergeCell ref="GF92:GF97"/>
    <mergeCell ref="GG92:GG97"/>
    <mergeCell ref="GH92:GH97"/>
    <mergeCell ref="GI92:GI97"/>
    <mergeCell ref="HR92:HR97"/>
    <mergeCell ref="HS92:HS97"/>
    <mergeCell ref="HH92:HH97"/>
    <mergeCell ref="HI92:HI97"/>
    <mergeCell ref="HJ92:HJ97"/>
    <mergeCell ref="HK92:HK97"/>
    <mergeCell ref="HL92:HL97"/>
    <mergeCell ref="HM92:HM97"/>
    <mergeCell ref="HB92:HB97"/>
    <mergeCell ref="HC92:HC97"/>
    <mergeCell ref="HD92:HD97"/>
    <mergeCell ref="HE92:HE97"/>
    <mergeCell ref="HF92:HF97"/>
    <mergeCell ref="HG92:HG97"/>
    <mergeCell ref="GV92:GV97"/>
    <mergeCell ref="GW92:GW97"/>
    <mergeCell ref="GX92:GX97"/>
    <mergeCell ref="GY92:GY97"/>
    <mergeCell ref="GZ92:GZ97"/>
    <mergeCell ref="HA92:HA97"/>
    <mergeCell ref="IL92:IL97"/>
    <mergeCell ref="A93:D93"/>
    <mergeCell ref="E93:F93"/>
    <mergeCell ref="G93:H93"/>
    <mergeCell ref="I93:J93"/>
    <mergeCell ref="K93:L93"/>
    <mergeCell ref="A94:B94"/>
    <mergeCell ref="C94:D94"/>
    <mergeCell ref="E94:F94"/>
    <mergeCell ref="G94:H94"/>
    <mergeCell ref="IF92:IF97"/>
    <mergeCell ref="IG92:IG97"/>
    <mergeCell ref="IH92:IH97"/>
    <mergeCell ref="II92:II97"/>
    <mergeCell ref="IJ92:IJ97"/>
    <mergeCell ref="IK92:IK97"/>
    <mergeCell ref="HZ92:HZ97"/>
    <mergeCell ref="IA92:IA97"/>
    <mergeCell ref="IB92:IB97"/>
    <mergeCell ref="IC92:IC97"/>
    <mergeCell ref="ID92:ID97"/>
    <mergeCell ref="IE92:IE97"/>
    <mergeCell ref="HT92:HT97"/>
    <mergeCell ref="HU92:HU97"/>
    <mergeCell ref="HV92:HV97"/>
    <mergeCell ref="HW92:HW97"/>
    <mergeCell ref="HX92:HX97"/>
    <mergeCell ref="HY92:HY97"/>
    <mergeCell ref="HN92:HN97"/>
    <mergeCell ref="HO92:HO97"/>
    <mergeCell ref="HP92:HP97"/>
    <mergeCell ref="HQ92:HQ97"/>
    <mergeCell ref="C98:C100"/>
    <mergeCell ref="F98:F100"/>
    <mergeCell ref="G98:H98"/>
    <mergeCell ref="I98:L98"/>
    <mergeCell ref="G99:H99"/>
    <mergeCell ref="G100:H100"/>
    <mergeCell ref="G95:H95"/>
    <mergeCell ref="I95:J95"/>
    <mergeCell ref="K95:L95"/>
    <mergeCell ref="A96:A97"/>
    <mergeCell ref="B96:B97"/>
    <mergeCell ref="E96:F96"/>
    <mergeCell ref="G96:H96"/>
    <mergeCell ref="I96:J96"/>
    <mergeCell ref="K96:L96"/>
    <mergeCell ref="E97:F97"/>
    <mergeCell ref="R106:R111"/>
    <mergeCell ref="S106:S111"/>
    <mergeCell ref="T106:T111"/>
    <mergeCell ref="U106:U111"/>
    <mergeCell ref="V106:V111"/>
    <mergeCell ref="W106:W111"/>
    <mergeCell ref="I106:L106"/>
    <mergeCell ref="M106:M111"/>
    <mergeCell ref="N106:N111"/>
    <mergeCell ref="O106:O111"/>
    <mergeCell ref="P106:P111"/>
    <mergeCell ref="Q106:Q111"/>
    <mergeCell ref="I108:J108"/>
    <mergeCell ref="K108:L108"/>
    <mergeCell ref="C101:C102"/>
    <mergeCell ref="G101:H101"/>
    <mergeCell ref="G102:H102"/>
    <mergeCell ref="A106:D106"/>
    <mergeCell ref="E106:F106"/>
    <mergeCell ref="G106:H106"/>
    <mergeCell ref="G111:H111"/>
    <mergeCell ref="I111:J111"/>
    <mergeCell ref="K111:L111"/>
    <mergeCell ref="AJ106:AJ111"/>
    <mergeCell ref="AK106:AK111"/>
    <mergeCell ref="AL106:AL111"/>
    <mergeCell ref="AM106:AM111"/>
    <mergeCell ref="AN106:AN111"/>
    <mergeCell ref="AO106:AO111"/>
    <mergeCell ref="AD106:AD111"/>
    <mergeCell ref="AE106:AE111"/>
    <mergeCell ref="AF106:AF111"/>
    <mergeCell ref="AG106:AG111"/>
    <mergeCell ref="AH106:AH111"/>
    <mergeCell ref="AI106:AI111"/>
    <mergeCell ref="X106:X111"/>
    <mergeCell ref="Y106:Y111"/>
    <mergeCell ref="Z106:Z111"/>
    <mergeCell ref="AA106:AA111"/>
    <mergeCell ref="AB106:AB111"/>
    <mergeCell ref="AC106:AC111"/>
    <mergeCell ref="BB106:BB111"/>
    <mergeCell ref="BC106:BC111"/>
    <mergeCell ref="BD106:BD111"/>
    <mergeCell ref="BE106:BE111"/>
    <mergeCell ref="BF106:BF111"/>
    <mergeCell ref="BG106:BG111"/>
    <mergeCell ref="AV106:AV111"/>
    <mergeCell ref="AW106:AW111"/>
    <mergeCell ref="AX106:AX111"/>
    <mergeCell ref="AY106:AY111"/>
    <mergeCell ref="AZ106:AZ111"/>
    <mergeCell ref="BA106:BA111"/>
    <mergeCell ref="AP106:AP111"/>
    <mergeCell ref="AQ106:AQ111"/>
    <mergeCell ref="AR106:AR111"/>
    <mergeCell ref="AS106:AS111"/>
    <mergeCell ref="AT106:AT111"/>
    <mergeCell ref="AU106:AU111"/>
    <mergeCell ref="BT106:BT111"/>
    <mergeCell ref="BU106:BU111"/>
    <mergeCell ref="BV106:BV111"/>
    <mergeCell ref="BW106:BW111"/>
    <mergeCell ref="BX106:BX111"/>
    <mergeCell ref="BY106:BY111"/>
    <mergeCell ref="BN106:BN111"/>
    <mergeCell ref="BO106:BO111"/>
    <mergeCell ref="BP106:BP111"/>
    <mergeCell ref="BQ106:BQ111"/>
    <mergeCell ref="BR106:BR111"/>
    <mergeCell ref="BS106:BS111"/>
    <mergeCell ref="BH106:BH111"/>
    <mergeCell ref="BI106:BI111"/>
    <mergeCell ref="BJ106:BJ111"/>
    <mergeCell ref="BK106:BK111"/>
    <mergeCell ref="BL106:BL111"/>
    <mergeCell ref="BM106:BM111"/>
    <mergeCell ref="CL106:CL111"/>
    <mergeCell ref="CM106:CM111"/>
    <mergeCell ref="CN106:CN111"/>
    <mergeCell ref="CO106:CO111"/>
    <mergeCell ref="CP106:CP111"/>
    <mergeCell ref="CQ106:CQ111"/>
    <mergeCell ref="CF106:CF111"/>
    <mergeCell ref="CG106:CG111"/>
    <mergeCell ref="CH106:CH111"/>
    <mergeCell ref="CI106:CI111"/>
    <mergeCell ref="CJ106:CJ111"/>
    <mergeCell ref="CK106:CK111"/>
    <mergeCell ref="BZ106:BZ111"/>
    <mergeCell ref="CA106:CA111"/>
    <mergeCell ref="CB106:CB111"/>
    <mergeCell ref="CC106:CC111"/>
    <mergeCell ref="CD106:CD111"/>
    <mergeCell ref="CE106:CE111"/>
    <mergeCell ref="DD106:DD111"/>
    <mergeCell ref="DE106:DE111"/>
    <mergeCell ref="DF106:DF111"/>
    <mergeCell ref="DG106:DG111"/>
    <mergeCell ref="DH106:DH111"/>
    <mergeCell ref="DI106:DI111"/>
    <mergeCell ref="CX106:CX111"/>
    <mergeCell ref="CY106:CY111"/>
    <mergeCell ref="CZ106:CZ111"/>
    <mergeCell ref="DA106:DA111"/>
    <mergeCell ref="DB106:DB111"/>
    <mergeCell ref="DC106:DC111"/>
    <mergeCell ref="CR106:CR111"/>
    <mergeCell ref="CS106:CS111"/>
    <mergeCell ref="CT106:CT111"/>
    <mergeCell ref="CU106:CU111"/>
    <mergeCell ref="CV106:CV111"/>
    <mergeCell ref="CW106:CW111"/>
    <mergeCell ref="DV106:DV111"/>
    <mergeCell ref="DW106:DW111"/>
    <mergeCell ref="DX106:DX111"/>
    <mergeCell ref="DY106:DY111"/>
    <mergeCell ref="DZ106:DZ111"/>
    <mergeCell ref="EA106:EA111"/>
    <mergeCell ref="DP106:DP111"/>
    <mergeCell ref="DQ106:DQ111"/>
    <mergeCell ref="DR106:DR111"/>
    <mergeCell ref="DS106:DS111"/>
    <mergeCell ref="DT106:DT111"/>
    <mergeCell ref="DU106:DU111"/>
    <mergeCell ref="DJ106:DJ111"/>
    <mergeCell ref="DK106:DK111"/>
    <mergeCell ref="DL106:DL111"/>
    <mergeCell ref="DM106:DM111"/>
    <mergeCell ref="DN106:DN111"/>
    <mergeCell ref="DO106:DO111"/>
    <mergeCell ref="EN106:EN111"/>
    <mergeCell ref="EO106:EO111"/>
    <mergeCell ref="EP106:EP111"/>
    <mergeCell ref="EQ106:EQ111"/>
    <mergeCell ref="ER106:ER111"/>
    <mergeCell ref="ES106:ES111"/>
    <mergeCell ref="EH106:EH111"/>
    <mergeCell ref="EI106:EI111"/>
    <mergeCell ref="EJ106:EJ111"/>
    <mergeCell ref="EK106:EK111"/>
    <mergeCell ref="EL106:EL111"/>
    <mergeCell ref="EM106:EM111"/>
    <mergeCell ref="EB106:EB111"/>
    <mergeCell ref="EC106:EC111"/>
    <mergeCell ref="ED106:ED111"/>
    <mergeCell ref="EE106:EE111"/>
    <mergeCell ref="EF106:EF111"/>
    <mergeCell ref="EG106:EG111"/>
    <mergeCell ref="FF106:FF111"/>
    <mergeCell ref="FG106:FG111"/>
    <mergeCell ref="FH106:FH111"/>
    <mergeCell ref="FI106:FI111"/>
    <mergeCell ref="FJ106:FJ111"/>
    <mergeCell ref="FK106:FK111"/>
    <mergeCell ref="EZ106:EZ111"/>
    <mergeCell ref="FA106:FA111"/>
    <mergeCell ref="FB106:FB111"/>
    <mergeCell ref="FC106:FC111"/>
    <mergeCell ref="FD106:FD111"/>
    <mergeCell ref="FE106:FE111"/>
    <mergeCell ref="ET106:ET111"/>
    <mergeCell ref="EU106:EU111"/>
    <mergeCell ref="EV106:EV111"/>
    <mergeCell ref="EW106:EW111"/>
    <mergeCell ref="EX106:EX111"/>
    <mergeCell ref="EY106:EY111"/>
    <mergeCell ref="FX106:FX111"/>
    <mergeCell ref="FY106:FY111"/>
    <mergeCell ref="FZ106:FZ111"/>
    <mergeCell ref="GA106:GA111"/>
    <mergeCell ref="GB106:GB111"/>
    <mergeCell ref="GC106:GC111"/>
    <mergeCell ref="FR106:FR111"/>
    <mergeCell ref="FS106:FS111"/>
    <mergeCell ref="FT106:FT111"/>
    <mergeCell ref="FU106:FU111"/>
    <mergeCell ref="FV106:FV111"/>
    <mergeCell ref="FW106:FW111"/>
    <mergeCell ref="FL106:FL111"/>
    <mergeCell ref="FM106:FM111"/>
    <mergeCell ref="FN106:FN111"/>
    <mergeCell ref="FO106:FO111"/>
    <mergeCell ref="FP106:FP111"/>
    <mergeCell ref="FQ106:FQ111"/>
    <mergeCell ref="GP106:GP111"/>
    <mergeCell ref="GQ106:GQ111"/>
    <mergeCell ref="GR106:GR111"/>
    <mergeCell ref="GS106:GS111"/>
    <mergeCell ref="GT106:GT111"/>
    <mergeCell ref="GU106:GU111"/>
    <mergeCell ref="GJ106:GJ111"/>
    <mergeCell ref="GK106:GK111"/>
    <mergeCell ref="GL106:GL111"/>
    <mergeCell ref="GM106:GM111"/>
    <mergeCell ref="GN106:GN111"/>
    <mergeCell ref="GO106:GO111"/>
    <mergeCell ref="GD106:GD111"/>
    <mergeCell ref="GE106:GE111"/>
    <mergeCell ref="GF106:GF111"/>
    <mergeCell ref="GG106:GG111"/>
    <mergeCell ref="GH106:GH111"/>
    <mergeCell ref="GI106:GI111"/>
    <mergeCell ref="HR106:HR111"/>
    <mergeCell ref="HS106:HS111"/>
    <mergeCell ref="HH106:HH111"/>
    <mergeCell ref="HI106:HI111"/>
    <mergeCell ref="HJ106:HJ111"/>
    <mergeCell ref="HK106:HK111"/>
    <mergeCell ref="HL106:HL111"/>
    <mergeCell ref="HM106:HM111"/>
    <mergeCell ref="HB106:HB111"/>
    <mergeCell ref="HC106:HC111"/>
    <mergeCell ref="HD106:HD111"/>
    <mergeCell ref="HE106:HE111"/>
    <mergeCell ref="HF106:HF111"/>
    <mergeCell ref="HG106:HG111"/>
    <mergeCell ref="GV106:GV111"/>
    <mergeCell ref="GW106:GW111"/>
    <mergeCell ref="GX106:GX111"/>
    <mergeCell ref="GY106:GY111"/>
    <mergeCell ref="GZ106:GZ111"/>
    <mergeCell ref="HA106:HA111"/>
    <mergeCell ref="IL106:IL111"/>
    <mergeCell ref="A107:D107"/>
    <mergeCell ref="E107:F107"/>
    <mergeCell ref="G107:H107"/>
    <mergeCell ref="I107:J107"/>
    <mergeCell ref="K107:L107"/>
    <mergeCell ref="A108:B108"/>
    <mergeCell ref="C108:D108"/>
    <mergeCell ref="E108:F108"/>
    <mergeCell ref="G108:H108"/>
    <mergeCell ref="IF106:IF111"/>
    <mergeCell ref="IG106:IG111"/>
    <mergeCell ref="IH106:IH111"/>
    <mergeCell ref="II106:II111"/>
    <mergeCell ref="IJ106:IJ111"/>
    <mergeCell ref="IK106:IK111"/>
    <mergeCell ref="HZ106:HZ111"/>
    <mergeCell ref="IA106:IA111"/>
    <mergeCell ref="IB106:IB111"/>
    <mergeCell ref="IC106:IC111"/>
    <mergeCell ref="ID106:ID111"/>
    <mergeCell ref="IE106:IE111"/>
    <mergeCell ref="HT106:HT111"/>
    <mergeCell ref="HU106:HU111"/>
    <mergeCell ref="HV106:HV111"/>
    <mergeCell ref="HW106:HW111"/>
    <mergeCell ref="HX106:HX111"/>
    <mergeCell ref="HY106:HY111"/>
    <mergeCell ref="HN106:HN111"/>
    <mergeCell ref="HO106:HO111"/>
    <mergeCell ref="HP106:HP111"/>
    <mergeCell ref="HQ106:HQ111"/>
    <mergeCell ref="C112:C114"/>
    <mergeCell ref="F112:F114"/>
    <mergeCell ref="G112:H112"/>
    <mergeCell ref="I112:L112"/>
    <mergeCell ref="G113:H113"/>
    <mergeCell ref="G114:H114"/>
    <mergeCell ref="G109:H109"/>
    <mergeCell ref="I109:J109"/>
    <mergeCell ref="K109:L109"/>
    <mergeCell ref="A110:A111"/>
    <mergeCell ref="B110:B111"/>
    <mergeCell ref="E110:F110"/>
    <mergeCell ref="G110:H110"/>
    <mergeCell ref="I110:J110"/>
    <mergeCell ref="K110:L110"/>
    <mergeCell ref="E111:F111"/>
    <mergeCell ref="R120:R125"/>
    <mergeCell ref="S120:S125"/>
    <mergeCell ref="T120:T125"/>
    <mergeCell ref="U120:U125"/>
    <mergeCell ref="V120:V125"/>
    <mergeCell ref="W120:W125"/>
    <mergeCell ref="I120:L120"/>
    <mergeCell ref="M120:M125"/>
    <mergeCell ref="N120:N125"/>
    <mergeCell ref="O120:O125"/>
    <mergeCell ref="P120:P125"/>
    <mergeCell ref="Q120:Q125"/>
    <mergeCell ref="I122:J122"/>
    <mergeCell ref="K122:L122"/>
    <mergeCell ref="C115:C116"/>
    <mergeCell ref="G115:H115"/>
    <mergeCell ref="G116:H116"/>
    <mergeCell ref="A120:D120"/>
    <mergeCell ref="E120:F120"/>
    <mergeCell ref="G120:H120"/>
    <mergeCell ref="G125:H125"/>
    <mergeCell ref="I125:J125"/>
    <mergeCell ref="K125:L125"/>
    <mergeCell ref="AJ120:AJ125"/>
    <mergeCell ref="AK120:AK125"/>
    <mergeCell ref="AL120:AL125"/>
    <mergeCell ref="AM120:AM125"/>
    <mergeCell ref="AN120:AN125"/>
    <mergeCell ref="AO120:AO125"/>
    <mergeCell ref="AD120:AD125"/>
    <mergeCell ref="AE120:AE125"/>
    <mergeCell ref="AF120:AF125"/>
    <mergeCell ref="AG120:AG125"/>
    <mergeCell ref="AH120:AH125"/>
    <mergeCell ref="AI120:AI125"/>
    <mergeCell ref="X120:X125"/>
    <mergeCell ref="Y120:Y125"/>
    <mergeCell ref="Z120:Z125"/>
    <mergeCell ref="AA120:AA125"/>
    <mergeCell ref="AB120:AB125"/>
    <mergeCell ref="AC120:AC125"/>
    <mergeCell ref="BB120:BB125"/>
    <mergeCell ref="BC120:BC125"/>
    <mergeCell ref="BD120:BD125"/>
    <mergeCell ref="BE120:BE125"/>
    <mergeCell ref="BF120:BF125"/>
    <mergeCell ref="BG120:BG125"/>
    <mergeCell ref="AV120:AV125"/>
    <mergeCell ref="AW120:AW125"/>
    <mergeCell ref="AX120:AX125"/>
    <mergeCell ref="AY120:AY125"/>
    <mergeCell ref="AZ120:AZ125"/>
    <mergeCell ref="BA120:BA125"/>
    <mergeCell ref="AP120:AP125"/>
    <mergeCell ref="AQ120:AQ125"/>
    <mergeCell ref="AR120:AR125"/>
    <mergeCell ref="AS120:AS125"/>
    <mergeCell ref="AT120:AT125"/>
    <mergeCell ref="AU120:AU125"/>
    <mergeCell ref="BT120:BT125"/>
    <mergeCell ref="BU120:BU125"/>
    <mergeCell ref="BV120:BV125"/>
    <mergeCell ref="BW120:BW125"/>
    <mergeCell ref="BX120:BX125"/>
    <mergeCell ref="BY120:BY125"/>
    <mergeCell ref="BN120:BN125"/>
    <mergeCell ref="BO120:BO125"/>
    <mergeCell ref="BP120:BP125"/>
    <mergeCell ref="BQ120:BQ125"/>
    <mergeCell ref="BR120:BR125"/>
    <mergeCell ref="BS120:BS125"/>
    <mergeCell ref="BH120:BH125"/>
    <mergeCell ref="BI120:BI125"/>
    <mergeCell ref="BJ120:BJ125"/>
    <mergeCell ref="BK120:BK125"/>
    <mergeCell ref="BL120:BL125"/>
    <mergeCell ref="BM120:BM125"/>
    <mergeCell ref="CL120:CL125"/>
    <mergeCell ref="CM120:CM125"/>
    <mergeCell ref="CN120:CN125"/>
    <mergeCell ref="CO120:CO125"/>
    <mergeCell ref="CP120:CP125"/>
    <mergeCell ref="CQ120:CQ125"/>
    <mergeCell ref="CF120:CF125"/>
    <mergeCell ref="CG120:CG125"/>
    <mergeCell ref="CH120:CH125"/>
    <mergeCell ref="CI120:CI125"/>
    <mergeCell ref="CJ120:CJ125"/>
    <mergeCell ref="CK120:CK125"/>
    <mergeCell ref="BZ120:BZ125"/>
    <mergeCell ref="CA120:CA125"/>
    <mergeCell ref="CB120:CB125"/>
    <mergeCell ref="CC120:CC125"/>
    <mergeCell ref="CD120:CD125"/>
    <mergeCell ref="CE120:CE125"/>
    <mergeCell ref="DD120:DD125"/>
    <mergeCell ref="DE120:DE125"/>
    <mergeCell ref="DF120:DF125"/>
    <mergeCell ref="DG120:DG125"/>
    <mergeCell ref="DH120:DH125"/>
    <mergeCell ref="DI120:DI125"/>
    <mergeCell ref="CX120:CX125"/>
    <mergeCell ref="CY120:CY125"/>
    <mergeCell ref="CZ120:CZ125"/>
    <mergeCell ref="DA120:DA125"/>
    <mergeCell ref="DB120:DB125"/>
    <mergeCell ref="DC120:DC125"/>
    <mergeCell ref="CR120:CR125"/>
    <mergeCell ref="CS120:CS125"/>
    <mergeCell ref="CT120:CT125"/>
    <mergeCell ref="CU120:CU125"/>
    <mergeCell ref="CV120:CV125"/>
    <mergeCell ref="CW120:CW125"/>
    <mergeCell ref="DV120:DV125"/>
    <mergeCell ref="DW120:DW125"/>
    <mergeCell ref="DX120:DX125"/>
    <mergeCell ref="DY120:DY125"/>
    <mergeCell ref="DZ120:DZ125"/>
    <mergeCell ref="EA120:EA125"/>
    <mergeCell ref="DP120:DP125"/>
    <mergeCell ref="DQ120:DQ125"/>
    <mergeCell ref="DR120:DR125"/>
    <mergeCell ref="DS120:DS125"/>
    <mergeCell ref="DT120:DT125"/>
    <mergeCell ref="DU120:DU125"/>
    <mergeCell ref="DJ120:DJ125"/>
    <mergeCell ref="DK120:DK125"/>
    <mergeCell ref="DL120:DL125"/>
    <mergeCell ref="DM120:DM125"/>
    <mergeCell ref="DN120:DN125"/>
    <mergeCell ref="DO120:DO125"/>
    <mergeCell ref="EN120:EN125"/>
    <mergeCell ref="EO120:EO125"/>
    <mergeCell ref="EP120:EP125"/>
    <mergeCell ref="EQ120:EQ125"/>
    <mergeCell ref="ER120:ER125"/>
    <mergeCell ref="ES120:ES125"/>
    <mergeCell ref="EH120:EH125"/>
    <mergeCell ref="EI120:EI125"/>
    <mergeCell ref="EJ120:EJ125"/>
    <mergeCell ref="EK120:EK125"/>
    <mergeCell ref="EL120:EL125"/>
    <mergeCell ref="EM120:EM125"/>
    <mergeCell ref="EB120:EB125"/>
    <mergeCell ref="EC120:EC125"/>
    <mergeCell ref="ED120:ED125"/>
    <mergeCell ref="EE120:EE125"/>
    <mergeCell ref="EF120:EF125"/>
    <mergeCell ref="EG120:EG125"/>
    <mergeCell ref="FF120:FF125"/>
    <mergeCell ref="FG120:FG125"/>
    <mergeCell ref="FH120:FH125"/>
    <mergeCell ref="FI120:FI125"/>
    <mergeCell ref="FJ120:FJ125"/>
    <mergeCell ref="FK120:FK125"/>
    <mergeCell ref="EZ120:EZ125"/>
    <mergeCell ref="FA120:FA125"/>
    <mergeCell ref="FB120:FB125"/>
    <mergeCell ref="FC120:FC125"/>
    <mergeCell ref="FD120:FD125"/>
    <mergeCell ref="FE120:FE125"/>
    <mergeCell ref="ET120:ET125"/>
    <mergeCell ref="EU120:EU125"/>
    <mergeCell ref="EV120:EV125"/>
    <mergeCell ref="EW120:EW125"/>
    <mergeCell ref="EX120:EX125"/>
    <mergeCell ref="EY120:EY125"/>
    <mergeCell ref="FX120:FX125"/>
    <mergeCell ref="FY120:FY125"/>
    <mergeCell ref="FZ120:FZ125"/>
    <mergeCell ref="GA120:GA125"/>
    <mergeCell ref="GB120:GB125"/>
    <mergeCell ref="GC120:GC125"/>
    <mergeCell ref="FR120:FR125"/>
    <mergeCell ref="FS120:FS125"/>
    <mergeCell ref="FT120:FT125"/>
    <mergeCell ref="FU120:FU125"/>
    <mergeCell ref="FV120:FV125"/>
    <mergeCell ref="FW120:FW125"/>
    <mergeCell ref="FL120:FL125"/>
    <mergeCell ref="FM120:FM125"/>
    <mergeCell ref="FN120:FN125"/>
    <mergeCell ref="FO120:FO125"/>
    <mergeCell ref="FP120:FP125"/>
    <mergeCell ref="FQ120:FQ125"/>
    <mergeCell ref="GP120:GP125"/>
    <mergeCell ref="GQ120:GQ125"/>
    <mergeCell ref="GR120:GR125"/>
    <mergeCell ref="GS120:GS125"/>
    <mergeCell ref="GT120:GT125"/>
    <mergeCell ref="GU120:GU125"/>
    <mergeCell ref="GJ120:GJ125"/>
    <mergeCell ref="GK120:GK125"/>
    <mergeCell ref="GL120:GL125"/>
    <mergeCell ref="GM120:GM125"/>
    <mergeCell ref="GN120:GN125"/>
    <mergeCell ref="GO120:GO125"/>
    <mergeCell ref="GD120:GD125"/>
    <mergeCell ref="GE120:GE125"/>
    <mergeCell ref="GF120:GF125"/>
    <mergeCell ref="GG120:GG125"/>
    <mergeCell ref="GH120:GH125"/>
    <mergeCell ref="GI120:GI125"/>
    <mergeCell ref="HR120:HR125"/>
    <mergeCell ref="HS120:HS125"/>
    <mergeCell ref="HH120:HH125"/>
    <mergeCell ref="HI120:HI125"/>
    <mergeCell ref="HJ120:HJ125"/>
    <mergeCell ref="HK120:HK125"/>
    <mergeCell ref="HL120:HL125"/>
    <mergeCell ref="HM120:HM125"/>
    <mergeCell ref="HB120:HB125"/>
    <mergeCell ref="HC120:HC125"/>
    <mergeCell ref="HD120:HD125"/>
    <mergeCell ref="HE120:HE125"/>
    <mergeCell ref="HF120:HF125"/>
    <mergeCell ref="HG120:HG125"/>
    <mergeCell ref="GV120:GV125"/>
    <mergeCell ref="GW120:GW125"/>
    <mergeCell ref="GX120:GX125"/>
    <mergeCell ref="GY120:GY125"/>
    <mergeCell ref="GZ120:GZ125"/>
    <mergeCell ref="HA120:HA125"/>
    <mergeCell ref="IL120:IL125"/>
    <mergeCell ref="A121:D121"/>
    <mergeCell ref="E121:F121"/>
    <mergeCell ref="G121:H121"/>
    <mergeCell ref="I121:J121"/>
    <mergeCell ref="K121:L121"/>
    <mergeCell ref="A122:B122"/>
    <mergeCell ref="C122:D122"/>
    <mergeCell ref="E122:F122"/>
    <mergeCell ref="G122:H122"/>
    <mergeCell ref="IF120:IF125"/>
    <mergeCell ref="IG120:IG125"/>
    <mergeCell ref="IH120:IH125"/>
    <mergeCell ref="II120:II125"/>
    <mergeCell ref="IJ120:IJ125"/>
    <mergeCell ref="IK120:IK125"/>
    <mergeCell ref="HZ120:HZ125"/>
    <mergeCell ref="IA120:IA125"/>
    <mergeCell ref="IB120:IB125"/>
    <mergeCell ref="IC120:IC125"/>
    <mergeCell ref="ID120:ID125"/>
    <mergeCell ref="IE120:IE125"/>
    <mergeCell ref="HT120:HT125"/>
    <mergeCell ref="HU120:HU125"/>
    <mergeCell ref="HV120:HV125"/>
    <mergeCell ref="HW120:HW125"/>
    <mergeCell ref="HX120:HX125"/>
    <mergeCell ref="HY120:HY125"/>
    <mergeCell ref="HN120:HN125"/>
    <mergeCell ref="HO120:HO125"/>
    <mergeCell ref="HP120:HP125"/>
    <mergeCell ref="HQ120:HQ125"/>
    <mergeCell ref="C126:C128"/>
    <mergeCell ref="F126:F128"/>
    <mergeCell ref="G126:H126"/>
    <mergeCell ref="I126:L126"/>
    <mergeCell ref="G127:H127"/>
    <mergeCell ref="G128:H128"/>
    <mergeCell ref="G123:H123"/>
    <mergeCell ref="I123:J123"/>
    <mergeCell ref="K123:L123"/>
    <mergeCell ref="A124:A125"/>
    <mergeCell ref="B124:B125"/>
    <mergeCell ref="E124:F124"/>
    <mergeCell ref="G124:H124"/>
    <mergeCell ref="I124:J124"/>
    <mergeCell ref="K124:L124"/>
    <mergeCell ref="E125:F125"/>
    <mergeCell ref="R134:R139"/>
    <mergeCell ref="S134:S139"/>
    <mergeCell ref="T134:T139"/>
    <mergeCell ref="U134:U139"/>
    <mergeCell ref="V134:V139"/>
    <mergeCell ref="W134:W139"/>
    <mergeCell ref="I134:L134"/>
    <mergeCell ref="M134:M139"/>
    <mergeCell ref="N134:N139"/>
    <mergeCell ref="O134:O139"/>
    <mergeCell ref="P134:P139"/>
    <mergeCell ref="Q134:Q139"/>
    <mergeCell ref="I136:J136"/>
    <mergeCell ref="K136:L136"/>
    <mergeCell ref="C129:C130"/>
    <mergeCell ref="G129:H129"/>
    <mergeCell ref="G130:H130"/>
    <mergeCell ref="A134:D134"/>
    <mergeCell ref="E134:F134"/>
    <mergeCell ref="G134:H134"/>
    <mergeCell ref="AJ134:AJ139"/>
    <mergeCell ref="AK134:AK139"/>
    <mergeCell ref="AL134:AL139"/>
    <mergeCell ref="AM134:AM139"/>
    <mergeCell ref="AN134:AN139"/>
    <mergeCell ref="AO134:AO139"/>
    <mergeCell ref="AD134:AD139"/>
    <mergeCell ref="AE134:AE139"/>
    <mergeCell ref="AF134:AF139"/>
    <mergeCell ref="AG134:AG139"/>
    <mergeCell ref="AH134:AH139"/>
    <mergeCell ref="AI134:AI139"/>
    <mergeCell ref="X134:X139"/>
    <mergeCell ref="Y134:Y139"/>
    <mergeCell ref="Z134:Z139"/>
    <mergeCell ref="AA134:AA139"/>
    <mergeCell ref="AB134:AB139"/>
    <mergeCell ref="AC134:AC139"/>
    <mergeCell ref="BB134:BB139"/>
    <mergeCell ref="BC134:BC139"/>
    <mergeCell ref="BD134:BD139"/>
    <mergeCell ref="BE134:BE139"/>
    <mergeCell ref="BF134:BF139"/>
    <mergeCell ref="BG134:BG139"/>
    <mergeCell ref="AV134:AV139"/>
    <mergeCell ref="AW134:AW139"/>
    <mergeCell ref="AX134:AX139"/>
    <mergeCell ref="AY134:AY139"/>
    <mergeCell ref="AZ134:AZ139"/>
    <mergeCell ref="BA134:BA139"/>
    <mergeCell ref="AP134:AP139"/>
    <mergeCell ref="AQ134:AQ139"/>
    <mergeCell ref="AR134:AR139"/>
    <mergeCell ref="AS134:AS139"/>
    <mergeCell ref="AT134:AT139"/>
    <mergeCell ref="AU134:AU139"/>
    <mergeCell ref="BT134:BT139"/>
    <mergeCell ref="BU134:BU139"/>
    <mergeCell ref="BV134:BV139"/>
    <mergeCell ref="BW134:BW139"/>
    <mergeCell ref="BX134:BX139"/>
    <mergeCell ref="BY134:BY139"/>
    <mergeCell ref="BN134:BN139"/>
    <mergeCell ref="BO134:BO139"/>
    <mergeCell ref="BP134:BP139"/>
    <mergeCell ref="BQ134:BQ139"/>
    <mergeCell ref="BR134:BR139"/>
    <mergeCell ref="BS134:BS139"/>
    <mergeCell ref="BH134:BH139"/>
    <mergeCell ref="BI134:BI139"/>
    <mergeCell ref="BJ134:BJ139"/>
    <mergeCell ref="BK134:BK139"/>
    <mergeCell ref="BL134:BL139"/>
    <mergeCell ref="BM134:BM139"/>
    <mergeCell ref="CL134:CL139"/>
    <mergeCell ref="CM134:CM139"/>
    <mergeCell ref="CN134:CN139"/>
    <mergeCell ref="CO134:CO139"/>
    <mergeCell ref="CP134:CP139"/>
    <mergeCell ref="CQ134:CQ139"/>
    <mergeCell ref="CF134:CF139"/>
    <mergeCell ref="CG134:CG139"/>
    <mergeCell ref="CH134:CH139"/>
    <mergeCell ref="CI134:CI139"/>
    <mergeCell ref="CJ134:CJ139"/>
    <mergeCell ref="CK134:CK139"/>
    <mergeCell ref="BZ134:BZ139"/>
    <mergeCell ref="CA134:CA139"/>
    <mergeCell ref="CB134:CB139"/>
    <mergeCell ref="CC134:CC139"/>
    <mergeCell ref="CD134:CD139"/>
    <mergeCell ref="CE134:CE139"/>
    <mergeCell ref="DD134:DD139"/>
    <mergeCell ref="DE134:DE139"/>
    <mergeCell ref="DF134:DF139"/>
    <mergeCell ref="DG134:DG139"/>
    <mergeCell ref="DH134:DH139"/>
    <mergeCell ref="DI134:DI139"/>
    <mergeCell ref="CX134:CX139"/>
    <mergeCell ref="CY134:CY139"/>
    <mergeCell ref="CZ134:CZ139"/>
    <mergeCell ref="DA134:DA139"/>
    <mergeCell ref="DB134:DB139"/>
    <mergeCell ref="DC134:DC139"/>
    <mergeCell ref="CR134:CR139"/>
    <mergeCell ref="CS134:CS139"/>
    <mergeCell ref="CT134:CT139"/>
    <mergeCell ref="CU134:CU139"/>
    <mergeCell ref="CV134:CV139"/>
    <mergeCell ref="CW134:CW139"/>
    <mergeCell ref="DV134:DV139"/>
    <mergeCell ref="DW134:DW139"/>
    <mergeCell ref="DX134:DX139"/>
    <mergeCell ref="DY134:DY139"/>
    <mergeCell ref="DZ134:DZ139"/>
    <mergeCell ref="EA134:EA139"/>
    <mergeCell ref="DP134:DP139"/>
    <mergeCell ref="DQ134:DQ139"/>
    <mergeCell ref="DR134:DR139"/>
    <mergeCell ref="DS134:DS139"/>
    <mergeCell ref="DT134:DT139"/>
    <mergeCell ref="DU134:DU139"/>
    <mergeCell ref="DJ134:DJ139"/>
    <mergeCell ref="DK134:DK139"/>
    <mergeCell ref="DL134:DL139"/>
    <mergeCell ref="DM134:DM139"/>
    <mergeCell ref="DN134:DN139"/>
    <mergeCell ref="DO134:DO139"/>
    <mergeCell ref="EN134:EN139"/>
    <mergeCell ref="EO134:EO139"/>
    <mergeCell ref="EP134:EP139"/>
    <mergeCell ref="EQ134:EQ139"/>
    <mergeCell ref="ER134:ER139"/>
    <mergeCell ref="ES134:ES139"/>
    <mergeCell ref="EH134:EH139"/>
    <mergeCell ref="EI134:EI139"/>
    <mergeCell ref="EJ134:EJ139"/>
    <mergeCell ref="EK134:EK139"/>
    <mergeCell ref="EL134:EL139"/>
    <mergeCell ref="EM134:EM139"/>
    <mergeCell ref="EB134:EB139"/>
    <mergeCell ref="EC134:EC139"/>
    <mergeCell ref="ED134:ED139"/>
    <mergeCell ref="EE134:EE139"/>
    <mergeCell ref="EF134:EF139"/>
    <mergeCell ref="EG134:EG139"/>
    <mergeCell ref="FF134:FF139"/>
    <mergeCell ref="FG134:FG139"/>
    <mergeCell ref="FH134:FH139"/>
    <mergeCell ref="FI134:FI139"/>
    <mergeCell ref="FJ134:FJ139"/>
    <mergeCell ref="FK134:FK139"/>
    <mergeCell ref="EZ134:EZ139"/>
    <mergeCell ref="FA134:FA139"/>
    <mergeCell ref="FB134:FB139"/>
    <mergeCell ref="FC134:FC139"/>
    <mergeCell ref="FD134:FD139"/>
    <mergeCell ref="FE134:FE139"/>
    <mergeCell ref="ET134:ET139"/>
    <mergeCell ref="EU134:EU139"/>
    <mergeCell ref="EV134:EV139"/>
    <mergeCell ref="EW134:EW139"/>
    <mergeCell ref="EX134:EX139"/>
    <mergeCell ref="EY134:EY139"/>
    <mergeCell ref="FX134:FX139"/>
    <mergeCell ref="FY134:FY139"/>
    <mergeCell ref="FZ134:FZ139"/>
    <mergeCell ref="GA134:GA139"/>
    <mergeCell ref="GB134:GB139"/>
    <mergeCell ref="GC134:GC139"/>
    <mergeCell ref="FR134:FR139"/>
    <mergeCell ref="FS134:FS139"/>
    <mergeCell ref="FT134:FT139"/>
    <mergeCell ref="FU134:FU139"/>
    <mergeCell ref="FV134:FV139"/>
    <mergeCell ref="FW134:FW139"/>
    <mergeCell ref="FL134:FL139"/>
    <mergeCell ref="FM134:FM139"/>
    <mergeCell ref="FN134:FN139"/>
    <mergeCell ref="FO134:FO139"/>
    <mergeCell ref="FP134:FP139"/>
    <mergeCell ref="FQ134:FQ139"/>
    <mergeCell ref="GP134:GP139"/>
    <mergeCell ref="GQ134:GQ139"/>
    <mergeCell ref="GR134:GR139"/>
    <mergeCell ref="GS134:GS139"/>
    <mergeCell ref="GT134:GT139"/>
    <mergeCell ref="GU134:GU139"/>
    <mergeCell ref="GJ134:GJ139"/>
    <mergeCell ref="GK134:GK139"/>
    <mergeCell ref="GL134:GL139"/>
    <mergeCell ref="GM134:GM139"/>
    <mergeCell ref="GN134:GN139"/>
    <mergeCell ref="GO134:GO139"/>
    <mergeCell ref="GD134:GD139"/>
    <mergeCell ref="GE134:GE139"/>
    <mergeCell ref="GF134:GF139"/>
    <mergeCell ref="GG134:GG139"/>
    <mergeCell ref="GH134:GH139"/>
    <mergeCell ref="GI134:GI139"/>
    <mergeCell ref="HR134:HR139"/>
    <mergeCell ref="HS134:HS139"/>
    <mergeCell ref="HH134:HH139"/>
    <mergeCell ref="HI134:HI139"/>
    <mergeCell ref="HJ134:HJ139"/>
    <mergeCell ref="HK134:HK139"/>
    <mergeCell ref="HL134:HL139"/>
    <mergeCell ref="HM134:HM139"/>
    <mergeCell ref="HB134:HB139"/>
    <mergeCell ref="HC134:HC139"/>
    <mergeCell ref="HD134:HD139"/>
    <mergeCell ref="HE134:HE139"/>
    <mergeCell ref="HF134:HF139"/>
    <mergeCell ref="HG134:HG139"/>
    <mergeCell ref="GV134:GV139"/>
    <mergeCell ref="GW134:GW139"/>
    <mergeCell ref="GX134:GX139"/>
    <mergeCell ref="GY134:GY139"/>
    <mergeCell ref="GZ134:GZ139"/>
    <mergeCell ref="HA134:HA139"/>
    <mergeCell ref="IL134:IL139"/>
    <mergeCell ref="A135:D135"/>
    <mergeCell ref="E135:F135"/>
    <mergeCell ref="G135:H135"/>
    <mergeCell ref="I135:J135"/>
    <mergeCell ref="K135:L135"/>
    <mergeCell ref="A136:B136"/>
    <mergeCell ref="C136:D136"/>
    <mergeCell ref="E136:F136"/>
    <mergeCell ref="G136:H136"/>
    <mergeCell ref="IF134:IF139"/>
    <mergeCell ref="IG134:IG139"/>
    <mergeCell ref="IH134:IH139"/>
    <mergeCell ref="II134:II139"/>
    <mergeCell ref="IJ134:IJ139"/>
    <mergeCell ref="IK134:IK139"/>
    <mergeCell ref="HZ134:HZ139"/>
    <mergeCell ref="IA134:IA139"/>
    <mergeCell ref="IB134:IB139"/>
    <mergeCell ref="IC134:IC139"/>
    <mergeCell ref="ID134:ID139"/>
    <mergeCell ref="IE134:IE139"/>
    <mergeCell ref="HT134:HT139"/>
    <mergeCell ref="HU134:HU139"/>
    <mergeCell ref="HV134:HV139"/>
    <mergeCell ref="HW134:HW139"/>
    <mergeCell ref="HX134:HX139"/>
    <mergeCell ref="HY134:HY139"/>
    <mergeCell ref="HN134:HN139"/>
    <mergeCell ref="HO134:HO139"/>
    <mergeCell ref="HP134:HP139"/>
    <mergeCell ref="HQ134:HQ139"/>
    <mergeCell ref="C143:C144"/>
    <mergeCell ref="G143:H143"/>
    <mergeCell ref="G144:H144"/>
    <mergeCell ref="G139:H139"/>
    <mergeCell ref="I139:J139"/>
    <mergeCell ref="K139:L139"/>
    <mergeCell ref="C140:C142"/>
    <mergeCell ref="F140:F142"/>
    <mergeCell ref="G140:H140"/>
    <mergeCell ref="I140:L140"/>
    <mergeCell ref="G141:H141"/>
    <mergeCell ref="G142:H142"/>
    <mergeCell ref="G137:H137"/>
    <mergeCell ref="I137:J137"/>
    <mergeCell ref="K137:L137"/>
    <mergeCell ref="A138:A139"/>
    <mergeCell ref="B138:B139"/>
    <mergeCell ref="E138:F138"/>
    <mergeCell ref="G138:H138"/>
    <mergeCell ref="I138:J138"/>
    <mergeCell ref="K138:L138"/>
    <mergeCell ref="E139:F139"/>
  </mergeCells>
  <phoneticPr fontId="50"/>
  <dataValidations count="5">
    <dataValidation type="list" operator="equal" allowBlank="1" showErrorMessage="1" sqref="I18:L18 K27 I65:L65 I79:L79 I93:L93 I107:L107 I121:L121 I135:L135" xr:uid="{1762D56C-A7D1-41A8-82FD-FBC88C995221}">
      <formula1>"-,混乱,制止,継続,操作,目標操作,複製,火炎放射器,ワイヤートラップ,スタンガン"</formula1>
    </dataValidation>
    <dataValidation type="list" operator="equal" allowBlank="1" sqref="H22 H69 H83 H97 H111 H125 H139" xr:uid="{AE47A4B6-3A52-481A-BDCB-9A3B3E3B08B0}">
      <formula1>NA()</formula1>
    </dataValidation>
    <dataValidation operator="equal" allowBlank="1" showErrorMessage="1" sqref="J27 K28:K29" xr:uid="{DDDACA8A-113B-4F28-9287-D53C1555B456}">
      <formula1>0</formula1>
    </dataValidation>
    <dataValidation type="list" operator="equal" allowBlank="1" showErrorMessage="1" sqref="J28:J29" xr:uid="{E207B5CE-FFA6-4E53-89CF-2873A615A246}">
      <formula1>"－,2,1"</formula1>
    </dataValidation>
    <dataValidation operator="equal" showErrorMessage="1" sqref="M30:R30 C29:C34 F29:F34 G30:H34 I31:L32" xr:uid="{0F5E21D2-D5EF-4337-8A40-4C1B1BC0EC65}">
      <formula1>0</formula1>
    </dataValidation>
  </dataValidations>
  <pageMargins left="0.78749999999999998" right="0.78749999999999998" top="1.0527777777777778" bottom="1.0527777777777778" header="0.78749999999999998" footer="0.78749999999999998"/>
  <pageSetup paperSize="9" orientation="portrait" horizontalDpi="300" verticalDpi="300"/>
  <headerFooter scaleWithDoc="0" alignWithMargins="0">
    <oddHeader>&amp;C&amp;"Times New Roman,標準"&amp;12&amp;A</oddHeader>
    <oddFooter>&amp;C&amp;"Times New Roman,標準"&amp;12ページ &amp;P</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04FACE-67CE-4A59-8D70-4B7895346982}">
  <sheetPr codeName="Sheet10"/>
  <dimension ref="A1:SO65409"/>
  <sheetViews>
    <sheetView zoomScale="120" zoomScaleNormal="120" workbookViewId="0">
      <pane ySplit="13" topLeftCell="A14" activePane="bottomLeft" state="frozen"/>
      <selection pane="bottomLeft"/>
    </sheetView>
  </sheetViews>
  <sheetFormatPr defaultColWidth="6.5703125" defaultRowHeight="14.1" customHeight="1" x14ac:dyDescent="0.15"/>
  <cols>
    <col min="1" max="17" width="6.5703125" style="301"/>
    <col min="18" max="18" width="6.5703125" style="301" customWidth="1"/>
    <col min="19" max="16384" width="6.5703125" style="301"/>
  </cols>
  <sheetData>
    <row r="1" spans="1:509" ht="13.9" customHeight="1" thickBot="1" x14ac:dyDescent="0.2">
      <c r="B1" s="302"/>
      <c r="C1" s="302"/>
      <c r="D1" s="302"/>
      <c r="E1" s="302"/>
      <c r="F1" s="302"/>
      <c r="G1" s="302"/>
      <c r="H1" s="302"/>
      <c r="I1" s="302"/>
      <c r="J1" s="302"/>
      <c r="K1" s="302"/>
      <c r="L1" s="302"/>
      <c r="M1" s="302"/>
      <c r="N1" s="302"/>
      <c r="O1" s="302"/>
      <c r="P1" s="302"/>
      <c r="Q1" s="302"/>
      <c r="R1" s="302"/>
      <c r="S1" s="302"/>
      <c r="T1" s="302"/>
      <c r="U1" s="302"/>
    </row>
    <row r="2" spans="1:509" ht="13.9" customHeight="1" thickBot="1" x14ac:dyDescent="0.2">
      <c r="B2" s="302"/>
      <c r="C2" s="1027" t="s">
        <v>435</v>
      </c>
      <c r="D2" s="1028"/>
      <c r="E2" s="1027" t="s">
        <v>453</v>
      </c>
      <c r="F2" s="1028"/>
      <c r="G2" s="1029" t="s">
        <v>1</v>
      </c>
      <c r="H2" s="1030"/>
      <c r="I2" s="1017" t="s">
        <v>439</v>
      </c>
      <c r="J2" s="594" t="str">
        <f>キャラシート!C31&amp;"+"&amp;キャラシート!D31&amp;"D6"</f>
        <v>6+1D6</v>
      </c>
      <c r="K2" s="1017" t="s">
        <v>442</v>
      </c>
      <c r="L2" s="394" t="str">
        <f>キャラシート!C33&amp;"+"&amp;キャラシート!D33&amp;"D6"</f>
        <v>7+1D6</v>
      </c>
      <c r="M2" s="1017" t="s">
        <v>445</v>
      </c>
      <c r="N2" s="394" t="str">
        <f>キャラシート!C35&amp;"+"&amp;キャラシート!D35&amp;"D6"</f>
        <v>7+1D6</v>
      </c>
      <c r="O2" s="375" t="s">
        <v>674</v>
      </c>
      <c r="P2" s="595" t="s">
        <v>675</v>
      </c>
      <c r="Q2" s="376" t="s">
        <v>300</v>
      </c>
      <c r="R2" s="377" t="s">
        <v>674</v>
      </c>
      <c r="S2" s="376" t="s">
        <v>675</v>
      </c>
      <c r="T2" s="378" t="s">
        <v>300</v>
      </c>
      <c r="U2" s="302"/>
    </row>
    <row r="3" spans="1:509" ht="13.9" customHeight="1" thickBot="1" x14ac:dyDescent="0.2">
      <c r="B3" s="302"/>
      <c r="C3" s="1011">
        <f>キャラシート!B3</f>
        <v>0</v>
      </c>
      <c r="D3" s="1012"/>
      <c r="E3" s="1011">
        <f>キャラシート!J3</f>
        <v>0</v>
      </c>
      <c r="F3" s="1012"/>
      <c r="G3" s="1050" t="str">
        <f>キャラシート!F13</f>
        <v>－</v>
      </c>
      <c r="H3" s="1051"/>
      <c r="I3" s="1018"/>
      <c r="J3" s="596">
        <f>IF(G3="反応型",IF(50&gt;H5,0,IF(60&gt;H5,1,IF(70&gt;H5,2,IF(H5&gt;=70,3)))),0)+IF(計算用!C103=1,IF(OR(M11="ギャンブル発動中",M11="オーバーフロー"),応用技!J4*2,IF(OR(M11="幸運発動中",M11="発動中"),応用技!J4,0)),0)</f>
        <v>0</v>
      </c>
      <c r="K3" s="1018"/>
      <c r="L3" s="597">
        <f>IF(G3="反応型",IF(50&gt;H5,0,IF(60&gt;H5,1,IF(70&gt;H5,2,IF(H5&gt;=70,3)))),0)+IF(計算用!C103=1,IF(OR(M11="ギャンブル発動中",M11="オーバーフロー"),応用技!J4*2,IF(OR(M11="幸運発動中",M11="発動中"),応用技!J4,0)),0)</f>
        <v>0</v>
      </c>
      <c r="M3" s="1018"/>
      <c r="N3" s="597">
        <f>IF(G3="反応型",IF(50&gt;H5,0,IF(60&gt;H5,1,IF(70&gt;H5,2,IF(H5&gt;=70,3)))),0)+IF(計算用!C103=1,IF(OR(M11="ギャンブル発動中",M11="オーバーフロー"),応用技!J4*2,IF(OR(M11="幸運発動中",M11="発動中"),応用技!J4,0)),0)</f>
        <v>0</v>
      </c>
      <c r="O3" s="388" t="s">
        <v>33</v>
      </c>
      <c r="P3" s="397">
        <f>キャラシート!P15+キャラシート!Q15</f>
        <v>3</v>
      </c>
      <c r="Q3" s="483">
        <f>IF(O3=$P$9,$Q$9,0)+IF(O3=$P$10,$Q$10,0)+$S$9+IF(計算用!$C$104=1,IF(OR($M$11="ギャンブル発動中",$M$11="オーバーフロー"),応用技!$J$4*2,IF(OR($M$11="幸運発動中",$M$11="発動中"),応用技!$J$4,0)),0)</f>
        <v>0</v>
      </c>
      <c r="R3" s="391" t="s">
        <v>240</v>
      </c>
      <c r="S3" s="398">
        <f>キャラシート!P21+キャラシート!Q21</f>
        <v>3</v>
      </c>
      <c r="T3" s="598">
        <f>IF(R3=$P$9,$Q$9,0)+IF(R3=$P$10,$Q$10,0)+$S$9+IF(計算用!$C$104=1,IF(OR($M$11="ギャンブル発動中",$M$11="オーバーフロー"),応用技!$J$4*2,IF(OR($M$11="幸運発動中",$M$11="発動中"),応用技!$J$4,0)),0)</f>
        <v>0</v>
      </c>
      <c r="U3" s="302"/>
    </row>
    <row r="4" spans="1:509" ht="13.9" customHeight="1" thickBot="1" x14ac:dyDescent="0.2">
      <c r="B4" s="302"/>
      <c r="C4" s="1013" t="s">
        <v>653</v>
      </c>
      <c r="D4" s="1014"/>
      <c r="E4" s="1013" t="s">
        <v>441</v>
      </c>
      <c r="F4" s="1014"/>
      <c r="G4" s="1013" t="s">
        <v>513</v>
      </c>
      <c r="H4" s="1014"/>
      <c r="I4" s="1017" t="s">
        <v>293</v>
      </c>
      <c r="J4" s="599">
        <f>キャラシート!D23</f>
        <v>2</v>
      </c>
      <c r="K4" s="1017" t="s">
        <v>444</v>
      </c>
      <c r="L4" s="395">
        <f>キャラシート!D25</f>
        <v>2</v>
      </c>
      <c r="M4" s="1017" t="s">
        <v>667</v>
      </c>
      <c r="N4" s="395">
        <f>キャラシート!H25</f>
        <v>4</v>
      </c>
      <c r="O4" s="389" t="s">
        <v>87</v>
      </c>
      <c r="P4" s="397">
        <f>キャラシート!P16+キャラシート!Q16</f>
        <v>3</v>
      </c>
      <c r="Q4" s="483">
        <f>IF(O4=$P$9,$Q$9,0)+IF(O4=$P$10,$Q$10,0)+$S$9+IF(計算用!$C$104=1,IF(OR($M$11="ギャンブル発動中",$M$11="オーバーフロー"),応用技!$J$4*2,IF(OR($M$11="幸運発動中",$M$11="発動中"),応用技!$J$4,0)),0)</f>
        <v>0</v>
      </c>
      <c r="R4" s="392" t="s">
        <v>264</v>
      </c>
      <c r="S4" s="398">
        <f>キャラシート!P22+キャラシート!Q22</f>
        <v>3</v>
      </c>
      <c r="T4" s="598">
        <f>IF(R4=$P$9,$Q$9,0)+IF(R4=$P$10,$Q$10,0)+$S$9+IF(計算用!$C$104=1,IF(OR($M$11="ギャンブル発動中",$M$11="オーバーフロー"),応用技!$J$4*2,IF(OR($M$11="幸運発動中",$M$11="発動中"),応用技!$J$4,0)),0)</f>
        <v>0</v>
      </c>
      <c r="U4" s="302"/>
    </row>
    <row r="5" spans="1:509" ht="13.9" customHeight="1" thickBot="1" x14ac:dyDescent="0.2">
      <c r="B5" s="302"/>
      <c r="C5" s="479">
        <f>D5-SUM(N14:N513)+SUM(M14:M513)</f>
        <v>12</v>
      </c>
      <c r="D5" s="386">
        <f>キャラシート!D17+D6</f>
        <v>12</v>
      </c>
      <c r="E5" s="480">
        <f>F5-SUM(P14:P513)+SUM(O14:O513)</f>
        <v>18</v>
      </c>
      <c r="F5" s="387">
        <f>キャラシート!D19+F6</f>
        <v>18</v>
      </c>
      <c r="G5" s="600">
        <f>キャラシート!D21+SUM(H6:H7)</f>
        <v>16</v>
      </c>
      <c r="H5" s="601">
        <f>G5-SUM(R14:R513)+SUM(Q14:Q513)</f>
        <v>16</v>
      </c>
      <c r="I5" s="1018"/>
      <c r="J5" s="481">
        <f>IF(G3="増強型",IF(50&gt;H5,0,IF(60&gt;H5,1,IF(70&gt;H5,2,IF(H5&gt;=70,3)))),0)+IF(計算用!C107=1,IF(OR(M11="ギャンブル発動中",M11="オーバーフロー"),応用技!J4*2,IF(OR(M11="幸運発動中",M11="発動中"),応用技!J4,0)),0)+IF(計算用!C102=1,IF(OR(M11="ギャンブル発動中",M11="オーバーフロー"),応用技!J4*2,IF(OR(M11="幸運発動中",M11="発動中"),応用技!J4,0)),0)</f>
        <v>0</v>
      </c>
      <c r="K5" s="1018"/>
      <c r="L5" s="482">
        <f>IF(G3="増強型",IF(50&gt;H5,0,IF(60&gt;H5,1,IF(70&gt;H5,2,IF(H5&gt;=70,3)))),0)+IF(計算用!C107=1,IF(OR(M11="ギャンブル発動中",M11="オーバーフロー"),応用技!J4*2,IF(OR(M11="幸運発動中",M11="発動中"),応用技!J4,0)),0)+IF(計算用!C102=1,IF(OR(M11="ギャンブル発動中",M11="オーバーフロー"),応用技!J4*2,IF(OR(M11="幸運発動中",M11="発動中"),応用技!J4,0)),0)</f>
        <v>0</v>
      </c>
      <c r="M5" s="1018"/>
      <c r="N5" s="602"/>
      <c r="O5" s="389" t="s">
        <v>125</v>
      </c>
      <c r="P5" s="397">
        <f>キャラシート!P17+キャラシート!Q17</f>
        <v>3</v>
      </c>
      <c r="Q5" s="483">
        <f>IF(O5=$P$9,$Q$9,0)+IF(O5=$P$10,$Q$10,0)+$S$9+IF(計算用!$C$104=1,IF(OR($M$11="ギャンブル発動中",$M$11="オーバーフロー"),応用技!$J$4*2,IF(OR($M$11="幸運発動中",$M$11="発動中"),応用技!$J$4,0)),0)</f>
        <v>0</v>
      </c>
      <c r="R5" s="392" t="s">
        <v>283</v>
      </c>
      <c r="S5" s="398">
        <f>キャラシート!P23+キャラシート!Q23</f>
        <v>3</v>
      </c>
      <c r="T5" s="598">
        <f>IF(R5=$P$9,$Q$9,0)+IF(R5=$P$10,$Q$10,0)+$S$9+IF(計算用!$C$104=1,IF(OR($M$11="ギャンブル発動中",$M$11="オーバーフロー"),応用技!$J$4*2,IF(OR($M$11="幸運発動中",$M$11="発動中"),応用技!$J$4,0)),0)</f>
        <v>0</v>
      </c>
      <c r="U5" s="302"/>
    </row>
    <row r="6" spans="1:509" ht="13.9" customHeight="1" thickBot="1" x14ac:dyDescent="0.2">
      <c r="B6" s="302"/>
      <c r="C6" s="385" t="s">
        <v>664</v>
      </c>
      <c r="D6" s="400">
        <v>0</v>
      </c>
      <c r="E6" s="383" t="s">
        <v>670</v>
      </c>
      <c r="F6" s="352">
        <v>0</v>
      </c>
      <c r="G6" s="603" t="s">
        <v>673</v>
      </c>
      <c r="H6" s="619">
        <f>F6</f>
        <v>0</v>
      </c>
      <c r="I6" s="1017" t="s">
        <v>440</v>
      </c>
      <c r="J6" s="604" t="str">
        <f>キャラシート!G31&amp;"D6"&amp;"+"&amp;キャラシート!H31</f>
        <v>0D6+0</v>
      </c>
      <c r="K6" s="1017" t="s">
        <v>443</v>
      </c>
      <c r="L6" s="396" t="str">
        <f>キャラシート!G33&amp;"D6"&amp;"+"&amp;キャラシート!H33</f>
        <v>0D6+0</v>
      </c>
      <c r="M6" s="1017" t="s">
        <v>446</v>
      </c>
      <c r="N6" s="396" t="str">
        <f>キャラシート!G35&amp;"D6"&amp;"+"&amp;キャラシート!H35</f>
        <v>0D6+0</v>
      </c>
      <c r="O6" s="389" t="s">
        <v>154</v>
      </c>
      <c r="P6" s="397">
        <f>キャラシート!P18+キャラシート!Q18</f>
        <v>3</v>
      </c>
      <c r="Q6" s="483">
        <f>IF(O6=$P$9,$Q$9,0)+IF(O6=$P$10,$Q$10,0)+$S$9+IF(計算用!$C$104=1,IF(OR($M$11="ギャンブル発動中",$M$11="オーバーフロー"),応用技!$J$4*2,IF(OR($M$11="幸運発動中",$M$11="発動中"),応用技!$J$4,0)),0)</f>
        <v>0</v>
      </c>
      <c r="R6" s="392" t="s">
        <v>302</v>
      </c>
      <c r="S6" s="398">
        <f>キャラシート!P24+キャラシート!Q24</f>
        <v>3</v>
      </c>
      <c r="T6" s="598">
        <f>IF(R6=$P$9,$Q$9,0)+IF(R6=$P$10,$Q$10,0)+$S$9+IF(計算用!$C$104=1,IF(OR($M$11="ギャンブル発動中",$M$11="オーバーフロー"),応用技!$J$4*2,IF(OR($M$11="幸運発動中",$M$11="発動中"),応用技!$J$4,0)),0)</f>
        <v>0</v>
      </c>
      <c r="U6" s="302"/>
    </row>
    <row r="7" spans="1:509" ht="13.9" customHeight="1" thickBot="1" x14ac:dyDescent="0.2">
      <c r="B7" s="302"/>
      <c r="C7" s="401" t="s">
        <v>447</v>
      </c>
      <c r="D7" s="370">
        <f>キャラシート!D27+IF(計算用!C104=1,IF(M11="発動中",応用技!J4,0))</f>
        <v>5</v>
      </c>
      <c r="E7" s="384" t="s">
        <v>656</v>
      </c>
      <c r="F7" s="382">
        <f>SUM(P14:P513)</f>
        <v>0</v>
      </c>
      <c r="G7" s="605" t="s">
        <v>769</v>
      </c>
      <c r="H7" s="353">
        <f>VLOOKUP(キャラシート!P3,リスト!C13:D19,2,FALSE)</f>
        <v>0</v>
      </c>
      <c r="I7" s="1018"/>
      <c r="J7" s="596">
        <f>IF(G3="増強型",IF(50&gt;H5,0,IF(60&gt;H5,1,IF(70&gt;H5,2,IF(H5&gt;=70,3)))),0)+IF(計算用!C106=1,IF(OR(M11="ギャンブル発動中",M11="オーバーフロー"),応用技!J4*2,IF(OR(M11="幸運発動中",M11="発動中"),応用技!J4,0)),0)+IF(計算用!C102=1,IF(OR(M11="ギャンブル発動中",M11="オーバーフロー"),応用技!J4*2,IF(OR(M11="幸運発動中",M11="発動中"),応用技!J4,0)),0)</f>
        <v>0</v>
      </c>
      <c r="K7" s="1018"/>
      <c r="L7" s="597">
        <f>IF(G3="増強型",IF(50&gt;H5,0,IF(60&gt;H5,1,IF(70&gt;H5,2,IF(H5&gt;=70,3)))),0)+IF(計算用!C106=1,IF(OR(M11="ギャンブル発動中",M11="オーバーフロー"),応用技!J4*2,IF(OR(M11="幸運発動中",M11="発動中"),応用技!J4,0)),0)+IF(計算用!C102=1,IF(OR(M11="ギャンブル発動中",M11="オーバーフロー"),応用技!J4*2,IF(OR(M11="幸運発動中",M11="発動中"),応用技!J4,0)),0)</f>
        <v>0</v>
      </c>
      <c r="M7" s="1018"/>
      <c r="N7" s="482">
        <f>IF(G3="増強型",IF(50&gt;H5,0,IF(60&gt;H5,1,IF(70&gt;H5,2,IF(H5&gt;=70,3)))),0)+IF(計算用!C106=1,IF(OR(M11="ギャンブル発動中",M11="オーバーフロー"),応用技!J4*2,IF(OR(M11="幸運発動中",M11="発動中"),応用技!J4,0)),0)+IF(計算用!C102=1,IF(OR(M11="ギャンブル発動中",M11="オーバーフロー"),応用技!J4*2,IF(OR(M11="幸運発動中",M11="発動中"),応用技!J4,0)),0)</f>
        <v>0</v>
      </c>
      <c r="O7" s="390" t="s">
        <v>185</v>
      </c>
      <c r="P7" s="397">
        <f>キャラシート!P19+キャラシート!Q19</f>
        <v>3</v>
      </c>
      <c r="Q7" s="483">
        <f>IF(O7=$P$9,$Q$9,0)+IF(O7=$P$10,$Q$10,0)+$S$9+IF(計算用!$C$104=1,IF(OR($M$11="ギャンブル発動中",$M$11="オーバーフロー"),応用技!$J$4*2,IF(OR($M$11="幸運発動中",$M$11="発動中"),応用技!$J$4,0)),0)</f>
        <v>0</v>
      </c>
      <c r="R7" s="392" t="s">
        <v>324</v>
      </c>
      <c r="S7" s="398">
        <f>キャラシート!P25+キャラシート!Q25</f>
        <v>3</v>
      </c>
      <c r="T7" s="598">
        <f>IF(R7=$P$9,$Q$9,0)+IF(R7=$P$10,$Q$10,0)+$S$9+IF(計算用!$C$104=1,IF(OR($M$11="ギャンブル発動中",$M$11="オーバーフロー"),応用技!$J$4*2,IF(OR($M$11="幸運発動中",$M$11="発動中"),応用技!$J$4,0)),0)</f>
        <v>0</v>
      </c>
      <c r="U7" s="302"/>
    </row>
    <row r="8" spans="1:509" ht="13.9" customHeight="1" thickBot="1" x14ac:dyDescent="0.2">
      <c r="B8" s="302"/>
      <c r="C8" s="402" t="s">
        <v>449</v>
      </c>
      <c r="D8" s="606">
        <f>キャラシート!H27+D9</f>
        <v>2</v>
      </c>
      <c r="E8" s="366" t="s">
        <v>657</v>
      </c>
      <c r="F8" s="404">
        <f>ROUNDDOWN((F7/5),0)+SUM(L14:L513)+F9</f>
        <v>0</v>
      </c>
      <c r="G8" s="1015" t="str">
        <f>IF(H5&lt;100,IF(H5&lt;50,"通常状態",IF(H5&lt;60,"暴走Lv1 ",IF(H5&lt;70,"暴走Lv2",IF(H5&lt;80,"暴走Lv3",IF(H5&lt;90,"暴走Lv4","暴走Lv5"))))),IF(H5&lt;110,"臨界Lv1",IF(H5&lt;120,"臨界Lv2",IF(H5&lt;130,"臨界Lv3",IF(H5&lt;140,"臨界Lv4",IF(H5&lt;150,"臨界Lv5",IF(H5&lt;150,"活性Lv5","因子崩壊")))))))</f>
        <v>通常状態</v>
      </c>
      <c r="H8" s="1016"/>
      <c r="I8" s="1019" t="s">
        <v>308</v>
      </c>
      <c r="J8" s="1020"/>
      <c r="K8" s="1031" t="s">
        <v>292</v>
      </c>
      <c r="L8" s="1032"/>
      <c r="M8" s="1060" t="s">
        <v>467</v>
      </c>
      <c r="N8" s="1061"/>
      <c r="O8" s="430" t="s">
        <v>213</v>
      </c>
      <c r="P8" s="431">
        <f>キャラシート!P20+キャラシート!Q20</f>
        <v>3</v>
      </c>
      <c r="Q8" s="484">
        <f>IF(O8=$P$9,$Q$9,0)+IF(O8=$P$10,$Q$10,0)+$S$9+IF(計算用!$C$104=1,IF(OR($M$11="ギャンブル発動中",$M$11="オーバーフロー"),応用技!$J$4*2,IF(OR($M$11="幸運発動中",$M$11="発動中"),応用技!$J$4,0)),0)</f>
        <v>0</v>
      </c>
      <c r="R8" s="393" t="s">
        <v>248</v>
      </c>
      <c r="S8" s="399">
        <f>キャラシート!P26+キャラシート!Q26</f>
        <v>3</v>
      </c>
      <c r="T8" s="607">
        <f>IF(R8=$P$9,$Q$9,0)+IF(R8=$P$10,$Q$10,0)+$S$9+IF(計算用!$C$104=1,IF(OR($M$11="ギャンブル発動中",$M$11="オーバーフロー"),応用技!$J$4*2,IF(OR($M$11="幸運発動中",$M$11="発動中"),応用技!$J$4,0)),0)</f>
        <v>0</v>
      </c>
      <c r="U8" s="302"/>
    </row>
    <row r="9" spans="1:509" ht="13.9" customHeight="1" thickBot="1" x14ac:dyDescent="0.2">
      <c r="B9" s="302"/>
      <c r="C9" s="403" t="s">
        <v>300</v>
      </c>
      <c r="D9" s="608">
        <f>IF(G3="覚醒型",IF(50&gt;H5,0,IF(60&gt;H5,1,IF(70&gt;H5,2,IF(H5&gt;=70,3)))),0)-応用技!D5</f>
        <v>0</v>
      </c>
      <c r="E9" s="367" t="s">
        <v>770</v>
      </c>
      <c r="F9" s="405">
        <f>IF(キャラシート!P4="－",0,キャラシート!P4)</f>
        <v>0</v>
      </c>
      <c r="G9" s="1044" t="str">
        <f>IF(H5&lt;50,"未活性",IF(H5&lt;60,"活性Lv1",IF(H5&lt;70,"活性Lv2",IF(H5&lt;80,"活性Lv3",IF(H5&lt;90,"活性Lv4",IF(H5&lt;100,"活性Lv5",IF(H5&lt;150,"活性Lv5","強制キャラロスト")))))))</f>
        <v>未活性</v>
      </c>
      <c r="H9" s="1045"/>
      <c r="I9" s="1021"/>
      <c r="J9" s="1022"/>
      <c r="K9" s="1033" t="s">
        <v>292</v>
      </c>
      <c r="L9" s="1034"/>
      <c r="M9" s="1046">
        <f>キャラシート!L6</f>
        <v>0</v>
      </c>
      <c r="N9" s="1047"/>
      <c r="O9" s="1035" t="s">
        <v>771</v>
      </c>
      <c r="P9" s="432" t="str">
        <f>キャラシート!P13</f>
        <v>-</v>
      </c>
      <c r="Q9" s="433">
        <f>IF(D10="エキスパート","+4",0)</f>
        <v>0</v>
      </c>
      <c r="R9" s="1037" t="s">
        <v>772</v>
      </c>
      <c r="S9" s="1005">
        <f>IF(G3="感覚型",IF(50&gt;H5,"+0",IF(60&gt;H5,"+1",IF(70&gt;H5,"+2",IF(H5&gt;=70,"+3")))),0)</f>
        <v>0</v>
      </c>
      <c r="T9" s="1006"/>
      <c r="U9" s="302"/>
    </row>
    <row r="10" spans="1:509" ht="14.25" thickBot="1" x14ac:dyDescent="0.2">
      <c r="B10" s="302"/>
      <c r="C10" s="368" t="s">
        <v>4</v>
      </c>
      <c r="D10" s="1023" t="str">
        <f>キャラシート!C13</f>
        <v>－</v>
      </c>
      <c r="E10" s="1024"/>
      <c r="F10" s="1025"/>
      <c r="G10" s="380" t="s">
        <v>678</v>
      </c>
      <c r="H10" s="381">
        <f>VLOOKUP(D10,リスト!BB:BC,2,0)-SUM(S14:S513)</f>
        <v>0</v>
      </c>
      <c r="I10" s="1052" t="s">
        <v>654</v>
      </c>
      <c r="J10" s="1053"/>
      <c r="K10" s="1056" t="s">
        <v>292</v>
      </c>
      <c r="L10" s="1057"/>
      <c r="M10" s="1062" t="s">
        <v>658</v>
      </c>
      <c r="N10" s="1063"/>
      <c r="O10" s="1036"/>
      <c r="P10" s="434" t="str">
        <f>キャラシート!Q13</f>
        <v>-</v>
      </c>
      <c r="Q10" s="435">
        <f>IF(D10="エキスパート","+4",0)</f>
        <v>0</v>
      </c>
      <c r="R10" s="1038"/>
      <c r="S10" s="1007"/>
      <c r="T10" s="1008"/>
      <c r="U10" s="302"/>
    </row>
    <row r="11" spans="1:509" ht="13.9" customHeight="1" thickBot="1" x14ac:dyDescent="0.2">
      <c r="B11" s="302"/>
      <c r="C11" s="369" t="s">
        <v>15</v>
      </c>
      <c r="D11" s="1026" t="str">
        <f>キャラシート!J6</f>
        <v>－</v>
      </c>
      <c r="E11" s="1024"/>
      <c r="F11" s="1025"/>
      <c r="G11" s="380" t="s">
        <v>678</v>
      </c>
      <c r="H11" s="381">
        <f>IF(キャラシート!I3="蟹",VLOOKUP(D11,リスト!BE:BG,3,0)-SUM(T14:T513),VLOOKUP(D11,リスト!BE:BF,2,0)-SUM(T14:T513))</f>
        <v>0</v>
      </c>
      <c r="I11" s="1054" t="s">
        <v>655</v>
      </c>
      <c r="J11" s="1055"/>
      <c r="K11" s="1058" t="s">
        <v>18</v>
      </c>
      <c r="L11" s="1059"/>
      <c r="M11" s="1048" t="str">
        <f>IF(OR(C5&lt;=D5/2,H5&gt;=90),IF(H5&gt;=120,IF(計算用!C105=1,"ギャンブル発動中","オーバーフロー"),IF(計算用!C105=1,"幸運発動中","発動中")),"未発動")</f>
        <v>未発動</v>
      </c>
      <c r="N11" s="1049"/>
      <c r="O11" s="1009" t="s">
        <v>773</v>
      </c>
      <c r="P11" s="1010"/>
      <c r="Q11" s="1039" t="str">
        <f>"HP"&amp;C5&amp;"/"&amp;"PP"&amp;E5&amp;"/暴走"&amp;H5&amp;"%/"&amp;F8&amp;"D/総消費"&amp;F7&amp;"pp"&amp;IF(D10="－","","　"&amp;D10&amp;"@"&amp;H10)&amp;IF(D11="－","","　"&amp;D11&amp;"@"&amp;H11)</f>
        <v>HP12/PP18/暴走16%/0D/総消費0pp</v>
      </c>
      <c r="R11" s="1040"/>
      <c r="S11" s="1040"/>
      <c r="T11" s="1041"/>
      <c r="U11" s="302"/>
    </row>
    <row r="12" spans="1:509" ht="14.1" customHeight="1" thickBot="1" x14ac:dyDescent="0.2">
      <c r="B12" s="302"/>
      <c r="C12" s="302"/>
      <c r="D12" s="302"/>
      <c r="E12" s="302"/>
      <c r="F12" s="302"/>
      <c r="G12" s="302"/>
      <c r="H12" s="302"/>
      <c r="I12" s="302"/>
      <c r="J12" s="302"/>
      <c r="K12" s="302"/>
      <c r="L12" s="302"/>
      <c r="M12" s="302"/>
      <c r="N12" s="302"/>
      <c r="O12" s="302"/>
      <c r="P12" s="302"/>
      <c r="Q12" s="302"/>
      <c r="R12" s="302"/>
      <c r="S12" s="302"/>
      <c r="T12" s="302"/>
      <c r="U12" s="302"/>
    </row>
    <row r="13" spans="1:509" s="308" customFormat="1" ht="12.75" thickBot="1" x14ac:dyDescent="0.2">
      <c r="A13" s="303"/>
      <c r="B13" s="304"/>
      <c r="C13" s="327" t="s">
        <v>722</v>
      </c>
      <c r="D13" s="1042" t="s">
        <v>721</v>
      </c>
      <c r="E13" s="1042"/>
      <c r="F13" s="1042"/>
      <c r="G13" s="1042"/>
      <c r="H13" s="1042"/>
      <c r="I13" s="1042"/>
      <c r="J13" s="1043"/>
      <c r="K13" s="304"/>
      <c r="L13" s="371" t="s">
        <v>723</v>
      </c>
      <c r="M13" s="373" t="s">
        <v>713</v>
      </c>
      <c r="N13" s="372" t="s">
        <v>714</v>
      </c>
      <c r="O13" s="373" t="s">
        <v>715</v>
      </c>
      <c r="P13" s="372" t="s">
        <v>716</v>
      </c>
      <c r="Q13" s="373" t="s">
        <v>717</v>
      </c>
      <c r="R13" s="372" t="s">
        <v>718</v>
      </c>
      <c r="S13" s="374" t="s">
        <v>719</v>
      </c>
      <c r="T13" s="372" t="s">
        <v>720</v>
      </c>
      <c r="U13" s="305"/>
      <c r="V13" s="306"/>
      <c r="W13" s="306"/>
      <c r="X13" s="306"/>
      <c r="Y13" s="306"/>
      <c r="Z13" s="306"/>
      <c r="AA13" s="306"/>
      <c r="AB13" s="306"/>
      <c r="AC13" s="306"/>
      <c r="AD13" s="306"/>
      <c r="AE13" s="306"/>
      <c r="AF13" s="306"/>
      <c r="AG13" s="306"/>
      <c r="AH13" s="306"/>
      <c r="AI13" s="306"/>
      <c r="AJ13" s="306"/>
      <c r="AK13" s="306"/>
      <c r="AL13" s="306"/>
      <c r="AM13" s="306"/>
      <c r="AN13" s="306"/>
      <c r="AO13" s="306"/>
      <c r="AP13" s="306"/>
      <c r="AQ13" s="306"/>
      <c r="AR13" s="306"/>
      <c r="AS13" s="306"/>
      <c r="AT13" s="306"/>
      <c r="AU13" s="306"/>
      <c r="AV13" s="306"/>
      <c r="AW13" s="306"/>
      <c r="AX13" s="306"/>
      <c r="AY13" s="306"/>
      <c r="AZ13" s="306"/>
      <c r="BA13" s="306"/>
      <c r="BB13" s="306"/>
      <c r="BC13" s="306"/>
      <c r="BD13" s="306"/>
      <c r="BE13" s="306"/>
      <c r="BF13" s="306"/>
      <c r="BG13" s="306"/>
      <c r="BH13" s="306"/>
      <c r="BI13" s="306"/>
      <c r="BJ13" s="306"/>
      <c r="BK13" s="306"/>
      <c r="BL13" s="306"/>
      <c r="BM13" s="306"/>
      <c r="BN13" s="306"/>
      <c r="BO13" s="306"/>
      <c r="BP13" s="306"/>
      <c r="BQ13" s="306"/>
      <c r="BR13" s="306"/>
      <c r="BS13" s="306"/>
      <c r="BT13" s="306"/>
      <c r="BU13" s="306"/>
      <c r="BV13" s="306"/>
      <c r="BW13" s="306"/>
      <c r="BX13" s="306"/>
      <c r="BY13" s="306"/>
      <c r="BZ13" s="306"/>
      <c r="CA13" s="306"/>
      <c r="CB13" s="306"/>
      <c r="CC13" s="306"/>
      <c r="CD13" s="306"/>
      <c r="CE13" s="306"/>
      <c r="CF13" s="306"/>
      <c r="CG13" s="306"/>
      <c r="CH13" s="306"/>
      <c r="CI13" s="306"/>
      <c r="CJ13" s="306"/>
      <c r="CK13" s="306"/>
      <c r="CL13" s="306"/>
      <c r="CM13" s="306"/>
      <c r="CN13" s="306"/>
      <c r="CO13" s="306"/>
      <c r="CP13" s="306"/>
      <c r="CQ13" s="306"/>
      <c r="CR13" s="306"/>
      <c r="CS13" s="306"/>
      <c r="CT13" s="306"/>
      <c r="CU13" s="306"/>
      <c r="CV13" s="306"/>
      <c r="CW13" s="306"/>
      <c r="CX13" s="306"/>
      <c r="CY13" s="306"/>
      <c r="CZ13" s="306"/>
      <c r="DA13" s="306"/>
      <c r="DB13" s="306"/>
      <c r="DC13" s="306"/>
      <c r="DD13" s="306"/>
      <c r="DE13" s="306"/>
      <c r="DF13" s="306"/>
      <c r="DG13" s="306"/>
      <c r="DH13" s="306"/>
      <c r="DI13" s="306"/>
      <c r="DJ13" s="306"/>
      <c r="DK13" s="306"/>
      <c r="DL13" s="306"/>
      <c r="DM13" s="306"/>
      <c r="DN13" s="306"/>
      <c r="DO13" s="306"/>
      <c r="DP13" s="306"/>
      <c r="DQ13" s="306"/>
      <c r="DR13" s="306"/>
      <c r="DS13" s="306"/>
      <c r="DT13" s="306"/>
      <c r="DU13" s="306"/>
      <c r="DV13" s="306"/>
      <c r="DW13" s="306"/>
      <c r="DX13" s="306"/>
      <c r="DY13" s="306"/>
      <c r="DZ13" s="306"/>
      <c r="EA13" s="306"/>
      <c r="EB13" s="306"/>
      <c r="EC13" s="306"/>
      <c r="ED13" s="306"/>
      <c r="EE13" s="306"/>
      <c r="EF13" s="306"/>
      <c r="EG13" s="306"/>
      <c r="EH13" s="306"/>
      <c r="EI13" s="306"/>
      <c r="EJ13" s="306"/>
      <c r="EK13" s="306"/>
      <c r="EL13" s="306"/>
      <c r="EM13" s="306"/>
      <c r="EN13" s="306"/>
      <c r="EO13" s="306"/>
      <c r="EP13" s="306"/>
      <c r="EQ13" s="306"/>
      <c r="ER13" s="306"/>
      <c r="ES13" s="306"/>
      <c r="ET13" s="306"/>
      <c r="EU13" s="306"/>
      <c r="EV13" s="306"/>
      <c r="EW13" s="306"/>
      <c r="EX13" s="306"/>
      <c r="EY13" s="306"/>
      <c r="EZ13" s="306"/>
      <c r="FA13" s="306"/>
      <c r="FB13" s="306"/>
      <c r="FC13" s="306"/>
      <c r="FD13" s="306"/>
      <c r="FE13" s="306"/>
      <c r="FF13" s="306"/>
      <c r="FG13" s="306"/>
      <c r="FH13" s="306"/>
      <c r="FI13" s="306"/>
      <c r="FJ13" s="306"/>
      <c r="FK13" s="306"/>
      <c r="FL13" s="306"/>
      <c r="FM13" s="306"/>
      <c r="FN13" s="306"/>
      <c r="FO13" s="306"/>
      <c r="FP13" s="306"/>
      <c r="FQ13" s="306"/>
      <c r="FR13" s="306"/>
      <c r="FS13" s="306"/>
      <c r="FT13" s="306"/>
      <c r="FU13" s="306"/>
      <c r="FV13" s="306"/>
      <c r="FW13" s="306"/>
      <c r="FX13" s="306"/>
      <c r="FY13" s="306"/>
      <c r="FZ13" s="306"/>
      <c r="GA13" s="306"/>
      <c r="GB13" s="306"/>
      <c r="GC13" s="306"/>
      <c r="GD13" s="306"/>
      <c r="GE13" s="306"/>
      <c r="GF13" s="306"/>
      <c r="GG13" s="306"/>
      <c r="GH13" s="306"/>
      <c r="GI13" s="306"/>
      <c r="GJ13" s="306"/>
      <c r="GK13" s="306"/>
      <c r="GL13" s="306"/>
      <c r="GM13" s="306"/>
      <c r="GN13" s="306"/>
      <c r="GO13" s="306"/>
      <c r="GP13" s="306"/>
      <c r="GQ13" s="306"/>
      <c r="GR13" s="306"/>
      <c r="GS13" s="306"/>
      <c r="GT13" s="306"/>
      <c r="GU13" s="306"/>
      <c r="GV13" s="306"/>
      <c r="GW13" s="306"/>
      <c r="GX13" s="306"/>
      <c r="GY13" s="306"/>
      <c r="GZ13" s="306"/>
      <c r="HA13" s="306"/>
      <c r="HB13" s="306"/>
      <c r="HC13" s="306"/>
      <c r="HD13" s="306"/>
      <c r="HE13" s="306"/>
      <c r="HF13" s="306"/>
      <c r="HG13" s="306"/>
      <c r="HH13" s="306"/>
      <c r="HI13" s="306"/>
      <c r="HJ13" s="306"/>
      <c r="HK13" s="306"/>
      <c r="HL13" s="306"/>
      <c r="HM13" s="307"/>
      <c r="HN13" s="307"/>
      <c r="HO13" s="307"/>
      <c r="HP13" s="307"/>
      <c r="HQ13" s="307"/>
      <c r="HR13" s="307"/>
      <c r="HS13" s="307"/>
      <c r="HT13" s="307"/>
      <c r="HU13" s="303"/>
      <c r="HV13" s="303"/>
      <c r="HW13" s="303"/>
      <c r="HX13" s="303"/>
      <c r="HY13" s="303"/>
      <c r="HZ13" s="303"/>
      <c r="IA13" s="303"/>
      <c r="IB13" s="303"/>
      <c r="IC13" s="303"/>
      <c r="ID13" s="303"/>
      <c r="IE13" s="303"/>
      <c r="IF13" s="303"/>
      <c r="IG13" s="303"/>
      <c r="IH13" s="303"/>
      <c r="II13" s="303"/>
      <c r="IJ13" s="303"/>
      <c r="IK13" s="303"/>
      <c r="IL13" s="303"/>
      <c r="IM13" s="303"/>
      <c r="IN13" s="303"/>
      <c r="IO13" s="303"/>
      <c r="IP13" s="303"/>
      <c r="IQ13" s="303"/>
      <c r="IR13" s="303"/>
      <c r="IS13" s="303"/>
      <c r="IT13" s="303"/>
      <c r="IU13" s="303"/>
      <c r="IV13" s="303"/>
      <c r="IW13" s="303"/>
      <c r="IX13" s="303"/>
      <c r="IY13" s="303"/>
      <c r="IZ13" s="303"/>
      <c r="JA13" s="303"/>
      <c r="JB13" s="303"/>
      <c r="JC13" s="303"/>
      <c r="JD13" s="303"/>
      <c r="JE13" s="303"/>
      <c r="JF13" s="303"/>
      <c r="JG13" s="303"/>
      <c r="JH13" s="303"/>
      <c r="JI13" s="303"/>
      <c r="JJ13" s="303"/>
      <c r="JK13" s="303"/>
      <c r="JL13" s="303"/>
      <c r="JM13" s="303"/>
      <c r="JN13" s="303"/>
      <c r="JO13" s="303"/>
      <c r="JP13" s="303"/>
      <c r="JQ13" s="303"/>
      <c r="JR13" s="303"/>
      <c r="JS13" s="303"/>
      <c r="JT13" s="303"/>
      <c r="JU13" s="303"/>
      <c r="JV13" s="303"/>
      <c r="JW13" s="303"/>
      <c r="JX13" s="303"/>
      <c r="JY13" s="303"/>
      <c r="JZ13" s="303"/>
      <c r="KA13" s="303"/>
      <c r="KB13" s="303"/>
      <c r="KC13" s="303"/>
      <c r="KD13" s="303"/>
      <c r="KE13" s="303"/>
      <c r="KF13" s="303"/>
      <c r="KG13" s="303"/>
      <c r="KH13" s="303"/>
      <c r="KI13" s="303"/>
      <c r="KJ13" s="303"/>
      <c r="KK13" s="303"/>
      <c r="KL13" s="303"/>
      <c r="KM13" s="303"/>
      <c r="KN13" s="303"/>
      <c r="KO13" s="303"/>
      <c r="KP13" s="303"/>
      <c r="KQ13" s="303"/>
      <c r="KR13" s="303"/>
      <c r="KS13" s="303"/>
      <c r="KT13" s="303"/>
      <c r="KU13" s="303"/>
      <c r="KV13" s="303"/>
      <c r="KW13" s="303"/>
      <c r="KX13" s="303"/>
      <c r="KY13" s="303"/>
      <c r="KZ13" s="303"/>
      <c r="LA13" s="303"/>
      <c r="LB13" s="303"/>
      <c r="LC13" s="303"/>
      <c r="LD13" s="303"/>
      <c r="LE13" s="303"/>
      <c r="LF13" s="303"/>
      <c r="LG13" s="303"/>
      <c r="LH13" s="303"/>
      <c r="LI13" s="303"/>
      <c r="LJ13" s="303"/>
      <c r="LK13" s="303"/>
      <c r="LL13" s="303"/>
      <c r="LM13" s="303"/>
      <c r="LN13" s="303"/>
      <c r="LO13" s="303"/>
      <c r="LP13" s="303"/>
      <c r="LQ13" s="303"/>
      <c r="LR13" s="303"/>
      <c r="LS13" s="303"/>
      <c r="LT13" s="303"/>
      <c r="LU13" s="303"/>
      <c r="LV13" s="303"/>
      <c r="LW13" s="303"/>
      <c r="LX13" s="303"/>
      <c r="LY13" s="303"/>
      <c r="LZ13" s="303"/>
      <c r="MA13" s="303"/>
      <c r="MB13" s="303"/>
      <c r="MC13" s="303"/>
      <c r="MD13" s="303"/>
      <c r="ME13" s="303"/>
      <c r="MF13" s="303"/>
      <c r="MG13" s="303"/>
      <c r="MH13" s="303"/>
      <c r="MI13" s="303"/>
      <c r="MJ13" s="303"/>
      <c r="MK13" s="303"/>
      <c r="ML13" s="303"/>
      <c r="MM13" s="303"/>
      <c r="MN13" s="303"/>
      <c r="MO13" s="303"/>
      <c r="MP13" s="303"/>
      <c r="MQ13" s="303"/>
      <c r="MR13" s="303"/>
      <c r="MS13" s="303"/>
      <c r="MT13" s="303"/>
      <c r="MU13" s="303"/>
      <c r="MV13" s="303"/>
      <c r="MW13" s="303"/>
      <c r="MX13" s="303"/>
      <c r="MY13" s="303"/>
      <c r="MZ13" s="303"/>
      <c r="NA13" s="303"/>
      <c r="NB13" s="303"/>
      <c r="NC13" s="303"/>
      <c r="ND13" s="303"/>
      <c r="NE13" s="303"/>
      <c r="NF13" s="303"/>
      <c r="NG13" s="303"/>
      <c r="NH13" s="303"/>
      <c r="NI13" s="303"/>
      <c r="NJ13" s="303"/>
      <c r="NK13" s="303"/>
      <c r="NL13" s="303"/>
      <c r="NM13" s="303"/>
      <c r="NN13" s="303"/>
      <c r="NO13" s="303"/>
      <c r="NP13" s="303"/>
      <c r="NQ13" s="303"/>
      <c r="NR13" s="303"/>
      <c r="NS13" s="303"/>
      <c r="NT13" s="303"/>
      <c r="NU13" s="303"/>
      <c r="NV13" s="303"/>
      <c r="NW13" s="303"/>
      <c r="NX13" s="303"/>
      <c r="NY13" s="303"/>
      <c r="NZ13" s="303"/>
      <c r="OA13" s="303"/>
      <c r="OB13" s="303"/>
      <c r="OC13" s="303"/>
      <c r="OD13" s="303"/>
      <c r="OE13" s="303"/>
      <c r="OF13" s="303"/>
      <c r="OG13" s="303"/>
      <c r="OH13" s="303"/>
      <c r="OI13" s="303"/>
      <c r="OJ13" s="303"/>
      <c r="OK13" s="303"/>
      <c r="OL13" s="303"/>
      <c r="OM13" s="303"/>
      <c r="ON13" s="303"/>
      <c r="OO13" s="303"/>
      <c r="OP13" s="303"/>
      <c r="OQ13" s="303"/>
      <c r="OR13" s="303"/>
      <c r="OS13" s="303"/>
      <c r="OT13" s="303"/>
      <c r="OU13" s="303"/>
      <c r="OV13" s="303"/>
      <c r="OW13" s="303"/>
      <c r="OX13" s="303"/>
      <c r="OY13" s="303"/>
      <c r="OZ13" s="303"/>
      <c r="PA13" s="303"/>
      <c r="PB13" s="303"/>
      <c r="PC13" s="303"/>
      <c r="PD13" s="303"/>
      <c r="PE13" s="303"/>
      <c r="PF13" s="303"/>
      <c r="PG13" s="303"/>
      <c r="PH13" s="303"/>
      <c r="PI13" s="303"/>
      <c r="PJ13" s="303"/>
      <c r="PK13" s="303"/>
      <c r="PL13" s="303"/>
      <c r="PM13" s="303"/>
      <c r="PN13" s="303"/>
      <c r="PO13" s="303"/>
      <c r="PP13" s="303"/>
      <c r="PQ13" s="303"/>
      <c r="PR13" s="303"/>
      <c r="PS13" s="303"/>
      <c r="PT13" s="303"/>
      <c r="PU13" s="303"/>
      <c r="PV13" s="303"/>
      <c r="PW13" s="303"/>
      <c r="PX13" s="303"/>
      <c r="PY13" s="303"/>
      <c r="PZ13" s="303"/>
      <c r="QA13" s="303"/>
      <c r="QB13" s="303"/>
      <c r="QC13" s="303"/>
      <c r="QD13" s="303"/>
      <c r="QE13" s="303"/>
      <c r="QF13" s="303"/>
      <c r="QG13" s="303"/>
      <c r="QH13" s="303"/>
      <c r="QI13" s="303"/>
      <c r="QJ13" s="303"/>
      <c r="QK13" s="303"/>
      <c r="QL13" s="303"/>
      <c r="QM13" s="303"/>
      <c r="QN13" s="303"/>
      <c r="QO13" s="303"/>
      <c r="QP13" s="303"/>
      <c r="QQ13" s="303"/>
      <c r="QR13" s="303"/>
      <c r="QS13" s="303"/>
      <c r="QT13" s="303"/>
      <c r="QU13" s="303"/>
      <c r="QV13" s="303"/>
      <c r="QW13" s="303"/>
      <c r="QX13" s="303"/>
      <c r="QY13" s="303"/>
      <c r="QZ13" s="303"/>
      <c r="RA13" s="303"/>
      <c r="RB13" s="303"/>
      <c r="RC13" s="303"/>
      <c r="RD13" s="303"/>
      <c r="RE13" s="303"/>
      <c r="RF13" s="303"/>
      <c r="RG13" s="303"/>
      <c r="RH13" s="303"/>
      <c r="RI13" s="303"/>
      <c r="RJ13" s="303"/>
      <c r="RK13" s="303"/>
      <c r="RL13" s="303"/>
      <c r="RM13" s="303"/>
      <c r="RN13" s="303"/>
      <c r="RO13" s="303"/>
      <c r="RP13" s="303"/>
      <c r="RQ13" s="303"/>
      <c r="RR13" s="303"/>
      <c r="RS13" s="303"/>
      <c r="RT13" s="303"/>
      <c r="RU13" s="303"/>
      <c r="RV13" s="303"/>
      <c r="RW13" s="303"/>
      <c r="RX13" s="303"/>
      <c r="RY13" s="303"/>
      <c r="RZ13" s="303"/>
      <c r="SA13" s="303"/>
      <c r="SB13" s="303"/>
      <c r="SC13" s="303"/>
      <c r="SD13" s="303"/>
      <c r="SE13" s="303"/>
      <c r="SF13" s="303"/>
      <c r="SG13" s="303"/>
      <c r="SH13" s="303"/>
      <c r="SI13" s="303"/>
      <c r="SJ13" s="303"/>
      <c r="SK13" s="303"/>
      <c r="SL13" s="303"/>
      <c r="SM13" s="303"/>
      <c r="SN13" s="303"/>
      <c r="SO13" s="303"/>
    </row>
    <row r="14" spans="1:509" s="308" customFormat="1" ht="13.5" thickTop="1" thickBot="1" x14ac:dyDescent="0.2">
      <c r="A14" s="303"/>
      <c r="B14" s="304"/>
      <c r="C14" s="325">
        <v>1</v>
      </c>
      <c r="D14" s="999"/>
      <c r="E14" s="1000"/>
      <c r="F14" s="1000"/>
      <c r="G14" s="1000"/>
      <c r="H14" s="1000"/>
      <c r="I14" s="1000"/>
      <c r="J14" s="1001"/>
      <c r="K14" s="304"/>
      <c r="L14" s="362"/>
      <c r="M14" s="328"/>
      <c r="N14" s="329"/>
      <c r="O14" s="336"/>
      <c r="P14" s="337"/>
      <c r="Q14" s="344"/>
      <c r="R14" s="345"/>
      <c r="S14" s="356"/>
      <c r="T14" s="357"/>
      <c r="U14" s="305"/>
      <c r="V14" s="306"/>
      <c r="W14" s="306"/>
      <c r="X14" s="306"/>
      <c r="Y14" s="306"/>
      <c r="Z14" s="306"/>
      <c r="AA14" s="306"/>
      <c r="AB14" s="306"/>
      <c r="AC14" s="306"/>
      <c r="AD14" s="306"/>
      <c r="AE14" s="306"/>
      <c r="AF14" s="306"/>
      <c r="AG14" s="306"/>
      <c r="AH14" s="306"/>
      <c r="AI14" s="306"/>
      <c r="AJ14" s="306"/>
      <c r="AK14" s="306"/>
      <c r="AL14" s="306"/>
      <c r="AM14" s="306"/>
      <c r="AN14" s="306"/>
      <c r="AO14" s="306"/>
      <c r="AP14" s="306"/>
      <c r="AQ14" s="306"/>
      <c r="AR14" s="306"/>
      <c r="AS14" s="306"/>
      <c r="AT14" s="306"/>
      <c r="AU14" s="306"/>
      <c r="AV14" s="306"/>
      <c r="AW14" s="306"/>
      <c r="AX14" s="306"/>
      <c r="AY14" s="306"/>
      <c r="AZ14" s="306"/>
      <c r="BA14" s="306"/>
      <c r="BB14" s="306"/>
      <c r="BC14" s="306"/>
      <c r="BD14" s="306"/>
      <c r="BE14" s="306"/>
      <c r="BF14" s="306"/>
      <c r="BG14" s="306"/>
      <c r="BH14" s="306"/>
      <c r="BI14" s="306"/>
      <c r="BJ14" s="306"/>
      <c r="BK14" s="306"/>
      <c r="BL14" s="306"/>
      <c r="BM14" s="306"/>
      <c r="BN14" s="306"/>
      <c r="BO14" s="306"/>
      <c r="BP14" s="306"/>
      <c r="BQ14" s="306"/>
      <c r="BR14" s="306"/>
      <c r="BS14" s="306"/>
      <c r="BT14" s="306"/>
      <c r="BU14" s="306"/>
      <c r="BV14" s="306"/>
      <c r="BW14" s="306"/>
      <c r="BX14" s="306"/>
      <c r="BY14" s="306"/>
      <c r="BZ14" s="306"/>
      <c r="CA14" s="306"/>
      <c r="CB14" s="306"/>
      <c r="CC14" s="306"/>
      <c r="CD14" s="306"/>
      <c r="CE14" s="306"/>
      <c r="CF14" s="306"/>
      <c r="CG14" s="306"/>
      <c r="CH14" s="306"/>
      <c r="CI14" s="306"/>
      <c r="CJ14" s="306"/>
      <c r="CK14" s="306"/>
      <c r="CL14" s="306"/>
      <c r="CM14" s="306"/>
      <c r="CN14" s="306"/>
      <c r="CO14" s="306"/>
      <c r="CP14" s="306"/>
      <c r="CQ14" s="306"/>
      <c r="CR14" s="306"/>
      <c r="CS14" s="306"/>
      <c r="CT14" s="306"/>
      <c r="CU14" s="306"/>
      <c r="CV14" s="306"/>
      <c r="CW14" s="306"/>
      <c r="CX14" s="306"/>
      <c r="CY14" s="306"/>
      <c r="CZ14" s="306"/>
      <c r="DA14" s="306"/>
      <c r="DB14" s="306"/>
      <c r="DC14" s="306"/>
      <c r="DD14" s="306"/>
      <c r="DE14" s="306"/>
      <c r="DF14" s="306"/>
      <c r="DG14" s="306"/>
      <c r="DH14" s="306"/>
      <c r="DI14" s="306"/>
      <c r="DJ14" s="306"/>
      <c r="DK14" s="306"/>
      <c r="DL14" s="306"/>
      <c r="DM14" s="306"/>
      <c r="DN14" s="306"/>
      <c r="DO14" s="306"/>
      <c r="DP14" s="306"/>
      <c r="DQ14" s="306"/>
      <c r="DR14" s="306"/>
      <c r="DS14" s="306"/>
      <c r="DT14" s="306"/>
      <c r="DU14" s="306"/>
      <c r="DV14" s="306"/>
      <c r="DW14" s="306"/>
      <c r="DX14" s="306"/>
      <c r="DY14" s="306"/>
      <c r="DZ14" s="306"/>
      <c r="EA14" s="306"/>
      <c r="EB14" s="306"/>
      <c r="EC14" s="306"/>
      <c r="ED14" s="306"/>
      <c r="EE14" s="306"/>
      <c r="EF14" s="306"/>
      <c r="EG14" s="306"/>
      <c r="EH14" s="306"/>
      <c r="EI14" s="306"/>
      <c r="EJ14" s="306"/>
      <c r="EK14" s="306"/>
      <c r="EL14" s="306"/>
      <c r="EM14" s="306"/>
      <c r="EN14" s="306"/>
      <c r="EO14" s="306"/>
      <c r="EP14" s="306"/>
      <c r="EQ14" s="306"/>
      <c r="ER14" s="306"/>
      <c r="ES14" s="306"/>
      <c r="ET14" s="306"/>
      <c r="EU14" s="306"/>
      <c r="EV14" s="306"/>
      <c r="EW14" s="306"/>
      <c r="EX14" s="306"/>
      <c r="EY14" s="306"/>
      <c r="EZ14" s="306"/>
      <c r="FA14" s="306"/>
      <c r="FB14" s="306"/>
      <c r="FC14" s="306"/>
      <c r="FD14" s="306"/>
      <c r="FE14" s="306"/>
      <c r="FF14" s="306"/>
      <c r="FG14" s="306"/>
      <c r="FH14" s="306"/>
      <c r="FI14" s="306"/>
      <c r="FJ14" s="306"/>
      <c r="FK14" s="306"/>
      <c r="FL14" s="306"/>
      <c r="FM14" s="306"/>
      <c r="FN14" s="306"/>
      <c r="FO14" s="306"/>
      <c r="FP14" s="306"/>
      <c r="FQ14" s="306"/>
      <c r="FR14" s="306"/>
      <c r="FS14" s="306"/>
      <c r="FT14" s="306"/>
      <c r="FU14" s="306"/>
      <c r="FV14" s="306"/>
      <c r="FW14" s="306"/>
      <c r="FX14" s="306"/>
      <c r="FY14" s="306"/>
      <c r="FZ14" s="306"/>
      <c r="GA14" s="306"/>
      <c r="GB14" s="306"/>
      <c r="GC14" s="306"/>
      <c r="GD14" s="306"/>
      <c r="GE14" s="306"/>
      <c r="GF14" s="306"/>
      <c r="GG14" s="306"/>
      <c r="GH14" s="306"/>
      <c r="GI14" s="306"/>
      <c r="GJ14" s="306"/>
      <c r="GK14" s="306"/>
      <c r="GL14" s="306"/>
      <c r="GM14" s="306"/>
      <c r="GN14" s="306"/>
      <c r="GO14" s="306"/>
      <c r="GP14" s="306"/>
      <c r="GQ14" s="306"/>
      <c r="GR14" s="306"/>
      <c r="GS14" s="306"/>
      <c r="GT14" s="306"/>
      <c r="GU14" s="306"/>
      <c r="GV14" s="306"/>
      <c r="GW14" s="306"/>
      <c r="GX14" s="306"/>
      <c r="GY14" s="306"/>
      <c r="GZ14" s="306"/>
      <c r="HA14" s="306"/>
      <c r="HB14" s="306"/>
      <c r="HC14" s="306"/>
      <c r="HD14" s="306"/>
      <c r="HE14" s="306"/>
      <c r="HF14" s="306"/>
      <c r="HG14" s="306"/>
      <c r="HH14" s="306"/>
      <c r="HI14" s="306"/>
      <c r="HJ14" s="306"/>
      <c r="HK14" s="306"/>
      <c r="HL14" s="306"/>
      <c r="HM14" s="307"/>
      <c r="HN14" s="307"/>
      <c r="HO14" s="307"/>
      <c r="HP14" s="307"/>
      <c r="HQ14" s="307"/>
      <c r="HR14" s="307"/>
      <c r="HS14" s="307"/>
      <c r="HT14" s="307"/>
      <c r="HU14" s="303"/>
      <c r="HV14" s="303"/>
      <c r="HW14" s="303"/>
      <c r="HX14" s="303"/>
      <c r="HY14" s="303"/>
      <c r="HZ14" s="303"/>
      <c r="IA14" s="303"/>
      <c r="IB14" s="303"/>
      <c r="IC14" s="303"/>
      <c r="ID14" s="303"/>
      <c r="IE14" s="303"/>
      <c r="IF14" s="303"/>
      <c r="IG14" s="303"/>
      <c r="IH14" s="303"/>
      <c r="II14" s="303"/>
      <c r="IJ14" s="303"/>
      <c r="IK14" s="303"/>
      <c r="IL14" s="303"/>
      <c r="IM14" s="303"/>
      <c r="IN14" s="303"/>
      <c r="IO14" s="303"/>
      <c r="IP14" s="303"/>
      <c r="IQ14" s="303"/>
      <c r="IR14" s="303"/>
      <c r="IS14" s="303"/>
      <c r="IT14" s="303"/>
      <c r="IU14" s="303"/>
      <c r="IV14" s="303"/>
      <c r="IW14" s="303"/>
      <c r="IX14" s="303"/>
      <c r="IY14" s="303"/>
      <c r="IZ14" s="303"/>
      <c r="JA14" s="303"/>
      <c r="JB14" s="303"/>
      <c r="JC14" s="303"/>
      <c r="JD14" s="303"/>
      <c r="JE14" s="303"/>
      <c r="JF14" s="303"/>
      <c r="JG14" s="303"/>
      <c r="JH14" s="303"/>
      <c r="JI14" s="303"/>
      <c r="JJ14" s="303"/>
      <c r="JK14" s="303"/>
      <c r="JL14" s="303"/>
      <c r="JM14" s="303"/>
      <c r="JN14" s="303"/>
      <c r="JO14" s="303"/>
      <c r="JP14" s="303"/>
      <c r="JQ14" s="303"/>
      <c r="JR14" s="303"/>
      <c r="JS14" s="303"/>
      <c r="JT14" s="303"/>
      <c r="JU14" s="303"/>
      <c r="JV14" s="303"/>
      <c r="JW14" s="303"/>
      <c r="JX14" s="303"/>
      <c r="JY14" s="303"/>
      <c r="JZ14" s="303"/>
      <c r="KA14" s="303"/>
      <c r="KB14" s="303"/>
      <c r="KC14" s="303"/>
      <c r="KD14" s="303"/>
      <c r="KE14" s="303"/>
      <c r="KF14" s="303"/>
      <c r="KG14" s="303"/>
      <c r="KH14" s="303"/>
      <c r="KI14" s="303"/>
      <c r="KJ14" s="303"/>
      <c r="KK14" s="303"/>
      <c r="KL14" s="303"/>
      <c r="KM14" s="303"/>
      <c r="KN14" s="303"/>
      <c r="KO14" s="303"/>
      <c r="KP14" s="303"/>
      <c r="KQ14" s="303"/>
      <c r="KR14" s="303"/>
      <c r="KS14" s="303"/>
      <c r="KT14" s="303"/>
      <c r="KU14" s="303"/>
      <c r="KV14" s="303"/>
      <c r="KW14" s="303"/>
      <c r="KX14" s="303"/>
      <c r="KY14" s="303"/>
      <c r="KZ14" s="303"/>
      <c r="LA14" s="303"/>
      <c r="LB14" s="303"/>
      <c r="LC14" s="303"/>
      <c r="LD14" s="303"/>
      <c r="LE14" s="303"/>
      <c r="LF14" s="303"/>
      <c r="LG14" s="303"/>
      <c r="LH14" s="303"/>
      <c r="LI14" s="303"/>
      <c r="LJ14" s="303"/>
      <c r="LK14" s="303"/>
      <c r="LL14" s="303"/>
      <c r="LM14" s="303"/>
      <c r="LN14" s="303"/>
      <c r="LO14" s="303"/>
      <c r="LP14" s="303"/>
      <c r="LQ14" s="303"/>
      <c r="LR14" s="303"/>
      <c r="LS14" s="303"/>
      <c r="LT14" s="303"/>
      <c r="LU14" s="303"/>
      <c r="LV14" s="303"/>
      <c r="LW14" s="303"/>
      <c r="LX14" s="303"/>
      <c r="LY14" s="303"/>
      <c r="LZ14" s="303"/>
      <c r="MA14" s="303"/>
      <c r="MB14" s="303"/>
      <c r="MC14" s="303"/>
      <c r="MD14" s="303"/>
      <c r="ME14" s="303"/>
      <c r="MF14" s="303"/>
      <c r="MG14" s="303"/>
      <c r="MH14" s="303"/>
      <c r="MI14" s="303"/>
      <c r="MJ14" s="303"/>
      <c r="MK14" s="303"/>
      <c r="ML14" s="303"/>
      <c r="MM14" s="303"/>
      <c r="MN14" s="303"/>
      <c r="MO14" s="303"/>
      <c r="MP14" s="303"/>
      <c r="MQ14" s="303"/>
      <c r="MR14" s="303"/>
      <c r="MS14" s="303"/>
      <c r="MT14" s="303"/>
      <c r="MU14" s="303"/>
      <c r="MV14" s="303"/>
      <c r="MW14" s="303"/>
      <c r="MX14" s="303"/>
      <c r="MY14" s="303"/>
      <c r="MZ14" s="303"/>
      <c r="NA14" s="303"/>
      <c r="NB14" s="303"/>
      <c r="NC14" s="303"/>
      <c r="ND14" s="303"/>
      <c r="NE14" s="303"/>
      <c r="NF14" s="303"/>
      <c r="NG14" s="303"/>
      <c r="NH14" s="303"/>
      <c r="NI14" s="303"/>
      <c r="NJ14" s="303"/>
      <c r="NK14" s="303"/>
      <c r="NL14" s="303"/>
      <c r="NM14" s="303"/>
      <c r="NN14" s="303"/>
      <c r="NO14" s="303"/>
      <c r="NP14" s="303"/>
      <c r="NQ14" s="303"/>
      <c r="NR14" s="303"/>
      <c r="NS14" s="303"/>
      <c r="NT14" s="303"/>
      <c r="NU14" s="303"/>
      <c r="NV14" s="303"/>
      <c r="NW14" s="303"/>
      <c r="NX14" s="303"/>
      <c r="NY14" s="303"/>
      <c r="NZ14" s="303"/>
      <c r="OA14" s="303"/>
      <c r="OB14" s="303"/>
      <c r="OC14" s="303"/>
      <c r="OD14" s="303"/>
      <c r="OE14" s="303"/>
      <c r="OF14" s="303"/>
      <c r="OG14" s="303"/>
      <c r="OH14" s="303"/>
      <c r="OI14" s="303"/>
      <c r="OJ14" s="303"/>
      <c r="OK14" s="303"/>
      <c r="OL14" s="303"/>
      <c r="OM14" s="303"/>
      <c r="ON14" s="303"/>
      <c r="OO14" s="303"/>
      <c r="OP14" s="303"/>
      <c r="OQ14" s="303"/>
      <c r="OR14" s="303"/>
      <c r="OS14" s="303"/>
      <c r="OT14" s="303"/>
      <c r="OU14" s="303"/>
      <c r="OV14" s="303"/>
      <c r="OW14" s="303"/>
      <c r="OX14" s="303"/>
      <c r="OY14" s="303"/>
      <c r="OZ14" s="303"/>
      <c r="PA14" s="303"/>
      <c r="PB14" s="303"/>
      <c r="PC14" s="303"/>
      <c r="PD14" s="303"/>
      <c r="PE14" s="303"/>
      <c r="PF14" s="303"/>
      <c r="PG14" s="303"/>
      <c r="PH14" s="303"/>
      <c r="PI14" s="303"/>
      <c r="PJ14" s="303"/>
      <c r="PK14" s="303"/>
      <c r="PL14" s="303"/>
      <c r="PM14" s="303"/>
      <c r="PN14" s="303"/>
      <c r="PO14" s="303"/>
      <c r="PP14" s="303"/>
      <c r="PQ14" s="303"/>
      <c r="PR14" s="303"/>
      <c r="PS14" s="303"/>
      <c r="PT14" s="303"/>
      <c r="PU14" s="303"/>
      <c r="PV14" s="303"/>
      <c r="PW14" s="303"/>
      <c r="PX14" s="303"/>
      <c r="PY14" s="303"/>
      <c r="PZ14" s="303"/>
      <c r="QA14" s="303"/>
      <c r="QB14" s="303"/>
      <c r="QC14" s="303"/>
      <c r="QD14" s="303"/>
      <c r="QE14" s="303"/>
      <c r="QF14" s="303"/>
      <c r="QG14" s="303"/>
      <c r="QH14" s="303"/>
      <c r="QI14" s="303"/>
      <c r="QJ14" s="303"/>
      <c r="QK14" s="303"/>
      <c r="QL14" s="303"/>
      <c r="QM14" s="303"/>
      <c r="QN14" s="303"/>
      <c r="QO14" s="303"/>
      <c r="QP14" s="303"/>
      <c r="QQ14" s="303"/>
      <c r="QR14" s="303"/>
      <c r="QS14" s="303"/>
      <c r="QT14" s="303"/>
      <c r="QU14" s="303"/>
      <c r="QV14" s="303"/>
      <c r="QW14" s="303"/>
      <c r="QX14" s="303"/>
      <c r="QY14" s="303"/>
      <c r="QZ14" s="303"/>
      <c r="RA14" s="303"/>
      <c r="RB14" s="303"/>
      <c r="RC14" s="303"/>
      <c r="RD14" s="303"/>
      <c r="RE14" s="303"/>
      <c r="RF14" s="303"/>
      <c r="RG14" s="303"/>
      <c r="RH14" s="303"/>
      <c r="RI14" s="303"/>
      <c r="RJ14" s="303"/>
      <c r="RK14" s="303"/>
      <c r="RL14" s="303"/>
      <c r="RM14" s="303"/>
      <c r="RN14" s="303"/>
      <c r="RO14" s="303"/>
      <c r="RP14" s="303"/>
      <c r="RQ14" s="303"/>
      <c r="RR14" s="303"/>
      <c r="RS14" s="303"/>
      <c r="RT14" s="303"/>
      <c r="RU14" s="303"/>
      <c r="RV14" s="303"/>
      <c r="RW14" s="303"/>
      <c r="RX14" s="303"/>
      <c r="RY14" s="303"/>
      <c r="RZ14" s="303"/>
      <c r="SA14" s="303"/>
      <c r="SB14" s="303"/>
      <c r="SC14" s="303"/>
      <c r="SD14" s="303"/>
      <c r="SE14" s="303"/>
      <c r="SF14" s="303"/>
      <c r="SG14" s="303"/>
      <c r="SH14" s="303"/>
      <c r="SI14" s="303"/>
      <c r="SJ14" s="303"/>
      <c r="SK14" s="303"/>
      <c r="SL14" s="303"/>
      <c r="SM14" s="303"/>
      <c r="SN14" s="303"/>
      <c r="SO14" s="303"/>
    </row>
    <row r="15" spans="1:509" s="308" customFormat="1" ht="12.75" thickBot="1" x14ac:dyDescent="0.2">
      <c r="A15" s="303"/>
      <c r="B15" s="304"/>
      <c r="C15" s="325">
        <v>2</v>
      </c>
      <c r="D15" s="999"/>
      <c r="E15" s="1000"/>
      <c r="F15" s="1000"/>
      <c r="G15" s="1000"/>
      <c r="H15" s="1000"/>
      <c r="I15" s="1000"/>
      <c r="J15" s="1001"/>
      <c r="K15" s="304"/>
      <c r="L15" s="363"/>
      <c r="M15" s="330"/>
      <c r="N15" s="331"/>
      <c r="O15" s="338"/>
      <c r="P15" s="339"/>
      <c r="Q15" s="346"/>
      <c r="R15" s="347"/>
      <c r="S15" s="354"/>
      <c r="T15" s="355"/>
      <c r="U15" s="305"/>
      <c r="V15" s="306"/>
      <c r="W15" s="306"/>
      <c r="X15" s="306"/>
      <c r="Y15" s="306"/>
      <c r="Z15" s="306"/>
      <c r="AA15" s="306"/>
      <c r="AB15" s="306"/>
      <c r="AC15" s="306"/>
      <c r="AD15" s="306"/>
      <c r="AE15" s="306"/>
      <c r="AF15" s="306"/>
      <c r="AG15" s="306"/>
      <c r="AH15" s="306"/>
      <c r="AI15" s="306"/>
      <c r="AJ15" s="306"/>
      <c r="AK15" s="306"/>
      <c r="AL15" s="306"/>
      <c r="AM15" s="306"/>
      <c r="AN15" s="306"/>
      <c r="AO15" s="306"/>
      <c r="AP15" s="306"/>
      <c r="AQ15" s="306"/>
      <c r="AR15" s="306"/>
      <c r="AS15" s="306"/>
      <c r="AT15" s="306"/>
      <c r="AU15" s="306"/>
      <c r="AV15" s="306"/>
      <c r="AW15" s="306"/>
      <c r="AX15" s="306"/>
      <c r="AY15" s="306"/>
      <c r="AZ15" s="306"/>
      <c r="BA15" s="306"/>
      <c r="BB15" s="306"/>
      <c r="BC15" s="306"/>
      <c r="BD15" s="306"/>
      <c r="BE15" s="306"/>
      <c r="BF15" s="306"/>
      <c r="BG15" s="306"/>
      <c r="BH15" s="306"/>
      <c r="BI15" s="306"/>
      <c r="BJ15" s="306"/>
      <c r="BK15" s="306"/>
      <c r="BL15" s="306"/>
      <c r="BM15" s="306"/>
      <c r="BN15" s="306"/>
      <c r="BO15" s="306"/>
      <c r="BP15" s="306"/>
      <c r="BQ15" s="306"/>
      <c r="BR15" s="306"/>
      <c r="BS15" s="306"/>
      <c r="BT15" s="306"/>
      <c r="BU15" s="306"/>
      <c r="BV15" s="306"/>
      <c r="BW15" s="306"/>
      <c r="BX15" s="306"/>
      <c r="BY15" s="306"/>
      <c r="BZ15" s="306"/>
      <c r="CA15" s="306"/>
      <c r="CB15" s="306"/>
      <c r="CC15" s="306"/>
      <c r="CD15" s="306"/>
      <c r="CE15" s="306"/>
      <c r="CF15" s="306"/>
      <c r="CG15" s="306"/>
      <c r="CH15" s="306"/>
      <c r="CI15" s="306"/>
      <c r="CJ15" s="306"/>
      <c r="CK15" s="306"/>
      <c r="CL15" s="306"/>
      <c r="CM15" s="306"/>
      <c r="CN15" s="306"/>
      <c r="CO15" s="306"/>
      <c r="CP15" s="306"/>
      <c r="CQ15" s="306"/>
      <c r="CR15" s="306"/>
      <c r="CS15" s="306"/>
      <c r="CT15" s="306"/>
      <c r="CU15" s="306"/>
      <c r="CV15" s="306"/>
      <c r="CW15" s="306"/>
      <c r="CX15" s="306"/>
      <c r="CY15" s="306"/>
      <c r="CZ15" s="306"/>
      <c r="DA15" s="306"/>
      <c r="DB15" s="306"/>
      <c r="DC15" s="306"/>
      <c r="DD15" s="306"/>
      <c r="DE15" s="306"/>
      <c r="DF15" s="306"/>
      <c r="DG15" s="306"/>
      <c r="DH15" s="306"/>
      <c r="DI15" s="306"/>
      <c r="DJ15" s="306"/>
      <c r="DK15" s="306"/>
      <c r="DL15" s="306"/>
      <c r="DM15" s="306"/>
      <c r="DN15" s="306"/>
      <c r="DO15" s="306"/>
      <c r="DP15" s="306"/>
      <c r="DQ15" s="306"/>
      <c r="DR15" s="306"/>
      <c r="DS15" s="306"/>
      <c r="DT15" s="306"/>
      <c r="DU15" s="306"/>
      <c r="DV15" s="306"/>
      <c r="DW15" s="306"/>
      <c r="DX15" s="306"/>
      <c r="DY15" s="306"/>
      <c r="DZ15" s="306"/>
      <c r="EA15" s="306"/>
      <c r="EB15" s="306"/>
      <c r="EC15" s="306"/>
      <c r="ED15" s="306"/>
      <c r="EE15" s="306"/>
      <c r="EF15" s="306"/>
      <c r="EG15" s="306"/>
      <c r="EH15" s="306"/>
      <c r="EI15" s="306"/>
      <c r="EJ15" s="306"/>
      <c r="EK15" s="306"/>
      <c r="EL15" s="306"/>
      <c r="EM15" s="306"/>
      <c r="EN15" s="306"/>
      <c r="EO15" s="306"/>
      <c r="EP15" s="306"/>
      <c r="EQ15" s="306"/>
      <c r="ER15" s="306"/>
      <c r="ES15" s="306"/>
      <c r="ET15" s="306"/>
      <c r="EU15" s="306"/>
      <c r="EV15" s="306"/>
      <c r="EW15" s="306"/>
      <c r="EX15" s="306"/>
      <c r="EY15" s="306"/>
      <c r="EZ15" s="306"/>
      <c r="FA15" s="306"/>
      <c r="FB15" s="306"/>
      <c r="FC15" s="306"/>
      <c r="FD15" s="306"/>
      <c r="FE15" s="306"/>
      <c r="FF15" s="306"/>
      <c r="FG15" s="306"/>
      <c r="FH15" s="306"/>
      <c r="FI15" s="306"/>
      <c r="FJ15" s="306"/>
      <c r="FK15" s="306"/>
      <c r="FL15" s="306"/>
      <c r="FM15" s="306"/>
      <c r="FN15" s="306"/>
      <c r="FO15" s="306"/>
      <c r="FP15" s="306"/>
      <c r="FQ15" s="306"/>
      <c r="FR15" s="306"/>
      <c r="FS15" s="306"/>
      <c r="FT15" s="306"/>
      <c r="FU15" s="306"/>
      <c r="FV15" s="306"/>
      <c r="FW15" s="306"/>
      <c r="FX15" s="306"/>
      <c r="FY15" s="306"/>
      <c r="FZ15" s="306"/>
      <c r="GA15" s="306"/>
      <c r="GB15" s="306"/>
      <c r="GC15" s="306"/>
      <c r="GD15" s="306"/>
      <c r="GE15" s="306"/>
      <c r="GF15" s="306"/>
      <c r="GG15" s="306"/>
      <c r="GH15" s="306"/>
      <c r="GI15" s="306"/>
      <c r="GJ15" s="306"/>
      <c r="GK15" s="306"/>
      <c r="GL15" s="306"/>
      <c r="GM15" s="306"/>
      <c r="GN15" s="306"/>
      <c r="GO15" s="306"/>
      <c r="GP15" s="306"/>
      <c r="GQ15" s="306"/>
      <c r="GR15" s="306"/>
      <c r="GS15" s="306"/>
      <c r="GT15" s="306"/>
      <c r="GU15" s="306"/>
      <c r="GV15" s="306"/>
      <c r="GW15" s="306"/>
      <c r="GX15" s="306"/>
      <c r="GY15" s="306"/>
      <c r="GZ15" s="306"/>
      <c r="HA15" s="306"/>
      <c r="HB15" s="306"/>
      <c r="HC15" s="306"/>
      <c r="HD15" s="306"/>
      <c r="HE15" s="306"/>
      <c r="HF15" s="306"/>
      <c r="HG15" s="306"/>
      <c r="HH15" s="306"/>
      <c r="HI15" s="306"/>
      <c r="HJ15" s="306"/>
      <c r="HK15" s="306"/>
      <c r="HL15" s="306"/>
      <c r="HM15" s="307"/>
      <c r="HN15" s="307"/>
      <c r="HO15" s="307"/>
      <c r="HP15" s="307"/>
      <c r="HQ15" s="307"/>
      <c r="HR15" s="307"/>
      <c r="HS15" s="307"/>
      <c r="HT15" s="307"/>
      <c r="HU15" s="303"/>
      <c r="HV15" s="303"/>
      <c r="HW15" s="303"/>
      <c r="HX15" s="303"/>
      <c r="HY15" s="303"/>
      <c r="HZ15" s="303"/>
      <c r="IA15" s="303"/>
      <c r="IB15" s="303"/>
      <c r="IC15" s="303"/>
      <c r="ID15" s="303"/>
      <c r="IE15" s="303"/>
      <c r="IF15" s="303"/>
      <c r="IG15" s="303"/>
      <c r="IH15" s="303"/>
      <c r="II15" s="303"/>
      <c r="IJ15" s="303"/>
      <c r="IK15" s="303"/>
      <c r="IL15" s="303"/>
      <c r="IM15" s="303"/>
      <c r="IN15" s="303"/>
      <c r="IO15" s="303"/>
      <c r="IP15" s="303"/>
      <c r="IQ15" s="303"/>
      <c r="IR15" s="303"/>
      <c r="IS15" s="303"/>
      <c r="IT15" s="303"/>
      <c r="IU15" s="303"/>
      <c r="IV15" s="303"/>
      <c r="IW15" s="303"/>
      <c r="IX15" s="303"/>
      <c r="IY15" s="303"/>
      <c r="IZ15" s="303"/>
      <c r="JA15" s="303"/>
      <c r="JB15" s="303"/>
      <c r="JC15" s="303"/>
      <c r="JD15" s="303"/>
      <c r="JE15" s="303"/>
      <c r="JF15" s="303"/>
      <c r="JG15" s="303"/>
      <c r="JH15" s="303"/>
      <c r="JI15" s="303"/>
      <c r="JJ15" s="303"/>
      <c r="JK15" s="303"/>
      <c r="JL15" s="303"/>
      <c r="JM15" s="303"/>
      <c r="JN15" s="303"/>
      <c r="JO15" s="303"/>
      <c r="JP15" s="303"/>
      <c r="JQ15" s="303"/>
      <c r="JR15" s="303"/>
      <c r="JS15" s="303"/>
      <c r="JT15" s="303"/>
      <c r="JU15" s="303"/>
      <c r="JV15" s="303"/>
      <c r="JW15" s="303"/>
      <c r="JX15" s="303"/>
      <c r="JY15" s="303"/>
      <c r="JZ15" s="303"/>
      <c r="KA15" s="303"/>
      <c r="KB15" s="303"/>
      <c r="KC15" s="303"/>
      <c r="KD15" s="303"/>
      <c r="KE15" s="303"/>
      <c r="KF15" s="303"/>
      <c r="KG15" s="303"/>
      <c r="KH15" s="303"/>
      <c r="KI15" s="303"/>
      <c r="KJ15" s="303"/>
      <c r="KK15" s="303"/>
      <c r="KL15" s="303"/>
      <c r="KM15" s="303"/>
      <c r="KN15" s="303"/>
      <c r="KO15" s="303"/>
      <c r="KP15" s="303"/>
      <c r="KQ15" s="303"/>
      <c r="KR15" s="303"/>
      <c r="KS15" s="303"/>
      <c r="KT15" s="303"/>
      <c r="KU15" s="303"/>
      <c r="KV15" s="303"/>
      <c r="KW15" s="303"/>
      <c r="KX15" s="303"/>
      <c r="KY15" s="303"/>
      <c r="KZ15" s="303"/>
      <c r="LA15" s="303"/>
      <c r="LB15" s="303"/>
      <c r="LC15" s="303"/>
      <c r="LD15" s="303"/>
      <c r="LE15" s="303"/>
      <c r="LF15" s="303"/>
      <c r="LG15" s="303"/>
      <c r="LH15" s="303"/>
      <c r="LI15" s="303"/>
      <c r="LJ15" s="303"/>
      <c r="LK15" s="303"/>
      <c r="LL15" s="303"/>
      <c r="LM15" s="303"/>
      <c r="LN15" s="303"/>
      <c r="LO15" s="303"/>
      <c r="LP15" s="303"/>
      <c r="LQ15" s="303"/>
      <c r="LR15" s="303"/>
      <c r="LS15" s="303"/>
      <c r="LT15" s="303"/>
      <c r="LU15" s="303"/>
      <c r="LV15" s="303"/>
      <c r="LW15" s="303"/>
      <c r="LX15" s="303"/>
      <c r="LY15" s="303"/>
      <c r="LZ15" s="303"/>
      <c r="MA15" s="303"/>
      <c r="MB15" s="303"/>
      <c r="MC15" s="303"/>
      <c r="MD15" s="303"/>
      <c r="ME15" s="303"/>
      <c r="MF15" s="303"/>
      <c r="MG15" s="303"/>
      <c r="MH15" s="303"/>
      <c r="MI15" s="303"/>
      <c r="MJ15" s="303"/>
      <c r="MK15" s="303"/>
      <c r="ML15" s="303"/>
      <c r="MM15" s="303"/>
      <c r="MN15" s="303"/>
      <c r="MO15" s="303"/>
      <c r="MP15" s="303"/>
      <c r="MQ15" s="303"/>
      <c r="MR15" s="303"/>
      <c r="MS15" s="303"/>
      <c r="MT15" s="303"/>
      <c r="MU15" s="303"/>
      <c r="MV15" s="303"/>
      <c r="MW15" s="303"/>
      <c r="MX15" s="303"/>
      <c r="MY15" s="303"/>
      <c r="MZ15" s="303"/>
      <c r="NA15" s="303"/>
      <c r="NB15" s="303"/>
      <c r="NC15" s="303"/>
      <c r="ND15" s="303"/>
      <c r="NE15" s="303"/>
      <c r="NF15" s="303"/>
      <c r="NG15" s="303"/>
      <c r="NH15" s="303"/>
      <c r="NI15" s="303"/>
      <c r="NJ15" s="303"/>
      <c r="NK15" s="303"/>
      <c r="NL15" s="303"/>
      <c r="NM15" s="303"/>
      <c r="NN15" s="303"/>
      <c r="NO15" s="303"/>
      <c r="NP15" s="303"/>
      <c r="NQ15" s="303"/>
      <c r="NR15" s="303"/>
      <c r="NS15" s="303"/>
      <c r="NT15" s="303"/>
      <c r="NU15" s="303"/>
      <c r="NV15" s="303"/>
      <c r="NW15" s="303"/>
      <c r="NX15" s="303"/>
      <c r="NY15" s="303"/>
      <c r="NZ15" s="303"/>
      <c r="OA15" s="303"/>
      <c r="OB15" s="303"/>
      <c r="OC15" s="303"/>
      <c r="OD15" s="303"/>
      <c r="OE15" s="303"/>
      <c r="OF15" s="303"/>
      <c r="OG15" s="303"/>
      <c r="OH15" s="303"/>
      <c r="OI15" s="303"/>
      <c r="OJ15" s="303"/>
      <c r="OK15" s="303"/>
      <c r="OL15" s="303"/>
      <c r="OM15" s="303"/>
      <c r="ON15" s="303"/>
      <c r="OO15" s="303"/>
      <c r="OP15" s="303"/>
      <c r="OQ15" s="303"/>
      <c r="OR15" s="303"/>
      <c r="OS15" s="303"/>
      <c r="OT15" s="303"/>
      <c r="OU15" s="303"/>
      <c r="OV15" s="303"/>
      <c r="OW15" s="303"/>
      <c r="OX15" s="303"/>
      <c r="OY15" s="303"/>
      <c r="OZ15" s="303"/>
      <c r="PA15" s="303"/>
      <c r="PB15" s="303"/>
      <c r="PC15" s="303"/>
      <c r="PD15" s="303"/>
      <c r="PE15" s="303"/>
      <c r="PF15" s="303"/>
      <c r="PG15" s="303"/>
      <c r="PH15" s="303"/>
      <c r="PI15" s="303"/>
      <c r="PJ15" s="303"/>
      <c r="PK15" s="303"/>
      <c r="PL15" s="303"/>
      <c r="PM15" s="303"/>
      <c r="PN15" s="303"/>
      <c r="PO15" s="303"/>
      <c r="PP15" s="303"/>
      <c r="PQ15" s="303"/>
      <c r="PR15" s="303"/>
      <c r="PS15" s="303"/>
      <c r="PT15" s="303"/>
      <c r="PU15" s="303"/>
      <c r="PV15" s="303"/>
      <c r="PW15" s="303"/>
      <c r="PX15" s="303"/>
      <c r="PY15" s="303"/>
      <c r="PZ15" s="303"/>
      <c r="QA15" s="303"/>
      <c r="QB15" s="303"/>
      <c r="QC15" s="303"/>
      <c r="QD15" s="303"/>
      <c r="QE15" s="303"/>
      <c r="QF15" s="303"/>
      <c r="QG15" s="303"/>
      <c r="QH15" s="303"/>
      <c r="QI15" s="303"/>
      <c r="QJ15" s="303"/>
      <c r="QK15" s="303"/>
      <c r="QL15" s="303"/>
      <c r="QM15" s="303"/>
      <c r="QN15" s="303"/>
      <c r="QO15" s="303"/>
      <c r="QP15" s="303"/>
      <c r="QQ15" s="303"/>
      <c r="QR15" s="303"/>
      <c r="QS15" s="303"/>
      <c r="QT15" s="303"/>
      <c r="QU15" s="303"/>
      <c r="QV15" s="303"/>
      <c r="QW15" s="303"/>
      <c r="QX15" s="303"/>
      <c r="QY15" s="303"/>
      <c r="QZ15" s="303"/>
      <c r="RA15" s="303"/>
      <c r="RB15" s="303"/>
      <c r="RC15" s="303"/>
      <c r="RD15" s="303"/>
      <c r="RE15" s="303"/>
      <c r="RF15" s="303"/>
      <c r="RG15" s="303"/>
      <c r="RH15" s="303"/>
      <c r="RI15" s="303"/>
      <c r="RJ15" s="303"/>
      <c r="RK15" s="303"/>
      <c r="RL15" s="303"/>
      <c r="RM15" s="303"/>
      <c r="RN15" s="303"/>
      <c r="RO15" s="303"/>
      <c r="RP15" s="303"/>
      <c r="RQ15" s="303"/>
      <c r="RR15" s="303"/>
      <c r="RS15" s="303"/>
      <c r="RT15" s="303"/>
      <c r="RU15" s="303"/>
      <c r="RV15" s="303"/>
      <c r="RW15" s="303"/>
      <c r="RX15" s="303"/>
      <c r="RY15" s="303"/>
      <c r="RZ15" s="303"/>
      <c r="SA15" s="303"/>
      <c r="SB15" s="303"/>
      <c r="SC15" s="303"/>
      <c r="SD15" s="303"/>
      <c r="SE15" s="303"/>
      <c r="SF15" s="303"/>
      <c r="SG15" s="303"/>
      <c r="SH15" s="303"/>
      <c r="SI15" s="303"/>
      <c r="SJ15" s="303"/>
      <c r="SK15" s="303"/>
      <c r="SL15" s="303"/>
      <c r="SM15" s="303"/>
      <c r="SN15" s="303"/>
      <c r="SO15" s="303"/>
    </row>
    <row r="16" spans="1:509" s="308" customFormat="1" ht="12.75" thickBot="1" x14ac:dyDescent="0.2">
      <c r="A16" s="303"/>
      <c r="B16" s="304"/>
      <c r="C16" s="325">
        <v>3</v>
      </c>
      <c r="D16" s="999"/>
      <c r="E16" s="1000"/>
      <c r="F16" s="1000"/>
      <c r="G16" s="1000"/>
      <c r="H16" s="1000"/>
      <c r="I16" s="1000"/>
      <c r="J16" s="1001"/>
      <c r="K16" s="304"/>
      <c r="L16" s="363"/>
      <c r="M16" s="330"/>
      <c r="N16" s="331"/>
      <c r="O16" s="338"/>
      <c r="P16" s="339"/>
      <c r="Q16" s="346"/>
      <c r="R16" s="347"/>
      <c r="S16" s="354"/>
      <c r="T16" s="355"/>
      <c r="U16" s="305"/>
      <c r="V16" s="306"/>
      <c r="W16" s="306"/>
      <c r="X16" s="306"/>
      <c r="Y16" s="306"/>
      <c r="Z16" s="306"/>
      <c r="AA16" s="306"/>
      <c r="AB16" s="306"/>
      <c r="AC16" s="306"/>
      <c r="AD16" s="306"/>
      <c r="AE16" s="306"/>
      <c r="AF16" s="306"/>
      <c r="AG16" s="306"/>
      <c r="AH16" s="306"/>
      <c r="AI16" s="306"/>
      <c r="AJ16" s="306"/>
      <c r="AK16" s="306"/>
      <c r="AL16" s="306"/>
      <c r="AM16" s="306"/>
      <c r="AN16" s="306"/>
      <c r="AO16" s="306"/>
      <c r="AP16" s="306"/>
      <c r="AQ16" s="306"/>
      <c r="AR16" s="306"/>
      <c r="AS16" s="306"/>
      <c r="AT16" s="306"/>
      <c r="AU16" s="306"/>
      <c r="AV16" s="306"/>
      <c r="AW16" s="306"/>
      <c r="AX16" s="306"/>
      <c r="AY16" s="306"/>
      <c r="AZ16" s="306"/>
      <c r="BA16" s="306"/>
      <c r="BB16" s="306"/>
      <c r="BC16" s="306"/>
      <c r="BD16" s="306"/>
      <c r="BE16" s="306"/>
      <c r="BF16" s="306"/>
      <c r="BG16" s="306"/>
      <c r="BH16" s="306"/>
      <c r="BI16" s="306"/>
      <c r="BJ16" s="306"/>
      <c r="BK16" s="306"/>
      <c r="BL16" s="306"/>
      <c r="BM16" s="306"/>
      <c r="BN16" s="306"/>
      <c r="BO16" s="306"/>
      <c r="BP16" s="306"/>
      <c r="BQ16" s="306"/>
      <c r="BR16" s="306"/>
      <c r="BS16" s="306"/>
      <c r="BT16" s="306"/>
      <c r="BU16" s="306"/>
      <c r="BV16" s="306"/>
      <c r="BW16" s="306"/>
      <c r="BX16" s="306"/>
      <c r="BY16" s="306"/>
      <c r="BZ16" s="306"/>
      <c r="CA16" s="306"/>
      <c r="CB16" s="306"/>
      <c r="CC16" s="306"/>
      <c r="CD16" s="306"/>
      <c r="CE16" s="306"/>
      <c r="CF16" s="306"/>
      <c r="CG16" s="306"/>
      <c r="CH16" s="306"/>
      <c r="CI16" s="306"/>
      <c r="CJ16" s="306"/>
      <c r="CK16" s="306"/>
      <c r="CL16" s="306"/>
      <c r="CM16" s="306"/>
      <c r="CN16" s="306"/>
      <c r="CO16" s="306"/>
      <c r="CP16" s="306"/>
      <c r="CQ16" s="306"/>
      <c r="CR16" s="306"/>
      <c r="CS16" s="306"/>
      <c r="CT16" s="306"/>
      <c r="CU16" s="306"/>
      <c r="CV16" s="306"/>
      <c r="CW16" s="306"/>
      <c r="CX16" s="306"/>
      <c r="CY16" s="306"/>
      <c r="CZ16" s="306"/>
      <c r="DA16" s="306"/>
      <c r="DB16" s="306"/>
      <c r="DC16" s="306"/>
      <c r="DD16" s="306"/>
      <c r="DE16" s="306"/>
      <c r="DF16" s="306"/>
      <c r="DG16" s="306"/>
      <c r="DH16" s="306"/>
      <c r="DI16" s="306"/>
      <c r="DJ16" s="306"/>
      <c r="DK16" s="306"/>
      <c r="DL16" s="306"/>
      <c r="DM16" s="306"/>
      <c r="DN16" s="306"/>
      <c r="DO16" s="306"/>
      <c r="DP16" s="306"/>
      <c r="DQ16" s="306"/>
      <c r="DR16" s="306"/>
      <c r="DS16" s="306"/>
      <c r="DT16" s="306"/>
      <c r="DU16" s="306"/>
      <c r="DV16" s="306"/>
      <c r="DW16" s="306"/>
      <c r="DX16" s="306"/>
      <c r="DY16" s="306"/>
      <c r="DZ16" s="306"/>
      <c r="EA16" s="306"/>
      <c r="EB16" s="306"/>
      <c r="EC16" s="306"/>
      <c r="ED16" s="306"/>
      <c r="EE16" s="306"/>
      <c r="EF16" s="306"/>
      <c r="EG16" s="306"/>
      <c r="EH16" s="306"/>
      <c r="EI16" s="306"/>
      <c r="EJ16" s="306"/>
      <c r="EK16" s="306"/>
      <c r="EL16" s="306"/>
      <c r="EM16" s="306"/>
      <c r="EN16" s="306"/>
      <c r="EO16" s="306"/>
      <c r="EP16" s="306"/>
      <c r="EQ16" s="306"/>
      <c r="ER16" s="306"/>
      <c r="ES16" s="306"/>
      <c r="ET16" s="306"/>
      <c r="EU16" s="306"/>
      <c r="EV16" s="306"/>
      <c r="EW16" s="306"/>
      <c r="EX16" s="306"/>
      <c r="EY16" s="306"/>
      <c r="EZ16" s="306"/>
      <c r="FA16" s="306"/>
      <c r="FB16" s="306"/>
      <c r="FC16" s="306"/>
      <c r="FD16" s="306"/>
      <c r="FE16" s="306"/>
      <c r="FF16" s="306"/>
      <c r="FG16" s="306"/>
      <c r="FH16" s="306"/>
      <c r="FI16" s="306"/>
      <c r="FJ16" s="306"/>
      <c r="FK16" s="306"/>
      <c r="FL16" s="306"/>
      <c r="FM16" s="306"/>
      <c r="FN16" s="306"/>
      <c r="FO16" s="306"/>
      <c r="FP16" s="306"/>
      <c r="FQ16" s="306"/>
      <c r="FR16" s="306"/>
      <c r="FS16" s="306"/>
      <c r="FT16" s="306"/>
      <c r="FU16" s="306"/>
      <c r="FV16" s="306"/>
      <c r="FW16" s="306"/>
      <c r="FX16" s="306"/>
      <c r="FY16" s="306"/>
      <c r="FZ16" s="306"/>
      <c r="GA16" s="306"/>
      <c r="GB16" s="306"/>
      <c r="GC16" s="306"/>
      <c r="GD16" s="306"/>
      <c r="GE16" s="306"/>
      <c r="GF16" s="306"/>
      <c r="GG16" s="306"/>
      <c r="GH16" s="306"/>
      <c r="GI16" s="306"/>
      <c r="GJ16" s="306"/>
      <c r="GK16" s="306"/>
      <c r="GL16" s="306"/>
      <c r="GM16" s="306"/>
      <c r="GN16" s="306"/>
      <c r="GO16" s="306"/>
      <c r="GP16" s="306"/>
      <c r="GQ16" s="306"/>
      <c r="GR16" s="306"/>
      <c r="GS16" s="306"/>
      <c r="GT16" s="306"/>
      <c r="GU16" s="306"/>
      <c r="GV16" s="306"/>
      <c r="GW16" s="306"/>
      <c r="GX16" s="306"/>
      <c r="GY16" s="306"/>
      <c r="GZ16" s="306"/>
      <c r="HA16" s="306"/>
      <c r="HB16" s="306"/>
      <c r="HC16" s="306"/>
      <c r="HD16" s="306"/>
      <c r="HE16" s="306"/>
      <c r="HF16" s="306"/>
      <c r="HG16" s="306"/>
      <c r="HH16" s="306"/>
      <c r="HI16" s="306"/>
      <c r="HJ16" s="306"/>
      <c r="HK16" s="306"/>
      <c r="HL16" s="306"/>
      <c r="HM16" s="307"/>
      <c r="HN16" s="307"/>
      <c r="HO16" s="307"/>
      <c r="HP16" s="307"/>
      <c r="HQ16" s="307"/>
      <c r="HR16" s="307"/>
      <c r="HS16" s="307"/>
      <c r="HT16" s="307"/>
      <c r="HU16" s="303"/>
      <c r="HV16" s="303"/>
      <c r="HW16" s="303"/>
      <c r="HX16" s="303"/>
      <c r="HY16" s="303"/>
      <c r="HZ16" s="303"/>
      <c r="IA16" s="303"/>
      <c r="IB16" s="303"/>
      <c r="IC16" s="303"/>
      <c r="ID16" s="303"/>
      <c r="IE16" s="303"/>
      <c r="IF16" s="303"/>
      <c r="IG16" s="303"/>
      <c r="IH16" s="303"/>
      <c r="II16" s="303"/>
      <c r="IJ16" s="303"/>
      <c r="IK16" s="303"/>
      <c r="IL16" s="303"/>
      <c r="IM16" s="303"/>
      <c r="IN16" s="303"/>
      <c r="IO16" s="303"/>
      <c r="IP16" s="303"/>
      <c r="IQ16" s="303"/>
      <c r="IR16" s="303"/>
      <c r="IS16" s="303"/>
      <c r="IT16" s="303"/>
      <c r="IU16" s="303"/>
      <c r="IV16" s="303"/>
      <c r="IW16" s="303"/>
      <c r="IX16" s="303"/>
      <c r="IY16" s="303"/>
      <c r="IZ16" s="303"/>
      <c r="JA16" s="303"/>
      <c r="JB16" s="303"/>
      <c r="JC16" s="303"/>
      <c r="JD16" s="303"/>
      <c r="JE16" s="303"/>
      <c r="JF16" s="303"/>
      <c r="JG16" s="303"/>
      <c r="JH16" s="303"/>
      <c r="JI16" s="303"/>
      <c r="JJ16" s="303"/>
      <c r="JK16" s="303"/>
      <c r="JL16" s="303"/>
      <c r="JM16" s="303"/>
      <c r="JN16" s="303"/>
      <c r="JO16" s="303"/>
      <c r="JP16" s="303"/>
      <c r="JQ16" s="303"/>
      <c r="JR16" s="303"/>
      <c r="JS16" s="303"/>
      <c r="JT16" s="303"/>
      <c r="JU16" s="303"/>
      <c r="JV16" s="303"/>
      <c r="JW16" s="303"/>
      <c r="JX16" s="303"/>
      <c r="JY16" s="303"/>
      <c r="JZ16" s="303"/>
      <c r="KA16" s="303"/>
      <c r="KB16" s="303"/>
      <c r="KC16" s="303"/>
      <c r="KD16" s="303"/>
      <c r="KE16" s="303"/>
      <c r="KF16" s="303"/>
      <c r="KG16" s="303"/>
      <c r="KH16" s="303"/>
      <c r="KI16" s="303"/>
      <c r="KJ16" s="303"/>
      <c r="KK16" s="303"/>
      <c r="KL16" s="303"/>
      <c r="KM16" s="303"/>
      <c r="KN16" s="303"/>
      <c r="KO16" s="303"/>
      <c r="KP16" s="303"/>
      <c r="KQ16" s="303"/>
      <c r="KR16" s="303"/>
      <c r="KS16" s="303"/>
      <c r="KT16" s="303"/>
      <c r="KU16" s="303"/>
      <c r="KV16" s="303"/>
      <c r="KW16" s="303"/>
      <c r="KX16" s="303"/>
      <c r="KY16" s="303"/>
      <c r="KZ16" s="303"/>
      <c r="LA16" s="303"/>
      <c r="LB16" s="303"/>
      <c r="LC16" s="303"/>
      <c r="LD16" s="303"/>
      <c r="LE16" s="303"/>
      <c r="LF16" s="303"/>
      <c r="LG16" s="303"/>
      <c r="LH16" s="303"/>
      <c r="LI16" s="303"/>
      <c r="LJ16" s="303"/>
      <c r="LK16" s="303"/>
      <c r="LL16" s="303"/>
      <c r="LM16" s="303"/>
      <c r="LN16" s="303"/>
      <c r="LO16" s="303"/>
      <c r="LP16" s="303"/>
      <c r="LQ16" s="303"/>
      <c r="LR16" s="303"/>
      <c r="LS16" s="303"/>
      <c r="LT16" s="303"/>
      <c r="LU16" s="303"/>
      <c r="LV16" s="303"/>
      <c r="LW16" s="303"/>
      <c r="LX16" s="303"/>
      <c r="LY16" s="303"/>
      <c r="LZ16" s="303"/>
      <c r="MA16" s="303"/>
      <c r="MB16" s="303"/>
      <c r="MC16" s="303"/>
      <c r="MD16" s="303"/>
      <c r="ME16" s="303"/>
      <c r="MF16" s="303"/>
      <c r="MG16" s="303"/>
      <c r="MH16" s="303"/>
      <c r="MI16" s="303"/>
      <c r="MJ16" s="303"/>
      <c r="MK16" s="303"/>
      <c r="ML16" s="303"/>
      <c r="MM16" s="303"/>
      <c r="MN16" s="303"/>
      <c r="MO16" s="303"/>
      <c r="MP16" s="303"/>
      <c r="MQ16" s="303"/>
      <c r="MR16" s="303"/>
      <c r="MS16" s="303"/>
      <c r="MT16" s="303"/>
      <c r="MU16" s="303"/>
      <c r="MV16" s="303"/>
      <c r="MW16" s="303"/>
      <c r="MX16" s="303"/>
      <c r="MY16" s="303"/>
      <c r="MZ16" s="303"/>
      <c r="NA16" s="303"/>
      <c r="NB16" s="303"/>
      <c r="NC16" s="303"/>
      <c r="ND16" s="303"/>
      <c r="NE16" s="303"/>
      <c r="NF16" s="303"/>
      <c r="NG16" s="303"/>
      <c r="NH16" s="303"/>
      <c r="NI16" s="303"/>
      <c r="NJ16" s="303"/>
      <c r="NK16" s="303"/>
      <c r="NL16" s="303"/>
      <c r="NM16" s="303"/>
      <c r="NN16" s="303"/>
      <c r="NO16" s="303"/>
      <c r="NP16" s="303"/>
      <c r="NQ16" s="303"/>
      <c r="NR16" s="303"/>
      <c r="NS16" s="303"/>
      <c r="NT16" s="303"/>
      <c r="NU16" s="303"/>
      <c r="NV16" s="303"/>
      <c r="NW16" s="303"/>
      <c r="NX16" s="303"/>
      <c r="NY16" s="303"/>
      <c r="NZ16" s="303"/>
      <c r="OA16" s="303"/>
      <c r="OB16" s="303"/>
      <c r="OC16" s="303"/>
      <c r="OD16" s="303"/>
      <c r="OE16" s="303"/>
      <c r="OF16" s="303"/>
      <c r="OG16" s="303"/>
      <c r="OH16" s="303"/>
      <c r="OI16" s="303"/>
      <c r="OJ16" s="303"/>
      <c r="OK16" s="303"/>
      <c r="OL16" s="303"/>
      <c r="OM16" s="303"/>
      <c r="ON16" s="303"/>
      <c r="OO16" s="303"/>
      <c r="OP16" s="303"/>
      <c r="OQ16" s="303"/>
      <c r="OR16" s="303"/>
      <c r="OS16" s="303"/>
      <c r="OT16" s="303"/>
      <c r="OU16" s="303"/>
      <c r="OV16" s="303"/>
      <c r="OW16" s="303"/>
      <c r="OX16" s="303"/>
      <c r="OY16" s="303"/>
      <c r="OZ16" s="303"/>
      <c r="PA16" s="303"/>
      <c r="PB16" s="303"/>
      <c r="PC16" s="303"/>
      <c r="PD16" s="303"/>
      <c r="PE16" s="303"/>
      <c r="PF16" s="303"/>
      <c r="PG16" s="303"/>
      <c r="PH16" s="303"/>
      <c r="PI16" s="303"/>
      <c r="PJ16" s="303"/>
      <c r="PK16" s="303"/>
      <c r="PL16" s="303"/>
      <c r="PM16" s="303"/>
      <c r="PN16" s="303"/>
      <c r="PO16" s="303"/>
      <c r="PP16" s="303"/>
      <c r="PQ16" s="303"/>
      <c r="PR16" s="303"/>
      <c r="PS16" s="303"/>
      <c r="PT16" s="303"/>
      <c r="PU16" s="303"/>
      <c r="PV16" s="303"/>
      <c r="PW16" s="303"/>
      <c r="PX16" s="303"/>
      <c r="PY16" s="303"/>
      <c r="PZ16" s="303"/>
      <c r="QA16" s="303"/>
      <c r="QB16" s="303"/>
      <c r="QC16" s="303"/>
      <c r="QD16" s="303"/>
      <c r="QE16" s="303"/>
      <c r="QF16" s="303"/>
      <c r="QG16" s="303"/>
      <c r="QH16" s="303"/>
      <c r="QI16" s="303"/>
      <c r="QJ16" s="303"/>
      <c r="QK16" s="303"/>
      <c r="QL16" s="303"/>
      <c r="QM16" s="303"/>
      <c r="QN16" s="303"/>
      <c r="QO16" s="303"/>
      <c r="QP16" s="303"/>
      <c r="QQ16" s="303"/>
      <c r="QR16" s="303"/>
      <c r="QS16" s="303"/>
      <c r="QT16" s="303"/>
      <c r="QU16" s="303"/>
      <c r="QV16" s="303"/>
      <c r="QW16" s="303"/>
      <c r="QX16" s="303"/>
      <c r="QY16" s="303"/>
      <c r="QZ16" s="303"/>
      <c r="RA16" s="303"/>
      <c r="RB16" s="303"/>
      <c r="RC16" s="303"/>
      <c r="RD16" s="303"/>
      <c r="RE16" s="303"/>
      <c r="RF16" s="303"/>
      <c r="RG16" s="303"/>
      <c r="RH16" s="303"/>
      <c r="RI16" s="303"/>
      <c r="RJ16" s="303"/>
      <c r="RK16" s="303"/>
      <c r="RL16" s="303"/>
      <c r="RM16" s="303"/>
      <c r="RN16" s="303"/>
      <c r="RO16" s="303"/>
      <c r="RP16" s="303"/>
      <c r="RQ16" s="303"/>
      <c r="RR16" s="303"/>
      <c r="RS16" s="303"/>
      <c r="RT16" s="303"/>
      <c r="RU16" s="303"/>
      <c r="RV16" s="303"/>
      <c r="RW16" s="303"/>
      <c r="RX16" s="303"/>
      <c r="RY16" s="303"/>
      <c r="RZ16" s="303"/>
      <c r="SA16" s="303"/>
      <c r="SB16" s="303"/>
      <c r="SC16" s="303"/>
      <c r="SD16" s="303"/>
      <c r="SE16" s="303"/>
      <c r="SF16" s="303"/>
      <c r="SG16" s="303"/>
      <c r="SH16" s="303"/>
      <c r="SI16" s="303"/>
      <c r="SJ16" s="303"/>
      <c r="SK16" s="303"/>
      <c r="SL16" s="303"/>
      <c r="SM16" s="303"/>
      <c r="SN16" s="303"/>
      <c r="SO16" s="303"/>
    </row>
    <row r="17" spans="1:509" s="308" customFormat="1" ht="12" customHeight="1" thickBot="1" x14ac:dyDescent="0.2">
      <c r="A17" s="303"/>
      <c r="B17" s="304"/>
      <c r="C17" s="325">
        <v>4</v>
      </c>
      <c r="D17" s="999"/>
      <c r="E17" s="1000"/>
      <c r="F17" s="1000"/>
      <c r="G17" s="1000"/>
      <c r="H17" s="1000"/>
      <c r="I17" s="1000"/>
      <c r="J17" s="1001"/>
      <c r="K17" s="304"/>
      <c r="L17" s="363"/>
      <c r="M17" s="330"/>
      <c r="N17" s="331"/>
      <c r="O17" s="338"/>
      <c r="P17" s="339"/>
      <c r="Q17" s="346"/>
      <c r="R17" s="347"/>
      <c r="S17" s="354"/>
      <c r="T17" s="355"/>
      <c r="U17" s="305"/>
      <c r="V17" s="306"/>
      <c r="W17" s="306"/>
      <c r="X17" s="306"/>
      <c r="Y17" s="306"/>
      <c r="Z17" s="306"/>
      <c r="AA17" s="306"/>
      <c r="AB17" s="306"/>
      <c r="AC17" s="306"/>
      <c r="AD17" s="306"/>
      <c r="AE17" s="306"/>
      <c r="AF17" s="306"/>
      <c r="AG17" s="306"/>
      <c r="AH17" s="306"/>
      <c r="AI17" s="306"/>
      <c r="AJ17" s="306"/>
      <c r="AK17" s="306"/>
      <c r="AL17" s="306"/>
      <c r="AM17" s="306"/>
      <c r="AN17" s="306"/>
      <c r="AO17" s="306"/>
      <c r="AP17" s="306"/>
      <c r="AQ17" s="306"/>
      <c r="AR17" s="306"/>
      <c r="AS17" s="306"/>
      <c r="AT17" s="306"/>
      <c r="AU17" s="306"/>
      <c r="AV17" s="306"/>
      <c r="AW17" s="306"/>
      <c r="AX17" s="306"/>
      <c r="AY17" s="306"/>
      <c r="AZ17" s="306"/>
      <c r="BA17" s="306"/>
      <c r="BB17" s="306"/>
      <c r="BC17" s="306"/>
      <c r="BD17" s="306"/>
      <c r="BE17" s="306"/>
      <c r="BF17" s="306"/>
      <c r="BG17" s="306"/>
      <c r="BH17" s="306"/>
      <c r="BI17" s="306"/>
      <c r="BJ17" s="306"/>
      <c r="BK17" s="306"/>
      <c r="BL17" s="306"/>
      <c r="BM17" s="306"/>
      <c r="BN17" s="306"/>
      <c r="BO17" s="306"/>
      <c r="BP17" s="306"/>
      <c r="BQ17" s="306"/>
      <c r="BR17" s="306"/>
      <c r="BS17" s="306"/>
      <c r="BT17" s="306"/>
      <c r="BU17" s="306"/>
      <c r="BV17" s="306"/>
      <c r="BW17" s="306"/>
      <c r="BX17" s="306"/>
      <c r="BY17" s="306"/>
      <c r="BZ17" s="306"/>
      <c r="CA17" s="306"/>
      <c r="CB17" s="306"/>
      <c r="CC17" s="306"/>
      <c r="CD17" s="306"/>
      <c r="CE17" s="306"/>
      <c r="CF17" s="306"/>
      <c r="CG17" s="306"/>
      <c r="CH17" s="306"/>
      <c r="CI17" s="306"/>
      <c r="CJ17" s="306"/>
      <c r="CK17" s="306"/>
      <c r="CL17" s="306"/>
      <c r="CM17" s="306"/>
      <c r="CN17" s="306"/>
      <c r="CO17" s="306"/>
      <c r="CP17" s="306"/>
      <c r="CQ17" s="306"/>
      <c r="CR17" s="306"/>
      <c r="CS17" s="306"/>
      <c r="CT17" s="306"/>
      <c r="CU17" s="306"/>
      <c r="CV17" s="306"/>
      <c r="CW17" s="306"/>
      <c r="CX17" s="306"/>
      <c r="CY17" s="306"/>
      <c r="CZ17" s="306"/>
      <c r="DA17" s="306"/>
      <c r="DB17" s="306"/>
      <c r="DC17" s="306"/>
      <c r="DD17" s="306"/>
      <c r="DE17" s="306"/>
      <c r="DF17" s="306"/>
      <c r="DG17" s="306"/>
      <c r="DH17" s="306"/>
      <c r="DI17" s="306"/>
      <c r="DJ17" s="306"/>
      <c r="DK17" s="306"/>
      <c r="DL17" s="306"/>
      <c r="DM17" s="306"/>
      <c r="DN17" s="306"/>
      <c r="DO17" s="306"/>
      <c r="DP17" s="306"/>
      <c r="DQ17" s="306"/>
      <c r="DR17" s="306"/>
      <c r="DS17" s="306"/>
      <c r="DT17" s="306"/>
      <c r="DU17" s="306"/>
      <c r="DV17" s="306"/>
      <c r="DW17" s="306"/>
      <c r="DX17" s="306"/>
      <c r="DY17" s="306"/>
      <c r="DZ17" s="306"/>
      <c r="EA17" s="306"/>
      <c r="EB17" s="306"/>
      <c r="EC17" s="306"/>
      <c r="ED17" s="306"/>
      <c r="EE17" s="306"/>
      <c r="EF17" s="306"/>
      <c r="EG17" s="306"/>
      <c r="EH17" s="306"/>
      <c r="EI17" s="306"/>
      <c r="EJ17" s="306"/>
      <c r="EK17" s="306"/>
      <c r="EL17" s="306"/>
      <c r="EM17" s="306"/>
      <c r="EN17" s="306"/>
      <c r="EO17" s="306"/>
      <c r="EP17" s="306"/>
      <c r="EQ17" s="306"/>
      <c r="ER17" s="306"/>
      <c r="ES17" s="306"/>
      <c r="ET17" s="306"/>
      <c r="EU17" s="306"/>
      <c r="EV17" s="306"/>
      <c r="EW17" s="306"/>
      <c r="EX17" s="306"/>
      <c r="EY17" s="306"/>
      <c r="EZ17" s="306"/>
      <c r="FA17" s="306"/>
      <c r="FB17" s="306"/>
      <c r="FC17" s="306"/>
      <c r="FD17" s="306"/>
      <c r="FE17" s="306"/>
      <c r="FF17" s="306"/>
      <c r="FG17" s="306"/>
      <c r="FH17" s="306"/>
      <c r="FI17" s="306"/>
      <c r="FJ17" s="306"/>
      <c r="FK17" s="306"/>
      <c r="FL17" s="306"/>
      <c r="FM17" s="306"/>
      <c r="FN17" s="306"/>
      <c r="FO17" s="306"/>
      <c r="FP17" s="306"/>
      <c r="FQ17" s="306"/>
      <c r="FR17" s="306"/>
      <c r="FS17" s="306"/>
      <c r="FT17" s="306"/>
      <c r="FU17" s="306"/>
      <c r="FV17" s="306"/>
      <c r="FW17" s="306"/>
      <c r="FX17" s="306"/>
      <c r="FY17" s="306"/>
      <c r="FZ17" s="306"/>
      <c r="GA17" s="306"/>
      <c r="GB17" s="306"/>
      <c r="GC17" s="306"/>
      <c r="GD17" s="306"/>
      <c r="GE17" s="306"/>
      <c r="GF17" s="306"/>
      <c r="GG17" s="306"/>
      <c r="GH17" s="306"/>
      <c r="GI17" s="306"/>
      <c r="GJ17" s="306"/>
      <c r="GK17" s="306"/>
      <c r="GL17" s="306"/>
      <c r="GM17" s="306"/>
      <c r="GN17" s="306"/>
      <c r="GO17" s="306"/>
      <c r="GP17" s="306"/>
      <c r="GQ17" s="306"/>
      <c r="GR17" s="306"/>
      <c r="GS17" s="306"/>
      <c r="GT17" s="306"/>
      <c r="GU17" s="306"/>
      <c r="GV17" s="306"/>
      <c r="GW17" s="306"/>
      <c r="GX17" s="306"/>
      <c r="GY17" s="306"/>
      <c r="GZ17" s="306"/>
      <c r="HA17" s="306"/>
      <c r="HB17" s="306"/>
      <c r="HC17" s="306"/>
      <c r="HD17" s="306"/>
      <c r="HE17" s="306"/>
      <c r="HF17" s="306"/>
      <c r="HG17" s="306"/>
      <c r="HH17" s="306"/>
      <c r="HI17" s="306"/>
      <c r="HJ17" s="306"/>
      <c r="HK17" s="306"/>
      <c r="HL17" s="306"/>
      <c r="HM17" s="307"/>
      <c r="HN17" s="307"/>
      <c r="HO17" s="307"/>
      <c r="HP17" s="307"/>
      <c r="HQ17" s="307"/>
      <c r="HR17" s="307"/>
      <c r="HS17" s="307"/>
      <c r="HT17" s="307"/>
      <c r="HU17" s="303"/>
      <c r="HV17" s="303"/>
      <c r="HW17" s="303"/>
      <c r="HX17" s="303"/>
      <c r="HY17" s="303"/>
      <c r="HZ17" s="303"/>
      <c r="IA17" s="303"/>
      <c r="IB17" s="303"/>
      <c r="IC17" s="303"/>
      <c r="ID17" s="303"/>
      <c r="IE17" s="303"/>
      <c r="IF17" s="303"/>
      <c r="IG17" s="303"/>
      <c r="IH17" s="303"/>
      <c r="II17" s="303"/>
      <c r="IJ17" s="303"/>
      <c r="IK17" s="303"/>
      <c r="IL17" s="303"/>
      <c r="IM17" s="303"/>
      <c r="IN17" s="303"/>
      <c r="IO17" s="303"/>
      <c r="IP17" s="303"/>
      <c r="IQ17" s="303"/>
      <c r="IR17" s="303"/>
      <c r="IS17" s="303"/>
      <c r="IT17" s="303"/>
      <c r="IU17" s="303"/>
      <c r="IV17" s="303"/>
      <c r="IW17" s="303"/>
      <c r="IX17" s="303"/>
      <c r="IY17" s="303"/>
      <c r="IZ17" s="303"/>
      <c r="JA17" s="303"/>
      <c r="JB17" s="303"/>
      <c r="JC17" s="303"/>
      <c r="JD17" s="303"/>
      <c r="JE17" s="303"/>
      <c r="JF17" s="303"/>
      <c r="JG17" s="303"/>
      <c r="JH17" s="303"/>
      <c r="JI17" s="303"/>
      <c r="JJ17" s="303"/>
      <c r="JK17" s="303"/>
      <c r="JL17" s="303"/>
      <c r="JM17" s="303"/>
      <c r="JN17" s="303"/>
      <c r="JO17" s="303"/>
      <c r="JP17" s="303"/>
      <c r="JQ17" s="303"/>
      <c r="JR17" s="303"/>
      <c r="JS17" s="303"/>
      <c r="JT17" s="303"/>
      <c r="JU17" s="303"/>
      <c r="JV17" s="303"/>
      <c r="JW17" s="303"/>
      <c r="JX17" s="303"/>
      <c r="JY17" s="303"/>
      <c r="JZ17" s="303"/>
      <c r="KA17" s="303"/>
      <c r="KB17" s="303"/>
      <c r="KC17" s="303"/>
      <c r="KD17" s="303"/>
      <c r="KE17" s="303"/>
      <c r="KF17" s="303"/>
      <c r="KG17" s="303"/>
      <c r="KH17" s="303"/>
      <c r="KI17" s="303"/>
      <c r="KJ17" s="303"/>
      <c r="KK17" s="303"/>
      <c r="KL17" s="303"/>
      <c r="KM17" s="303"/>
      <c r="KN17" s="303"/>
      <c r="KO17" s="303"/>
      <c r="KP17" s="303"/>
      <c r="KQ17" s="303"/>
      <c r="KR17" s="303"/>
      <c r="KS17" s="303"/>
      <c r="KT17" s="303"/>
      <c r="KU17" s="303"/>
      <c r="KV17" s="303"/>
      <c r="KW17" s="303"/>
      <c r="KX17" s="303"/>
      <c r="KY17" s="303"/>
      <c r="KZ17" s="303"/>
      <c r="LA17" s="303"/>
      <c r="LB17" s="303"/>
      <c r="LC17" s="303"/>
      <c r="LD17" s="303"/>
      <c r="LE17" s="303"/>
      <c r="LF17" s="303"/>
      <c r="LG17" s="303"/>
      <c r="LH17" s="303"/>
      <c r="LI17" s="303"/>
      <c r="LJ17" s="303"/>
      <c r="LK17" s="303"/>
      <c r="LL17" s="303"/>
      <c r="LM17" s="303"/>
      <c r="LN17" s="303"/>
      <c r="LO17" s="303"/>
      <c r="LP17" s="303"/>
      <c r="LQ17" s="303"/>
      <c r="LR17" s="303"/>
      <c r="LS17" s="303"/>
      <c r="LT17" s="303"/>
      <c r="LU17" s="303"/>
      <c r="LV17" s="303"/>
      <c r="LW17" s="303"/>
      <c r="LX17" s="303"/>
      <c r="LY17" s="303"/>
      <c r="LZ17" s="303"/>
      <c r="MA17" s="303"/>
      <c r="MB17" s="303"/>
      <c r="MC17" s="303"/>
      <c r="MD17" s="303"/>
      <c r="ME17" s="303"/>
      <c r="MF17" s="303"/>
      <c r="MG17" s="303"/>
      <c r="MH17" s="303"/>
      <c r="MI17" s="303"/>
      <c r="MJ17" s="303"/>
      <c r="MK17" s="303"/>
      <c r="ML17" s="303"/>
      <c r="MM17" s="303"/>
      <c r="MN17" s="303"/>
      <c r="MO17" s="303"/>
      <c r="MP17" s="303"/>
      <c r="MQ17" s="303"/>
      <c r="MR17" s="303"/>
      <c r="MS17" s="303"/>
      <c r="MT17" s="303"/>
      <c r="MU17" s="303"/>
      <c r="MV17" s="303"/>
      <c r="MW17" s="303"/>
      <c r="MX17" s="303"/>
      <c r="MY17" s="303"/>
      <c r="MZ17" s="303"/>
      <c r="NA17" s="303"/>
      <c r="NB17" s="303"/>
      <c r="NC17" s="303"/>
      <c r="ND17" s="303"/>
      <c r="NE17" s="303"/>
      <c r="NF17" s="303"/>
      <c r="NG17" s="303"/>
      <c r="NH17" s="303"/>
      <c r="NI17" s="303"/>
      <c r="NJ17" s="303"/>
      <c r="NK17" s="303"/>
      <c r="NL17" s="303"/>
      <c r="NM17" s="303"/>
      <c r="NN17" s="303"/>
      <c r="NO17" s="303"/>
      <c r="NP17" s="303"/>
      <c r="NQ17" s="303"/>
      <c r="NR17" s="303"/>
      <c r="NS17" s="303"/>
      <c r="NT17" s="303"/>
      <c r="NU17" s="303"/>
      <c r="NV17" s="303"/>
      <c r="NW17" s="303"/>
      <c r="NX17" s="303"/>
      <c r="NY17" s="303"/>
      <c r="NZ17" s="303"/>
      <c r="OA17" s="303"/>
      <c r="OB17" s="303"/>
      <c r="OC17" s="303"/>
      <c r="OD17" s="303"/>
      <c r="OE17" s="303"/>
      <c r="OF17" s="303"/>
      <c r="OG17" s="303"/>
      <c r="OH17" s="303"/>
      <c r="OI17" s="303"/>
      <c r="OJ17" s="303"/>
      <c r="OK17" s="303"/>
      <c r="OL17" s="303"/>
      <c r="OM17" s="303"/>
      <c r="ON17" s="303"/>
      <c r="OO17" s="303"/>
      <c r="OP17" s="303"/>
      <c r="OQ17" s="303"/>
      <c r="OR17" s="303"/>
      <c r="OS17" s="303"/>
      <c r="OT17" s="303"/>
      <c r="OU17" s="303"/>
      <c r="OV17" s="303"/>
      <c r="OW17" s="303"/>
      <c r="OX17" s="303"/>
      <c r="OY17" s="303"/>
      <c r="OZ17" s="303"/>
      <c r="PA17" s="303"/>
      <c r="PB17" s="303"/>
      <c r="PC17" s="303"/>
      <c r="PD17" s="303"/>
      <c r="PE17" s="303"/>
      <c r="PF17" s="303"/>
      <c r="PG17" s="303"/>
      <c r="PH17" s="303"/>
      <c r="PI17" s="303"/>
      <c r="PJ17" s="303"/>
      <c r="PK17" s="303"/>
      <c r="PL17" s="303"/>
      <c r="PM17" s="303"/>
      <c r="PN17" s="303"/>
      <c r="PO17" s="303"/>
      <c r="PP17" s="303"/>
      <c r="PQ17" s="303"/>
      <c r="PR17" s="303"/>
      <c r="PS17" s="303"/>
      <c r="PT17" s="303"/>
      <c r="PU17" s="303"/>
      <c r="PV17" s="303"/>
      <c r="PW17" s="303"/>
      <c r="PX17" s="303"/>
      <c r="PY17" s="303"/>
      <c r="PZ17" s="303"/>
      <c r="QA17" s="303"/>
      <c r="QB17" s="303"/>
      <c r="QC17" s="303"/>
      <c r="QD17" s="303"/>
      <c r="QE17" s="303"/>
      <c r="QF17" s="303"/>
      <c r="QG17" s="303"/>
      <c r="QH17" s="303"/>
      <c r="QI17" s="303"/>
      <c r="QJ17" s="303"/>
      <c r="QK17" s="303"/>
      <c r="QL17" s="303"/>
      <c r="QM17" s="303"/>
      <c r="QN17" s="303"/>
      <c r="QO17" s="303"/>
      <c r="QP17" s="303"/>
      <c r="QQ17" s="303"/>
      <c r="QR17" s="303"/>
      <c r="QS17" s="303"/>
      <c r="QT17" s="303"/>
      <c r="QU17" s="303"/>
      <c r="QV17" s="303"/>
      <c r="QW17" s="303"/>
      <c r="QX17" s="303"/>
      <c r="QY17" s="303"/>
      <c r="QZ17" s="303"/>
      <c r="RA17" s="303"/>
      <c r="RB17" s="303"/>
      <c r="RC17" s="303"/>
      <c r="RD17" s="303"/>
      <c r="RE17" s="303"/>
      <c r="RF17" s="303"/>
      <c r="RG17" s="303"/>
      <c r="RH17" s="303"/>
      <c r="RI17" s="303"/>
      <c r="RJ17" s="303"/>
      <c r="RK17" s="303"/>
      <c r="RL17" s="303"/>
      <c r="RM17" s="303"/>
      <c r="RN17" s="303"/>
      <c r="RO17" s="303"/>
      <c r="RP17" s="303"/>
      <c r="RQ17" s="303"/>
      <c r="RR17" s="303"/>
      <c r="RS17" s="303"/>
      <c r="RT17" s="303"/>
      <c r="RU17" s="303"/>
      <c r="RV17" s="303"/>
      <c r="RW17" s="303"/>
      <c r="RX17" s="303"/>
      <c r="RY17" s="303"/>
      <c r="RZ17" s="303"/>
      <c r="SA17" s="303"/>
      <c r="SB17" s="303"/>
      <c r="SC17" s="303"/>
      <c r="SD17" s="303"/>
      <c r="SE17" s="303"/>
      <c r="SF17" s="303"/>
      <c r="SG17" s="303"/>
      <c r="SH17" s="303"/>
      <c r="SI17" s="303"/>
      <c r="SJ17" s="303"/>
      <c r="SK17" s="303"/>
      <c r="SL17" s="303"/>
      <c r="SM17" s="303"/>
      <c r="SN17" s="303"/>
      <c r="SO17" s="303"/>
    </row>
    <row r="18" spans="1:509" s="308" customFormat="1" ht="12.75" thickBot="1" x14ac:dyDescent="0.2">
      <c r="A18" s="303"/>
      <c r="B18" s="304"/>
      <c r="C18" s="325">
        <v>5</v>
      </c>
      <c r="D18" s="999"/>
      <c r="E18" s="1000"/>
      <c r="F18" s="1000"/>
      <c r="G18" s="1000"/>
      <c r="H18" s="1000"/>
      <c r="I18" s="1000"/>
      <c r="J18" s="1001"/>
      <c r="K18" s="305"/>
      <c r="L18" s="363"/>
      <c r="M18" s="330"/>
      <c r="N18" s="331"/>
      <c r="O18" s="338"/>
      <c r="P18" s="339"/>
      <c r="Q18" s="346"/>
      <c r="R18" s="347"/>
      <c r="S18" s="354"/>
      <c r="T18" s="355"/>
      <c r="U18" s="305"/>
      <c r="V18" s="306"/>
      <c r="W18" s="306"/>
      <c r="X18" s="306"/>
      <c r="Y18" s="306"/>
      <c r="Z18" s="306"/>
      <c r="AA18" s="306"/>
      <c r="AB18" s="306"/>
      <c r="AC18" s="306"/>
      <c r="AD18" s="306"/>
      <c r="AE18" s="306"/>
      <c r="AF18" s="306"/>
      <c r="AG18" s="306"/>
      <c r="AH18" s="306"/>
      <c r="AI18" s="306"/>
      <c r="AJ18" s="306"/>
      <c r="AK18" s="306"/>
      <c r="AL18" s="306"/>
      <c r="AM18" s="306"/>
      <c r="AN18" s="306"/>
      <c r="AO18" s="306"/>
      <c r="AP18" s="306"/>
      <c r="AQ18" s="306"/>
      <c r="AR18" s="306"/>
      <c r="AS18" s="306"/>
      <c r="AT18" s="306"/>
      <c r="AU18" s="306"/>
      <c r="AV18" s="306"/>
      <c r="AW18" s="306"/>
      <c r="AX18" s="306"/>
      <c r="AY18" s="306"/>
      <c r="AZ18" s="306"/>
      <c r="BA18" s="306"/>
      <c r="BB18" s="306"/>
      <c r="BC18" s="306"/>
      <c r="BD18" s="306"/>
      <c r="BE18" s="306"/>
      <c r="BF18" s="306"/>
      <c r="BG18" s="306"/>
      <c r="BH18" s="306"/>
      <c r="BI18" s="306"/>
      <c r="BJ18" s="306"/>
      <c r="BK18" s="306"/>
      <c r="BL18" s="306"/>
      <c r="BM18" s="306"/>
      <c r="BN18" s="306"/>
      <c r="BO18" s="306"/>
      <c r="BP18" s="306"/>
      <c r="BQ18" s="306"/>
      <c r="BR18" s="306"/>
      <c r="BS18" s="306"/>
      <c r="BT18" s="306"/>
      <c r="BU18" s="306"/>
      <c r="BV18" s="306"/>
      <c r="BW18" s="306"/>
      <c r="BX18" s="306"/>
      <c r="BY18" s="306"/>
      <c r="BZ18" s="306"/>
      <c r="CA18" s="306"/>
      <c r="CB18" s="306"/>
      <c r="CC18" s="306"/>
      <c r="CD18" s="306"/>
      <c r="CE18" s="306"/>
      <c r="CF18" s="306"/>
      <c r="CG18" s="306"/>
      <c r="CH18" s="306"/>
      <c r="CI18" s="306"/>
      <c r="CJ18" s="306"/>
      <c r="CK18" s="306"/>
      <c r="CL18" s="306"/>
      <c r="CM18" s="306"/>
      <c r="CN18" s="306"/>
      <c r="CO18" s="306"/>
      <c r="CP18" s="306"/>
      <c r="CQ18" s="306"/>
      <c r="CR18" s="306"/>
      <c r="CS18" s="306"/>
      <c r="CT18" s="306"/>
      <c r="CU18" s="306"/>
      <c r="CV18" s="306"/>
      <c r="CW18" s="306"/>
      <c r="CX18" s="306"/>
      <c r="CY18" s="306"/>
      <c r="CZ18" s="306"/>
      <c r="DA18" s="306"/>
      <c r="DB18" s="306"/>
      <c r="DC18" s="306"/>
      <c r="DD18" s="306"/>
      <c r="DE18" s="306"/>
      <c r="DF18" s="306"/>
      <c r="DG18" s="306"/>
      <c r="DH18" s="306"/>
      <c r="DI18" s="306"/>
      <c r="DJ18" s="306"/>
      <c r="DK18" s="306"/>
      <c r="DL18" s="306"/>
      <c r="DM18" s="306"/>
      <c r="DN18" s="306"/>
      <c r="DO18" s="306"/>
      <c r="DP18" s="306"/>
      <c r="DQ18" s="306"/>
      <c r="DR18" s="306"/>
      <c r="DS18" s="306"/>
      <c r="DT18" s="306"/>
      <c r="DU18" s="306"/>
      <c r="DV18" s="306"/>
      <c r="DW18" s="306"/>
      <c r="DX18" s="306"/>
      <c r="DY18" s="306"/>
      <c r="DZ18" s="306"/>
      <c r="EA18" s="306"/>
      <c r="EB18" s="306"/>
      <c r="EC18" s="306"/>
      <c r="ED18" s="306"/>
      <c r="EE18" s="306"/>
      <c r="EF18" s="306"/>
      <c r="EG18" s="306"/>
      <c r="EH18" s="306"/>
      <c r="EI18" s="306"/>
      <c r="EJ18" s="306"/>
      <c r="EK18" s="306"/>
      <c r="EL18" s="306"/>
      <c r="EM18" s="306"/>
      <c r="EN18" s="306"/>
      <c r="EO18" s="306"/>
      <c r="EP18" s="306"/>
      <c r="EQ18" s="306"/>
      <c r="ER18" s="306"/>
      <c r="ES18" s="306"/>
      <c r="ET18" s="306"/>
      <c r="EU18" s="306"/>
      <c r="EV18" s="306"/>
      <c r="EW18" s="306"/>
      <c r="EX18" s="306"/>
      <c r="EY18" s="306"/>
      <c r="EZ18" s="306"/>
      <c r="FA18" s="306"/>
      <c r="FB18" s="306"/>
      <c r="FC18" s="306"/>
      <c r="FD18" s="306"/>
      <c r="FE18" s="306"/>
      <c r="FF18" s="306"/>
      <c r="FG18" s="306"/>
      <c r="FH18" s="306"/>
      <c r="FI18" s="306"/>
      <c r="FJ18" s="306"/>
      <c r="FK18" s="306"/>
      <c r="FL18" s="306"/>
      <c r="FM18" s="306"/>
      <c r="FN18" s="306"/>
      <c r="FO18" s="306"/>
      <c r="FP18" s="306"/>
      <c r="FQ18" s="306"/>
      <c r="FR18" s="306"/>
      <c r="FS18" s="306"/>
      <c r="FT18" s="306"/>
      <c r="FU18" s="306"/>
      <c r="FV18" s="306"/>
      <c r="FW18" s="306"/>
      <c r="FX18" s="306"/>
      <c r="FY18" s="306"/>
      <c r="FZ18" s="306"/>
      <c r="GA18" s="306"/>
      <c r="GB18" s="306"/>
      <c r="GC18" s="306"/>
      <c r="GD18" s="306"/>
      <c r="GE18" s="306"/>
      <c r="GF18" s="306"/>
      <c r="GG18" s="306"/>
      <c r="GH18" s="306"/>
      <c r="GI18" s="306"/>
      <c r="GJ18" s="306"/>
      <c r="GK18" s="306"/>
      <c r="GL18" s="306"/>
      <c r="GM18" s="306"/>
      <c r="GN18" s="306"/>
      <c r="GO18" s="306"/>
      <c r="GP18" s="306"/>
      <c r="GQ18" s="306"/>
      <c r="GR18" s="306"/>
      <c r="GS18" s="306"/>
      <c r="GT18" s="306"/>
      <c r="GU18" s="306"/>
      <c r="GV18" s="306"/>
      <c r="GW18" s="306"/>
      <c r="GX18" s="306"/>
      <c r="GY18" s="306"/>
      <c r="GZ18" s="306"/>
      <c r="HA18" s="306"/>
      <c r="HB18" s="306"/>
      <c r="HC18" s="306"/>
      <c r="HD18" s="306"/>
      <c r="HE18" s="306"/>
      <c r="HF18" s="306"/>
      <c r="HG18" s="306"/>
      <c r="HH18" s="306"/>
      <c r="HI18" s="306"/>
      <c r="HJ18" s="306"/>
      <c r="HK18" s="306"/>
      <c r="HL18" s="306"/>
      <c r="HM18" s="307"/>
      <c r="HN18" s="307"/>
      <c r="HO18" s="307"/>
      <c r="HP18" s="307"/>
      <c r="HQ18" s="307"/>
      <c r="HR18" s="307"/>
      <c r="HS18" s="307"/>
      <c r="HT18" s="307"/>
      <c r="HU18" s="303"/>
      <c r="HV18" s="303"/>
      <c r="HW18" s="303"/>
      <c r="HX18" s="303"/>
      <c r="HY18" s="303"/>
      <c r="HZ18" s="303"/>
      <c r="IA18" s="303"/>
      <c r="IB18" s="303"/>
      <c r="IC18" s="303"/>
      <c r="ID18" s="303"/>
      <c r="IE18" s="303"/>
      <c r="IF18" s="303"/>
      <c r="IG18" s="303"/>
      <c r="IH18" s="303"/>
      <c r="II18" s="303"/>
      <c r="IJ18" s="303"/>
      <c r="IK18" s="303"/>
      <c r="IL18" s="303"/>
      <c r="IM18" s="303"/>
      <c r="IN18" s="303"/>
      <c r="IO18" s="303"/>
      <c r="IP18" s="303"/>
      <c r="IQ18" s="303"/>
      <c r="IR18" s="303"/>
      <c r="IS18" s="303"/>
      <c r="IT18" s="303"/>
      <c r="IU18" s="303"/>
      <c r="IV18" s="303"/>
      <c r="IW18" s="303"/>
      <c r="IX18" s="303"/>
      <c r="IY18" s="303"/>
      <c r="IZ18" s="303"/>
      <c r="JA18" s="303"/>
      <c r="JB18" s="303"/>
      <c r="JC18" s="303"/>
      <c r="JD18" s="303"/>
      <c r="JE18" s="303"/>
      <c r="JF18" s="303"/>
      <c r="JG18" s="303"/>
      <c r="JH18" s="303"/>
      <c r="JI18" s="303"/>
      <c r="JJ18" s="303"/>
      <c r="JK18" s="303"/>
      <c r="JL18" s="303"/>
      <c r="JM18" s="303"/>
      <c r="JN18" s="303"/>
      <c r="JO18" s="303"/>
      <c r="JP18" s="303"/>
      <c r="JQ18" s="303"/>
      <c r="JR18" s="303"/>
      <c r="JS18" s="303"/>
      <c r="JT18" s="303"/>
      <c r="JU18" s="303"/>
      <c r="JV18" s="303"/>
      <c r="JW18" s="303"/>
      <c r="JX18" s="303"/>
      <c r="JY18" s="303"/>
      <c r="JZ18" s="303"/>
      <c r="KA18" s="303"/>
      <c r="KB18" s="303"/>
      <c r="KC18" s="303"/>
      <c r="KD18" s="303"/>
      <c r="KE18" s="303"/>
      <c r="KF18" s="303"/>
      <c r="KG18" s="303"/>
      <c r="KH18" s="303"/>
      <c r="KI18" s="303"/>
      <c r="KJ18" s="303"/>
      <c r="KK18" s="303"/>
      <c r="KL18" s="303"/>
      <c r="KM18" s="303"/>
      <c r="KN18" s="303"/>
      <c r="KO18" s="303"/>
      <c r="KP18" s="303"/>
      <c r="KQ18" s="303"/>
      <c r="KR18" s="303"/>
      <c r="KS18" s="303"/>
      <c r="KT18" s="303"/>
      <c r="KU18" s="303"/>
      <c r="KV18" s="303"/>
      <c r="KW18" s="303"/>
      <c r="KX18" s="303"/>
      <c r="KY18" s="303"/>
      <c r="KZ18" s="303"/>
      <c r="LA18" s="303"/>
      <c r="LB18" s="303"/>
      <c r="LC18" s="303"/>
      <c r="LD18" s="303"/>
      <c r="LE18" s="303"/>
      <c r="LF18" s="303"/>
      <c r="LG18" s="303"/>
      <c r="LH18" s="303"/>
      <c r="LI18" s="303"/>
      <c r="LJ18" s="303"/>
      <c r="LK18" s="303"/>
      <c r="LL18" s="303"/>
      <c r="LM18" s="303"/>
      <c r="LN18" s="303"/>
      <c r="LO18" s="303"/>
      <c r="LP18" s="303"/>
      <c r="LQ18" s="303"/>
      <c r="LR18" s="303"/>
      <c r="LS18" s="303"/>
      <c r="LT18" s="303"/>
      <c r="LU18" s="303"/>
      <c r="LV18" s="303"/>
      <c r="LW18" s="303"/>
      <c r="LX18" s="303"/>
      <c r="LY18" s="303"/>
      <c r="LZ18" s="303"/>
      <c r="MA18" s="303"/>
      <c r="MB18" s="303"/>
      <c r="MC18" s="303"/>
      <c r="MD18" s="303"/>
      <c r="ME18" s="303"/>
      <c r="MF18" s="303"/>
      <c r="MG18" s="303"/>
      <c r="MH18" s="303"/>
      <c r="MI18" s="303"/>
      <c r="MJ18" s="303"/>
      <c r="MK18" s="303"/>
      <c r="ML18" s="303"/>
      <c r="MM18" s="303"/>
      <c r="MN18" s="303"/>
      <c r="MO18" s="303"/>
      <c r="MP18" s="303"/>
      <c r="MQ18" s="303"/>
      <c r="MR18" s="303"/>
      <c r="MS18" s="303"/>
      <c r="MT18" s="303"/>
      <c r="MU18" s="303"/>
      <c r="MV18" s="303"/>
      <c r="MW18" s="303"/>
      <c r="MX18" s="303"/>
      <c r="MY18" s="303"/>
      <c r="MZ18" s="303"/>
      <c r="NA18" s="303"/>
      <c r="NB18" s="303"/>
      <c r="NC18" s="303"/>
      <c r="ND18" s="303"/>
      <c r="NE18" s="303"/>
      <c r="NF18" s="303"/>
      <c r="NG18" s="303"/>
      <c r="NH18" s="303"/>
      <c r="NI18" s="303"/>
      <c r="NJ18" s="303"/>
      <c r="NK18" s="303"/>
      <c r="NL18" s="303"/>
      <c r="NM18" s="303"/>
      <c r="NN18" s="303"/>
      <c r="NO18" s="303"/>
      <c r="NP18" s="303"/>
      <c r="NQ18" s="303"/>
      <c r="NR18" s="303"/>
      <c r="NS18" s="303"/>
      <c r="NT18" s="303"/>
      <c r="NU18" s="303"/>
      <c r="NV18" s="303"/>
      <c r="NW18" s="303"/>
      <c r="NX18" s="303"/>
      <c r="NY18" s="303"/>
      <c r="NZ18" s="303"/>
      <c r="OA18" s="303"/>
      <c r="OB18" s="303"/>
      <c r="OC18" s="303"/>
      <c r="OD18" s="303"/>
      <c r="OE18" s="303"/>
      <c r="OF18" s="303"/>
      <c r="OG18" s="303"/>
      <c r="OH18" s="303"/>
      <c r="OI18" s="303"/>
      <c r="OJ18" s="303"/>
      <c r="OK18" s="303"/>
      <c r="OL18" s="303"/>
      <c r="OM18" s="303"/>
      <c r="ON18" s="303"/>
      <c r="OO18" s="303"/>
      <c r="OP18" s="303"/>
      <c r="OQ18" s="303"/>
      <c r="OR18" s="303"/>
      <c r="OS18" s="303"/>
      <c r="OT18" s="303"/>
      <c r="OU18" s="303"/>
      <c r="OV18" s="303"/>
      <c r="OW18" s="303"/>
      <c r="OX18" s="303"/>
      <c r="OY18" s="303"/>
      <c r="OZ18" s="303"/>
      <c r="PA18" s="303"/>
      <c r="PB18" s="303"/>
      <c r="PC18" s="303"/>
      <c r="PD18" s="303"/>
      <c r="PE18" s="303"/>
      <c r="PF18" s="303"/>
      <c r="PG18" s="303"/>
      <c r="PH18" s="303"/>
      <c r="PI18" s="303"/>
      <c r="PJ18" s="303"/>
      <c r="PK18" s="303"/>
      <c r="PL18" s="303"/>
      <c r="PM18" s="303"/>
      <c r="PN18" s="303"/>
      <c r="PO18" s="303"/>
      <c r="PP18" s="303"/>
      <c r="PQ18" s="303"/>
      <c r="PR18" s="303"/>
      <c r="PS18" s="303"/>
      <c r="PT18" s="303"/>
      <c r="PU18" s="303"/>
      <c r="PV18" s="303"/>
      <c r="PW18" s="303"/>
      <c r="PX18" s="303"/>
      <c r="PY18" s="303"/>
      <c r="PZ18" s="303"/>
      <c r="QA18" s="303"/>
      <c r="QB18" s="303"/>
      <c r="QC18" s="303"/>
      <c r="QD18" s="303"/>
      <c r="QE18" s="303"/>
      <c r="QF18" s="303"/>
      <c r="QG18" s="303"/>
      <c r="QH18" s="303"/>
      <c r="QI18" s="303"/>
      <c r="QJ18" s="303"/>
      <c r="QK18" s="303"/>
      <c r="QL18" s="303"/>
      <c r="QM18" s="303"/>
      <c r="QN18" s="303"/>
      <c r="QO18" s="303"/>
      <c r="QP18" s="303"/>
      <c r="QQ18" s="303"/>
      <c r="QR18" s="303"/>
      <c r="QS18" s="303"/>
      <c r="QT18" s="303"/>
      <c r="QU18" s="303"/>
      <c r="QV18" s="303"/>
      <c r="QW18" s="303"/>
      <c r="QX18" s="303"/>
      <c r="QY18" s="303"/>
      <c r="QZ18" s="303"/>
      <c r="RA18" s="303"/>
      <c r="RB18" s="303"/>
      <c r="RC18" s="303"/>
      <c r="RD18" s="303"/>
      <c r="RE18" s="303"/>
      <c r="RF18" s="303"/>
      <c r="RG18" s="303"/>
      <c r="RH18" s="303"/>
      <c r="RI18" s="303"/>
      <c r="RJ18" s="303"/>
      <c r="RK18" s="303"/>
      <c r="RL18" s="303"/>
      <c r="RM18" s="303"/>
      <c r="RN18" s="303"/>
      <c r="RO18" s="303"/>
      <c r="RP18" s="303"/>
      <c r="RQ18" s="303"/>
      <c r="RR18" s="303"/>
      <c r="RS18" s="303"/>
      <c r="RT18" s="303"/>
      <c r="RU18" s="303"/>
      <c r="RV18" s="303"/>
      <c r="RW18" s="303"/>
      <c r="RX18" s="303"/>
      <c r="RY18" s="303"/>
      <c r="RZ18" s="303"/>
      <c r="SA18" s="303"/>
      <c r="SB18" s="303"/>
      <c r="SC18" s="303"/>
      <c r="SD18" s="303"/>
      <c r="SE18" s="303"/>
      <c r="SF18" s="303"/>
      <c r="SG18" s="303"/>
      <c r="SH18" s="303"/>
      <c r="SI18" s="303"/>
      <c r="SJ18" s="303"/>
      <c r="SK18" s="303"/>
      <c r="SL18" s="303"/>
      <c r="SM18" s="303"/>
      <c r="SN18" s="303"/>
      <c r="SO18" s="303"/>
    </row>
    <row r="19" spans="1:509" s="309" customFormat="1" ht="12.95" customHeight="1" x14ac:dyDescent="0.15">
      <c r="A19" s="303"/>
      <c r="B19" s="304"/>
      <c r="C19" s="325">
        <v>6</v>
      </c>
      <c r="D19" s="999"/>
      <c r="E19" s="1000"/>
      <c r="F19" s="1000"/>
      <c r="G19" s="1000"/>
      <c r="H19" s="1000"/>
      <c r="I19" s="1000"/>
      <c r="J19" s="1001"/>
      <c r="K19" s="321"/>
      <c r="L19" s="363"/>
      <c r="M19" s="330"/>
      <c r="N19" s="331"/>
      <c r="O19" s="338"/>
      <c r="P19" s="339"/>
      <c r="Q19" s="346"/>
      <c r="R19" s="347"/>
      <c r="S19" s="354"/>
      <c r="T19" s="355"/>
      <c r="U19" s="304"/>
      <c r="V19" s="303"/>
      <c r="W19" s="303"/>
      <c r="X19" s="303"/>
      <c r="Y19" s="303"/>
      <c r="Z19" s="303"/>
      <c r="AA19" s="303"/>
      <c r="AB19" s="303"/>
      <c r="AC19" s="303"/>
      <c r="AD19" s="303"/>
      <c r="AE19" s="303"/>
      <c r="AF19" s="303"/>
      <c r="AG19" s="303"/>
      <c r="AH19" s="303"/>
      <c r="AI19" s="303"/>
      <c r="AJ19" s="303"/>
      <c r="AK19" s="303"/>
      <c r="AL19" s="303"/>
      <c r="AM19" s="303"/>
      <c r="AN19" s="303"/>
      <c r="AO19" s="303"/>
      <c r="AP19" s="303"/>
      <c r="AQ19" s="303"/>
      <c r="AR19" s="303"/>
      <c r="AS19" s="303"/>
      <c r="AT19" s="303"/>
      <c r="AU19" s="303"/>
      <c r="AV19" s="303"/>
      <c r="AW19" s="303"/>
      <c r="AX19" s="303"/>
      <c r="AY19" s="303"/>
      <c r="AZ19" s="303"/>
      <c r="BA19" s="303"/>
      <c r="BB19" s="303"/>
      <c r="BC19" s="303"/>
      <c r="BD19" s="303"/>
      <c r="BE19" s="303"/>
      <c r="BF19" s="303"/>
      <c r="BG19" s="303"/>
      <c r="BH19" s="303"/>
      <c r="BI19" s="303"/>
      <c r="BJ19" s="303"/>
      <c r="BK19" s="303"/>
      <c r="BL19" s="303"/>
      <c r="BM19" s="303"/>
      <c r="BN19" s="303"/>
      <c r="BO19" s="303"/>
      <c r="BP19" s="303"/>
      <c r="BQ19" s="303"/>
      <c r="BR19" s="303"/>
      <c r="BS19" s="303"/>
      <c r="BT19" s="303"/>
      <c r="BU19" s="303"/>
      <c r="BV19" s="303"/>
      <c r="BW19" s="303"/>
      <c r="BX19" s="303"/>
      <c r="BY19" s="303"/>
      <c r="BZ19" s="303"/>
      <c r="CA19" s="303"/>
      <c r="CB19" s="303"/>
      <c r="CC19" s="303"/>
      <c r="CD19" s="303"/>
      <c r="CE19" s="303"/>
      <c r="CF19" s="303"/>
      <c r="CG19" s="303"/>
      <c r="CH19" s="303"/>
      <c r="CI19" s="303"/>
      <c r="CJ19" s="303"/>
      <c r="CK19" s="303"/>
      <c r="CL19" s="303"/>
      <c r="CM19" s="303"/>
      <c r="CN19" s="303"/>
      <c r="CO19" s="303"/>
      <c r="CP19" s="303"/>
      <c r="CQ19" s="303"/>
      <c r="CR19" s="303"/>
      <c r="CS19" s="303"/>
      <c r="CT19" s="303"/>
      <c r="CU19" s="303"/>
      <c r="CV19" s="303"/>
      <c r="CW19" s="303"/>
      <c r="CX19" s="303"/>
      <c r="CY19" s="303"/>
      <c r="CZ19" s="303"/>
      <c r="DA19" s="303"/>
      <c r="DB19" s="303"/>
      <c r="DC19" s="303"/>
      <c r="DD19" s="303"/>
      <c r="DE19" s="303"/>
      <c r="DF19" s="303"/>
      <c r="DG19" s="303"/>
      <c r="DH19" s="303"/>
      <c r="DI19" s="303"/>
      <c r="DJ19" s="303"/>
      <c r="DK19" s="303"/>
      <c r="DL19" s="303"/>
      <c r="DM19" s="303"/>
      <c r="DN19" s="303"/>
      <c r="DO19" s="303"/>
      <c r="DP19" s="303"/>
      <c r="DQ19" s="303"/>
      <c r="DR19" s="303"/>
      <c r="DS19" s="303"/>
      <c r="DT19" s="303"/>
      <c r="DU19" s="303"/>
      <c r="DV19" s="303"/>
      <c r="DW19" s="303"/>
      <c r="DX19" s="303"/>
      <c r="DY19" s="303"/>
      <c r="DZ19" s="303"/>
      <c r="EA19" s="303"/>
      <c r="EB19" s="303"/>
      <c r="EC19" s="303"/>
      <c r="ED19" s="303"/>
      <c r="EE19" s="303"/>
      <c r="EF19" s="303"/>
      <c r="EG19" s="303"/>
      <c r="EH19" s="303"/>
      <c r="EI19" s="303"/>
      <c r="EJ19" s="303"/>
      <c r="EK19" s="303"/>
      <c r="EL19" s="303"/>
      <c r="EM19" s="303"/>
      <c r="EN19" s="303"/>
      <c r="EO19" s="303"/>
      <c r="EP19" s="303"/>
      <c r="EQ19" s="303"/>
      <c r="ER19" s="303"/>
      <c r="ES19" s="303"/>
      <c r="ET19" s="303"/>
      <c r="EU19" s="303"/>
      <c r="EV19" s="303"/>
      <c r="EW19" s="303"/>
      <c r="EX19" s="303"/>
      <c r="EY19" s="303"/>
      <c r="EZ19" s="303"/>
      <c r="FA19" s="303"/>
      <c r="FB19" s="303"/>
      <c r="FC19" s="303"/>
      <c r="FD19" s="303"/>
      <c r="FE19" s="303"/>
      <c r="FF19" s="303"/>
      <c r="FG19" s="303"/>
      <c r="FH19" s="303"/>
      <c r="FI19" s="303"/>
      <c r="FJ19" s="303"/>
      <c r="FK19" s="303"/>
      <c r="FL19" s="303"/>
      <c r="FM19" s="303"/>
      <c r="FN19" s="303"/>
      <c r="FO19" s="303"/>
      <c r="FP19" s="303"/>
      <c r="FQ19" s="303"/>
      <c r="FR19" s="303"/>
      <c r="FS19" s="303"/>
      <c r="FT19" s="303"/>
      <c r="FU19" s="303"/>
      <c r="FV19" s="303"/>
      <c r="FW19" s="303"/>
      <c r="FX19" s="303"/>
      <c r="FY19" s="303"/>
      <c r="FZ19" s="303"/>
      <c r="GA19" s="303"/>
      <c r="GB19" s="303"/>
      <c r="GC19" s="303"/>
      <c r="GD19" s="303"/>
      <c r="GE19" s="303"/>
      <c r="GF19" s="303"/>
      <c r="GG19" s="303"/>
      <c r="GH19" s="303"/>
      <c r="GI19" s="303"/>
      <c r="GJ19" s="303"/>
      <c r="GK19" s="303"/>
      <c r="GL19" s="303"/>
      <c r="GM19" s="303"/>
      <c r="GN19" s="303"/>
      <c r="GO19" s="303"/>
      <c r="GP19" s="303"/>
      <c r="GQ19" s="303"/>
      <c r="GR19" s="303"/>
      <c r="GS19" s="303"/>
      <c r="GT19" s="303"/>
      <c r="GU19" s="303"/>
      <c r="GV19" s="303"/>
      <c r="GW19" s="303"/>
      <c r="GX19" s="303"/>
      <c r="GY19" s="303"/>
      <c r="GZ19" s="303"/>
      <c r="HA19" s="303"/>
      <c r="HB19" s="303"/>
      <c r="HC19" s="303"/>
      <c r="HD19" s="303"/>
      <c r="HE19" s="303"/>
      <c r="HF19" s="303"/>
      <c r="HG19" s="303"/>
      <c r="HH19" s="303"/>
      <c r="HI19" s="303"/>
      <c r="HJ19" s="303"/>
      <c r="HK19" s="303"/>
      <c r="HL19" s="303"/>
      <c r="HM19" s="307"/>
      <c r="HN19" s="307"/>
      <c r="HO19" s="307"/>
      <c r="HP19" s="307"/>
      <c r="HQ19" s="307"/>
      <c r="HR19" s="307"/>
      <c r="HS19" s="307"/>
      <c r="HT19" s="307"/>
      <c r="HU19" s="303"/>
      <c r="HV19" s="303"/>
      <c r="HW19" s="303"/>
      <c r="HX19" s="303"/>
      <c r="HY19" s="303"/>
      <c r="HZ19" s="303"/>
      <c r="IA19" s="303"/>
      <c r="IB19" s="303"/>
      <c r="IC19" s="303"/>
      <c r="ID19" s="303"/>
      <c r="IE19" s="303"/>
      <c r="IF19" s="303"/>
      <c r="IG19" s="303"/>
      <c r="IH19" s="303"/>
      <c r="II19" s="303"/>
      <c r="IJ19" s="303"/>
      <c r="IK19" s="303"/>
      <c r="IL19" s="303"/>
      <c r="IM19" s="303"/>
      <c r="IN19" s="303"/>
      <c r="IO19" s="303"/>
      <c r="IP19" s="303"/>
      <c r="IQ19" s="303"/>
      <c r="IR19" s="303"/>
      <c r="IS19" s="303"/>
      <c r="IT19" s="303"/>
      <c r="IU19" s="303"/>
      <c r="IV19" s="303"/>
      <c r="IW19" s="303"/>
      <c r="IX19" s="303"/>
      <c r="IY19" s="303"/>
      <c r="IZ19" s="303"/>
      <c r="JA19" s="303"/>
      <c r="JB19" s="303"/>
      <c r="JC19" s="303"/>
      <c r="JD19" s="303"/>
      <c r="JE19" s="303"/>
      <c r="JF19" s="303"/>
      <c r="JG19" s="303"/>
      <c r="JH19" s="303"/>
      <c r="JI19" s="303"/>
      <c r="JJ19" s="303"/>
      <c r="JK19" s="303"/>
      <c r="JL19" s="303"/>
      <c r="JM19" s="303"/>
      <c r="JN19" s="303"/>
      <c r="JO19" s="303"/>
      <c r="JP19" s="303"/>
      <c r="JQ19" s="303"/>
      <c r="JR19" s="303"/>
      <c r="JS19" s="303"/>
      <c r="JT19" s="303"/>
      <c r="JU19" s="303"/>
      <c r="JV19" s="303"/>
      <c r="JW19" s="303"/>
      <c r="JX19" s="303"/>
      <c r="JY19" s="303"/>
      <c r="JZ19" s="303"/>
      <c r="KA19" s="303"/>
      <c r="KB19" s="303"/>
      <c r="KC19" s="303"/>
      <c r="KD19" s="303"/>
      <c r="KE19" s="303"/>
      <c r="KF19" s="303"/>
      <c r="KG19" s="303"/>
      <c r="KH19" s="303"/>
      <c r="KI19" s="303"/>
      <c r="KJ19" s="303"/>
      <c r="KK19" s="303"/>
      <c r="KL19" s="303"/>
      <c r="KM19" s="303"/>
      <c r="KN19" s="303"/>
      <c r="KO19" s="303"/>
      <c r="KP19" s="303"/>
      <c r="KQ19" s="303"/>
      <c r="KR19" s="303"/>
      <c r="KS19" s="303"/>
      <c r="KT19" s="303"/>
      <c r="KU19" s="303"/>
      <c r="KV19" s="303"/>
      <c r="KW19" s="303"/>
      <c r="KX19" s="303"/>
      <c r="KY19" s="303"/>
      <c r="KZ19" s="303"/>
      <c r="LA19" s="303"/>
      <c r="LB19" s="303"/>
      <c r="LC19" s="303"/>
      <c r="LD19" s="303"/>
      <c r="LE19" s="303"/>
      <c r="LF19" s="303"/>
      <c r="LG19" s="303"/>
      <c r="LH19" s="303"/>
      <c r="LI19" s="303"/>
      <c r="LJ19" s="303"/>
      <c r="LK19" s="303"/>
      <c r="LL19" s="303"/>
      <c r="LM19" s="303"/>
      <c r="LN19" s="303"/>
      <c r="LO19" s="303"/>
      <c r="LP19" s="303"/>
      <c r="LQ19" s="303"/>
      <c r="LR19" s="303"/>
      <c r="LS19" s="303"/>
      <c r="LT19" s="303"/>
      <c r="LU19" s="303"/>
      <c r="LV19" s="303"/>
      <c r="LW19" s="303"/>
      <c r="LX19" s="303"/>
      <c r="LY19" s="303"/>
      <c r="LZ19" s="303"/>
      <c r="MA19" s="303"/>
      <c r="MB19" s="303"/>
      <c r="MC19" s="303"/>
      <c r="MD19" s="303"/>
      <c r="ME19" s="303"/>
      <c r="MF19" s="303"/>
      <c r="MG19" s="303"/>
      <c r="MH19" s="303"/>
      <c r="MI19" s="303"/>
      <c r="MJ19" s="303"/>
      <c r="MK19" s="303"/>
      <c r="ML19" s="303"/>
      <c r="MM19" s="303"/>
      <c r="MN19" s="303"/>
      <c r="MO19" s="303"/>
      <c r="MP19" s="303"/>
      <c r="MQ19" s="303"/>
      <c r="MR19" s="303"/>
      <c r="MS19" s="303"/>
      <c r="MT19" s="303"/>
      <c r="MU19" s="303"/>
      <c r="MV19" s="303"/>
      <c r="MW19" s="303"/>
      <c r="MX19" s="303"/>
      <c r="MY19" s="303"/>
      <c r="MZ19" s="303"/>
      <c r="NA19" s="303"/>
      <c r="NB19" s="303"/>
      <c r="NC19" s="303"/>
      <c r="ND19" s="303"/>
      <c r="NE19" s="303"/>
      <c r="NF19" s="303"/>
      <c r="NG19" s="303"/>
      <c r="NH19" s="303"/>
      <c r="NI19" s="303"/>
      <c r="NJ19" s="303"/>
      <c r="NK19" s="303"/>
      <c r="NL19" s="303"/>
      <c r="NM19" s="303"/>
      <c r="NN19" s="303"/>
      <c r="NO19" s="303"/>
      <c r="NP19" s="303"/>
      <c r="NQ19" s="303"/>
      <c r="NR19" s="303"/>
      <c r="NS19" s="303"/>
      <c r="NT19" s="303"/>
      <c r="NU19" s="303"/>
      <c r="NV19" s="303"/>
      <c r="NW19" s="303"/>
      <c r="NX19" s="303"/>
      <c r="NY19" s="303"/>
      <c r="NZ19" s="303"/>
      <c r="OA19" s="303"/>
      <c r="OB19" s="303"/>
      <c r="OC19" s="303"/>
      <c r="OD19" s="303"/>
      <c r="OE19" s="303"/>
      <c r="OF19" s="303"/>
      <c r="OG19" s="303"/>
      <c r="OH19" s="303"/>
      <c r="OI19" s="303"/>
      <c r="OJ19" s="303"/>
      <c r="OK19" s="303"/>
      <c r="OL19" s="303"/>
      <c r="OM19" s="303"/>
      <c r="ON19" s="303"/>
      <c r="OO19" s="303"/>
      <c r="OP19" s="303"/>
      <c r="OQ19" s="303"/>
      <c r="OR19" s="303"/>
      <c r="OS19" s="303"/>
      <c r="OT19" s="303"/>
      <c r="OU19" s="303"/>
      <c r="OV19" s="303"/>
      <c r="OW19" s="303"/>
      <c r="OX19" s="303"/>
      <c r="OY19" s="303"/>
      <c r="OZ19" s="303"/>
      <c r="PA19" s="303"/>
      <c r="PB19" s="303"/>
      <c r="PC19" s="303"/>
      <c r="PD19" s="303"/>
      <c r="PE19" s="303"/>
      <c r="PF19" s="303"/>
      <c r="PG19" s="303"/>
      <c r="PH19" s="303"/>
      <c r="PI19" s="303"/>
      <c r="PJ19" s="303"/>
      <c r="PK19" s="303"/>
      <c r="PL19" s="303"/>
      <c r="PM19" s="303"/>
      <c r="PN19" s="303"/>
      <c r="PO19" s="303"/>
      <c r="PP19" s="303"/>
      <c r="PQ19" s="303"/>
      <c r="PR19" s="303"/>
      <c r="PS19" s="303"/>
      <c r="PT19" s="303"/>
      <c r="PU19" s="303"/>
      <c r="PV19" s="303"/>
      <c r="PW19" s="303"/>
      <c r="PX19" s="303"/>
      <c r="PY19" s="303"/>
      <c r="PZ19" s="303"/>
      <c r="QA19" s="303"/>
      <c r="QB19" s="303"/>
      <c r="QC19" s="303"/>
      <c r="QD19" s="303"/>
      <c r="QE19" s="303"/>
      <c r="QF19" s="303"/>
      <c r="QG19" s="303"/>
      <c r="QH19" s="303"/>
      <c r="QI19" s="303"/>
      <c r="QJ19" s="303"/>
      <c r="QK19" s="303"/>
      <c r="QL19" s="303"/>
      <c r="QM19" s="303"/>
      <c r="QN19" s="303"/>
      <c r="QO19" s="303"/>
      <c r="QP19" s="303"/>
      <c r="QQ19" s="303"/>
      <c r="QR19" s="303"/>
      <c r="QS19" s="303"/>
      <c r="QT19" s="303"/>
      <c r="QU19" s="303"/>
      <c r="QV19" s="303"/>
      <c r="QW19" s="303"/>
      <c r="QX19" s="303"/>
      <c r="QY19" s="303"/>
      <c r="QZ19" s="303"/>
      <c r="RA19" s="303"/>
      <c r="RB19" s="303"/>
      <c r="RC19" s="303"/>
      <c r="RD19" s="303"/>
      <c r="RE19" s="303"/>
      <c r="RF19" s="303"/>
      <c r="RG19" s="303"/>
      <c r="RH19" s="303"/>
      <c r="RI19" s="303"/>
      <c r="RJ19" s="303"/>
      <c r="RK19" s="303"/>
      <c r="RL19" s="303"/>
      <c r="RM19" s="303"/>
      <c r="RN19" s="303"/>
      <c r="RO19" s="303"/>
      <c r="RP19" s="303"/>
      <c r="RQ19" s="303"/>
      <c r="RR19" s="303"/>
      <c r="RS19" s="303"/>
      <c r="RT19" s="303"/>
      <c r="RU19" s="303"/>
      <c r="RV19" s="303"/>
      <c r="RW19" s="303"/>
      <c r="RX19" s="303"/>
      <c r="RY19" s="303"/>
      <c r="RZ19" s="303"/>
      <c r="SA19" s="303"/>
      <c r="SB19" s="303"/>
      <c r="SC19" s="303"/>
      <c r="SD19" s="303"/>
      <c r="SE19" s="303"/>
      <c r="SF19" s="303"/>
      <c r="SG19" s="303"/>
      <c r="SH19" s="303"/>
      <c r="SI19" s="303"/>
      <c r="SJ19" s="303"/>
      <c r="SK19" s="303"/>
      <c r="SL19" s="303"/>
      <c r="SM19" s="303"/>
      <c r="SN19" s="303"/>
      <c r="SO19" s="303"/>
    </row>
    <row r="20" spans="1:509" s="312" customFormat="1" ht="12.95" customHeight="1" x14ac:dyDescent="0.15">
      <c r="A20" s="310"/>
      <c r="B20" s="311"/>
      <c r="C20" s="325">
        <v>7</v>
      </c>
      <c r="D20" s="999"/>
      <c r="E20" s="1000"/>
      <c r="F20" s="1000"/>
      <c r="G20" s="1000"/>
      <c r="H20" s="1000"/>
      <c r="I20" s="1000"/>
      <c r="J20" s="1001"/>
      <c r="K20" s="322"/>
      <c r="L20" s="363"/>
      <c r="M20" s="330"/>
      <c r="N20" s="331"/>
      <c r="O20" s="338"/>
      <c r="P20" s="339"/>
      <c r="Q20" s="346"/>
      <c r="R20" s="347"/>
      <c r="S20" s="354"/>
      <c r="T20" s="355"/>
      <c r="U20" s="311"/>
      <c r="V20" s="310"/>
      <c r="W20" s="310"/>
      <c r="X20" s="310"/>
      <c r="Y20" s="310"/>
      <c r="Z20" s="310"/>
      <c r="AA20" s="310"/>
      <c r="AB20" s="310"/>
      <c r="AC20" s="310"/>
      <c r="AD20" s="310"/>
      <c r="AE20" s="310"/>
      <c r="AF20" s="310"/>
      <c r="AG20" s="310"/>
      <c r="AH20" s="310"/>
      <c r="AI20" s="310"/>
      <c r="AJ20" s="310"/>
      <c r="AK20" s="310"/>
      <c r="AL20" s="310"/>
      <c r="AM20" s="310"/>
      <c r="AN20" s="310"/>
      <c r="AO20" s="310"/>
      <c r="AP20" s="310"/>
      <c r="AQ20" s="310"/>
      <c r="AR20" s="310"/>
      <c r="AS20" s="310"/>
      <c r="AT20" s="310"/>
      <c r="AU20" s="310"/>
      <c r="AV20" s="310"/>
      <c r="AW20" s="310"/>
      <c r="AX20" s="310"/>
      <c r="AY20" s="310"/>
      <c r="AZ20" s="310"/>
      <c r="BA20" s="310"/>
      <c r="BB20" s="310"/>
      <c r="BC20" s="310"/>
      <c r="BD20" s="310"/>
      <c r="BE20" s="310"/>
      <c r="BF20" s="310"/>
      <c r="BG20" s="310"/>
      <c r="BH20" s="310"/>
      <c r="BI20" s="310"/>
      <c r="BJ20" s="310"/>
      <c r="BK20" s="310"/>
      <c r="BL20" s="310"/>
      <c r="BM20" s="310"/>
      <c r="BN20" s="310"/>
      <c r="BO20" s="310"/>
      <c r="BP20" s="310"/>
      <c r="BQ20" s="310"/>
      <c r="BR20" s="310"/>
      <c r="BS20" s="310"/>
      <c r="BT20" s="310"/>
      <c r="BU20" s="310"/>
      <c r="BV20" s="310"/>
      <c r="BW20" s="310"/>
      <c r="BX20" s="310"/>
      <c r="BY20" s="310"/>
      <c r="BZ20" s="310"/>
      <c r="CA20" s="310"/>
      <c r="CB20" s="310"/>
      <c r="CC20" s="310"/>
      <c r="CD20" s="310"/>
      <c r="CE20" s="310"/>
      <c r="CF20" s="310"/>
      <c r="CG20" s="310"/>
      <c r="CH20" s="310"/>
      <c r="CI20" s="310"/>
      <c r="CJ20" s="310"/>
      <c r="CK20" s="310"/>
      <c r="CL20" s="310"/>
      <c r="CM20" s="310"/>
      <c r="CN20" s="310"/>
      <c r="CO20" s="310"/>
      <c r="CP20" s="310"/>
      <c r="CQ20" s="310"/>
      <c r="CR20" s="310"/>
      <c r="CS20" s="310"/>
      <c r="CT20" s="310"/>
      <c r="CU20" s="310"/>
      <c r="CV20" s="310"/>
      <c r="CW20" s="310"/>
      <c r="CX20" s="310"/>
      <c r="CY20" s="310"/>
      <c r="CZ20" s="310"/>
      <c r="DA20" s="310"/>
      <c r="DB20" s="310"/>
      <c r="DC20" s="310"/>
      <c r="DD20" s="310"/>
      <c r="DE20" s="310"/>
      <c r="DF20" s="310"/>
      <c r="DG20" s="310"/>
      <c r="DH20" s="310"/>
      <c r="DI20" s="310"/>
      <c r="DJ20" s="310"/>
      <c r="DK20" s="310"/>
      <c r="DL20" s="310"/>
      <c r="DM20" s="310"/>
      <c r="DN20" s="310"/>
      <c r="DO20" s="310"/>
      <c r="DP20" s="310"/>
      <c r="DQ20" s="310"/>
      <c r="DR20" s="310"/>
      <c r="DS20" s="310"/>
      <c r="DT20" s="310"/>
      <c r="DU20" s="310"/>
      <c r="DV20" s="310"/>
      <c r="DW20" s="310"/>
      <c r="DX20" s="310"/>
      <c r="DY20" s="310"/>
      <c r="DZ20" s="310"/>
      <c r="EA20" s="310"/>
      <c r="EB20" s="310"/>
      <c r="EC20" s="310"/>
      <c r="ED20" s="310"/>
      <c r="EE20" s="310"/>
      <c r="EF20" s="310"/>
      <c r="EG20" s="310"/>
      <c r="EH20" s="310"/>
      <c r="EI20" s="310"/>
      <c r="EJ20" s="310"/>
      <c r="EK20" s="310"/>
      <c r="EL20" s="310"/>
      <c r="EM20" s="310"/>
      <c r="EN20" s="310"/>
      <c r="EO20" s="310"/>
      <c r="EP20" s="310"/>
      <c r="EQ20" s="310"/>
      <c r="ER20" s="310"/>
      <c r="ES20" s="310"/>
      <c r="ET20" s="310"/>
      <c r="EU20" s="310"/>
      <c r="EV20" s="310"/>
      <c r="EW20" s="310"/>
      <c r="EX20" s="310"/>
      <c r="EY20" s="310"/>
      <c r="EZ20" s="310"/>
      <c r="FA20" s="310"/>
      <c r="FB20" s="310"/>
      <c r="FC20" s="310"/>
      <c r="FD20" s="310"/>
      <c r="FE20" s="310"/>
      <c r="FF20" s="310"/>
      <c r="FG20" s="310"/>
      <c r="FH20" s="310"/>
      <c r="FI20" s="310"/>
      <c r="FJ20" s="310"/>
      <c r="FK20" s="310"/>
      <c r="FL20" s="310"/>
      <c r="FM20" s="310"/>
      <c r="FN20" s="310"/>
      <c r="FO20" s="310"/>
      <c r="FP20" s="310"/>
      <c r="FQ20" s="310"/>
      <c r="FR20" s="310"/>
      <c r="FS20" s="310"/>
      <c r="FT20" s="310"/>
      <c r="FU20" s="310"/>
      <c r="FV20" s="310"/>
      <c r="FW20" s="310"/>
      <c r="FX20" s="310"/>
      <c r="FY20" s="310"/>
      <c r="FZ20" s="310"/>
      <c r="GA20" s="310"/>
      <c r="GB20" s="310"/>
      <c r="GC20" s="310"/>
      <c r="GD20" s="310"/>
      <c r="GE20" s="310"/>
      <c r="GF20" s="310"/>
      <c r="GG20" s="310"/>
      <c r="GH20" s="310"/>
      <c r="GI20" s="310"/>
      <c r="GJ20" s="310"/>
      <c r="GK20" s="310"/>
      <c r="GL20" s="310"/>
      <c r="GM20" s="310"/>
      <c r="GN20" s="310"/>
      <c r="GO20" s="310"/>
      <c r="GP20" s="310"/>
      <c r="GQ20" s="310"/>
      <c r="GR20" s="310"/>
      <c r="GS20" s="310"/>
      <c r="GT20" s="310"/>
      <c r="GU20" s="310"/>
      <c r="GV20" s="310"/>
      <c r="GW20" s="310"/>
      <c r="GX20" s="310"/>
      <c r="GY20" s="310"/>
      <c r="GZ20" s="310"/>
      <c r="HA20" s="310"/>
      <c r="HB20" s="310"/>
      <c r="HC20" s="310"/>
      <c r="HD20" s="310"/>
      <c r="HE20" s="310"/>
      <c r="HF20" s="310"/>
      <c r="HG20" s="310"/>
      <c r="HH20" s="310"/>
      <c r="HI20" s="310"/>
      <c r="HJ20" s="310"/>
      <c r="HK20" s="310"/>
      <c r="HL20" s="310"/>
      <c r="HM20" s="307"/>
      <c r="HN20" s="307"/>
      <c r="HO20" s="307"/>
      <c r="HP20" s="307"/>
      <c r="HQ20" s="307"/>
      <c r="HR20" s="307"/>
      <c r="HS20" s="307"/>
      <c r="HT20" s="307"/>
      <c r="HU20" s="310"/>
      <c r="HV20" s="310"/>
      <c r="HW20" s="310"/>
      <c r="HX20" s="310"/>
      <c r="HY20" s="310"/>
      <c r="HZ20" s="310"/>
      <c r="IA20" s="310"/>
      <c r="IB20" s="310"/>
      <c r="IC20" s="310"/>
      <c r="ID20" s="310"/>
      <c r="IE20" s="310"/>
      <c r="IF20" s="310"/>
      <c r="IG20" s="310"/>
      <c r="IH20" s="310"/>
      <c r="II20" s="310"/>
      <c r="IJ20" s="310"/>
      <c r="IK20" s="310"/>
      <c r="IL20" s="310"/>
      <c r="IM20" s="310"/>
      <c r="IN20" s="310"/>
      <c r="IO20" s="310"/>
      <c r="IP20" s="310"/>
      <c r="IQ20" s="310"/>
      <c r="IR20" s="310"/>
      <c r="IS20" s="310"/>
      <c r="IT20" s="310"/>
      <c r="IU20" s="310"/>
      <c r="IV20" s="310"/>
      <c r="IW20" s="310"/>
      <c r="IX20" s="310"/>
      <c r="IY20" s="310"/>
      <c r="IZ20" s="310"/>
      <c r="JA20" s="310"/>
      <c r="JB20" s="310"/>
      <c r="JC20" s="310"/>
      <c r="JD20" s="310"/>
      <c r="JE20" s="310"/>
      <c r="JF20" s="310"/>
      <c r="JG20" s="310"/>
      <c r="JH20" s="310"/>
      <c r="JI20" s="310"/>
      <c r="JJ20" s="310"/>
      <c r="JK20" s="310"/>
      <c r="JL20" s="310"/>
      <c r="JM20" s="310"/>
      <c r="JN20" s="310"/>
      <c r="JO20" s="310"/>
      <c r="JP20" s="310"/>
      <c r="JQ20" s="310"/>
      <c r="JR20" s="310"/>
      <c r="JS20" s="310"/>
      <c r="JT20" s="310"/>
      <c r="JU20" s="310"/>
      <c r="JV20" s="310"/>
      <c r="JW20" s="310"/>
      <c r="JX20" s="310"/>
      <c r="JY20" s="310"/>
      <c r="JZ20" s="310"/>
      <c r="KA20" s="310"/>
      <c r="KB20" s="310"/>
      <c r="KC20" s="310"/>
      <c r="KD20" s="310"/>
      <c r="KE20" s="310"/>
      <c r="KF20" s="310"/>
      <c r="KG20" s="310"/>
      <c r="KH20" s="310"/>
      <c r="KI20" s="310"/>
      <c r="KJ20" s="310"/>
      <c r="KK20" s="310"/>
      <c r="KL20" s="310"/>
      <c r="KM20" s="310"/>
      <c r="KN20" s="310"/>
      <c r="KO20" s="310"/>
      <c r="KP20" s="310"/>
      <c r="KQ20" s="310"/>
      <c r="KR20" s="310"/>
      <c r="KS20" s="310"/>
      <c r="KT20" s="310"/>
      <c r="KU20" s="310"/>
      <c r="KV20" s="310"/>
      <c r="KW20" s="310"/>
      <c r="KX20" s="310"/>
      <c r="KY20" s="310"/>
      <c r="KZ20" s="310"/>
      <c r="LA20" s="310"/>
      <c r="LB20" s="310"/>
      <c r="LC20" s="310"/>
      <c r="LD20" s="310"/>
      <c r="LE20" s="310"/>
      <c r="LF20" s="310"/>
      <c r="LG20" s="310"/>
      <c r="LH20" s="310"/>
      <c r="LI20" s="310"/>
      <c r="LJ20" s="310"/>
      <c r="LK20" s="310"/>
      <c r="LL20" s="310"/>
      <c r="LM20" s="310"/>
      <c r="LN20" s="310"/>
      <c r="LO20" s="310"/>
      <c r="LP20" s="310"/>
      <c r="LQ20" s="310"/>
      <c r="LR20" s="310"/>
      <c r="LS20" s="310"/>
      <c r="LT20" s="310"/>
      <c r="LU20" s="310"/>
      <c r="LV20" s="310"/>
      <c r="LW20" s="310"/>
      <c r="LX20" s="310"/>
      <c r="LY20" s="310"/>
      <c r="LZ20" s="310"/>
      <c r="MA20" s="310"/>
      <c r="MB20" s="310"/>
      <c r="MC20" s="310"/>
      <c r="MD20" s="310"/>
      <c r="ME20" s="310"/>
      <c r="MF20" s="310"/>
      <c r="MG20" s="310"/>
      <c r="MH20" s="310"/>
      <c r="MI20" s="310"/>
      <c r="MJ20" s="310"/>
      <c r="MK20" s="310"/>
      <c r="ML20" s="310"/>
      <c r="MM20" s="310"/>
      <c r="MN20" s="310"/>
      <c r="MO20" s="310"/>
      <c r="MP20" s="310"/>
      <c r="MQ20" s="310"/>
      <c r="MR20" s="310"/>
      <c r="MS20" s="310"/>
      <c r="MT20" s="310"/>
      <c r="MU20" s="310"/>
      <c r="MV20" s="310"/>
      <c r="MW20" s="310"/>
      <c r="MX20" s="310"/>
      <c r="MY20" s="310"/>
      <c r="MZ20" s="310"/>
      <c r="NA20" s="310"/>
      <c r="NB20" s="310"/>
      <c r="NC20" s="310"/>
      <c r="ND20" s="310"/>
      <c r="NE20" s="310"/>
      <c r="NF20" s="310"/>
      <c r="NG20" s="310"/>
      <c r="NH20" s="310"/>
      <c r="NI20" s="310"/>
      <c r="NJ20" s="310"/>
      <c r="NK20" s="310"/>
      <c r="NL20" s="310"/>
      <c r="NM20" s="310"/>
      <c r="NN20" s="310"/>
      <c r="NO20" s="310"/>
      <c r="NP20" s="310"/>
      <c r="NQ20" s="310"/>
      <c r="NR20" s="310"/>
      <c r="NS20" s="310"/>
      <c r="NT20" s="310"/>
      <c r="NU20" s="310"/>
      <c r="NV20" s="310"/>
      <c r="NW20" s="310"/>
      <c r="NX20" s="310"/>
      <c r="NY20" s="310"/>
      <c r="NZ20" s="310"/>
      <c r="OA20" s="310"/>
      <c r="OB20" s="310"/>
      <c r="OC20" s="310"/>
      <c r="OD20" s="310"/>
      <c r="OE20" s="310"/>
      <c r="OF20" s="310"/>
      <c r="OG20" s="310"/>
      <c r="OH20" s="310"/>
      <c r="OI20" s="310"/>
      <c r="OJ20" s="310"/>
      <c r="OK20" s="310"/>
      <c r="OL20" s="310"/>
      <c r="OM20" s="310"/>
      <c r="ON20" s="310"/>
      <c r="OO20" s="310"/>
      <c r="OP20" s="310"/>
      <c r="OQ20" s="310"/>
      <c r="OR20" s="310"/>
      <c r="OS20" s="310"/>
      <c r="OT20" s="310"/>
      <c r="OU20" s="310"/>
      <c r="OV20" s="310"/>
      <c r="OW20" s="310"/>
      <c r="OX20" s="310"/>
      <c r="OY20" s="310"/>
      <c r="OZ20" s="310"/>
      <c r="PA20" s="310"/>
      <c r="PB20" s="310"/>
      <c r="PC20" s="310"/>
      <c r="PD20" s="310"/>
      <c r="PE20" s="310"/>
      <c r="PF20" s="310"/>
      <c r="PG20" s="310"/>
      <c r="PH20" s="310"/>
      <c r="PI20" s="310"/>
      <c r="PJ20" s="310"/>
      <c r="PK20" s="310"/>
      <c r="PL20" s="310"/>
      <c r="PM20" s="310"/>
      <c r="PN20" s="310"/>
      <c r="PO20" s="310"/>
      <c r="PP20" s="310"/>
      <c r="PQ20" s="310"/>
      <c r="PR20" s="310"/>
      <c r="PS20" s="310"/>
      <c r="PT20" s="310"/>
      <c r="PU20" s="310"/>
      <c r="PV20" s="310"/>
      <c r="PW20" s="310"/>
      <c r="PX20" s="310"/>
      <c r="PY20" s="310"/>
      <c r="PZ20" s="310"/>
      <c r="QA20" s="310"/>
      <c r="QB20" s="310"/>
      <c r="QC20" s="310"/>
      <c r="QD20" s="310"/>
      <c r="QE20" s="310"/>
      <c r="QF20" s="310"/>
      <c r="QG20" s="310"/>
      <c r="QH20" s="310"/>
      <c r="QI20" s="310"/>
      <c r="QJ20" s="310"/>
      <c r="QK20" s="310"/>
      <c r="QL20" s="310"/>
      <c r="QM20" s="310"/>
      <c r="QN20" s="310"/>
      <c r="QO20" s="310"/>
      <c r="QP20" s="310"/>
      <c r="QQ20" s="310"/>
      <c r="QR20" s="310"/>
      <c r="QS20" s="310"/>
      <c r="QT20" s="310"/>
      <c r="QU20" s="310"/>
      <c r="QV20" s="310"/>
      <c r="QW20" s="310"/>
      <c r="QX20" s="310"/>
      <c r="QY20" s="310"/>
      <c r="QZ20" s="310"/>
      <c r="RA20" s="310"/>
      <c r="RB20" s="310"/>
      <c r="RC20" s="310"/>
      <c r="RD20" s="310"/>
      <c r="RE20" s="310"/>
      <c r="RF20" s="310"/>
      <c r="RG20" s="310"/>
      <c r="RH20" s="310"/>
      <c r="RI20" s="310"/>
      <c r="RJ20" s="310"/>
      <c r="RK20" s="310"/>
      <c r="RL20" s="310"/>
      <c r="RM20" s="310"/>
      <c r="RN20" s="310"/>
      <c r="RO20" s="310"/>
      <c r="RP20" s="310"/>
      <c r="RQ20" s="310"/>
      <c r="RR20" s="310"/>
      <c r="RS20" s="310"/>
      <c r="RT20" s="310"/>
      <c r="RU20" s="310"/>
      <c r="RV20" s="310"/>
      <c r="RW20" s="310"/>
      <c r="RX20" s="310"/>
      <c r="RY20" s="310"/>
      <c r="RZ20" s="310"/>
      <c r="SA20" s="310"/>
      <c r="SB20" s="310"/>
      <c r="SC20" s="310"/>
      <c r="SD20" s="310"/>
      <c r="SE20" s="310"/>
      <c r="SF20" s="310"/>
      <c r="SG20" s="310"/>
      <c r="SH20" s="310"/>
      <c r="SI20" s="310"/>
      <c r="SJ20" s="310"/>
      <c r="SK20" s="310"/>
      <c r="SL20" s="310"/>
      <c r="SM20" s="310"/>
      <c r="SN20" s="310"/>
      <c r="SO20" s="310"/>
    </row>
    <row r="21" spans="1:509" s="313" customFormat="1" ht="12" x14ac:dyDescent="0.15">
      <c r="A21" s="310"/>
      <c r="B21" s="311"/>
      <c r="C21" s="325">
        <v>8</v>
      </c>
      <c r="D21" s="999"/>
      <c r="E21" s="1000"/>
      <c r="F21" s="1000"/>
      <c r="G21" s="1000"/>
      <c r="H21" s="1000"/>
      <c r="I21" s="1000"/>
      <c r="J21" s="1001"/>
      <c r="K21" s="323"/>
      <c r="L21" s="363"/>
      <c r="M21" s="330"/>
      <c r="N21" s="331"/>
      <c r="O21" s="338"/>
      <c r="P21" s="339"/>
      <c r="Q21" s="346"/>
      <c r="R21" s="347"/>
      <c r="S21" s="354"/>
      <c r="T21" s="355"/>
      <c r="U21" s="311"/>
      <c r="V21" s="310"/>
      <c r="W21" s="310"/>
      <c r="X21" s="310"/>
      <c r="Y21" s="310"/>
      <c r="Z21" s="310"/>
      <c r="AA21" s="310"/>
      <c r="AB21" s="310"/>
      <c r="AC21" s="310"/>
      <c r="AD21" s="310"/>
      <c r="AE21" s="310"/>
      <c r="AF21" s="310"/>
      <c r="AG21" s="310"/>
      <c r="AH21" s="310"/>
      <c r="AI21" s="310"/>
      <c r="AJ21" s="310"/>
      <c r="AK21" s="310"/>
      <c r="AL21" s="310"/>
      <c r="AM21" s="310"/>
      <c r="AN21" s="310"/>
      <c r="AO21" s="310"/>
      <c r="AP21" s="310"/>
      <c r="AQ21" s="310"/>
      <c r="AR21" s="310"/>
      <c r="AS21" s="310"/>
      <c r="AT21" s="310"/>
      <c r="AU21" s="310"/>
      <c r="AV21" s="310"/>
      <c r="AW21" s="310"/>
      <c r="AX21" s="310"/>
      <c r="AY21" s="310"/>
      <c r="AZ21" s="310"/>
      <c r="BA21" s="310"/>
      <c r="BB21" s="310"/>
      <c r="BC21" s="310"/>
      <c r="BD21" s="310"/>
      <c r="BE21" s="310"/>
      <c r="BF21" s="310"/>
      <c r="BG21" s="310"/>
      <c r="BH21" s="310"/>
      <c r="BI21" s="310"/>
      <c r="BJ21" s="310"/>
      <c r="BK21" s="310"/>
      <c r="BL21" s="310"/>
      <c r="BM21" s="310"/>
      <c r="BN21" s="310"/>
      <c r="BO21" s="310"/>
      <c r="BP21" s="310"/>
      <c r="BQ21" s="310"/>
      <c r="BR21" s="310"/>
      <c r="BS21" s="310"/>
      <c r="BT21" s="310"/>
      <c r="BU21" s="310"/>
      <c r="BV21" s="310"/>
      <c r="BW21" s="310"/>
      <c r="BX21" s="310"/>
      <c r="BY21" s="310"/>
      <c r="BZ21" s="310"/>
      <c r="CA21" s="310"/>
      <c r="CB21" s="310"/>
      <c r="CC21" s="310"/>
      <c r="CD21" s="310"/>
      <c r="CE21" s="310"/>
      <c r="CF21" s="310"/>
      <c r="CG21" s="310"/>
      <c r="CH21" s="310"/>
      <c r="CI21" s="310"/>
      <c r="CJ21" s="310"/>
      <c r="CK21" s="310"/>
      <c r="CL21" s="310"/>
      <c r="CM21" s="310"/>
      <c r="CN21" s="310"/>
      <c r="CO21" s="310"/>
      <c r="CP21" s="310"/>
      <c r="CQ21" s="310"/>
      <c r="CR21" s="310"/>
      <c r="CS21" s="310"/>
      <c r="CT21" s="310"/>
      <c r="CU21" s="310"/>
      <c r="CV21" s="310"/>
      <c r="CW21" s="310"/>
      <c r="CX21" s="310"/>
      <c r="CY21" s="310"/>
      <c r="CZ21" s="310"/>
      <c r="DA21" s="310"/>
      <c r="DB21" s="310"/>
      <c r="DC21" s="310"/>
      <c r="DD21" s="310"/>
      <c r="DE21" s="310"/>
      <c r="DF21" s="310"/>
      <c r="DG21" s="310"/>
      <c r="DH21" s="310"/>
      <c r="DI21" s="310"/>
      <c r="DJ21" s="310"/>
      <c r="DK21" s="310"/>
      <c r="DL21" s="310"/>
      <c r="DM21" s="310"/>
      <c r="DN21" s="310"/>
      <c r="DO21" s="310"/>
      <c r="DP21" s="310"/>
      <c r="DQ21" s="310"/>
      <c r="DR21" s="310"/>
      <c r="DS21" s="310"/>
      <c r="DT21" s="310"/>
      <c r="DU21" s="310"/>
      <c r="DV21" s="310"/>
      <c r="DW21" s="310"/>
      <c r="DX21" s="310"/>
      <c r="DY21" s="310"/>
      <c r="DZ21" s="310"/>
      <c r="EA21" s="310"/>
      <c r="EB21" s="310"/>
      <c r="EC21" s="310"/>
      <c r="ED21" s="310"/>
      <c r="EE21" s="310"/>
      <c r="EF21" s="310"/>
      <c r="EG21" s="310"/>
      <c r="EH21" s="310"/>
      <c r="EI21" s="310"/>
      <c r="EJ21" s="310"/>
      <c r="EK21" s="310"/>
      <c r="EL21" s="310"/>
      <c r="EM21" s="310"/>
      <c r="EN21" s="310"/>
      <c r="EO21" s="310"/>
      <c r="EP21" s="310"/>
      <c r="EQ21" s="310"/>
      <c r="ER21" s="310"/>
      <c r="ES21" s="310"/>
      <c r="ET21" s="310"/>
      <c r="EU21" s="310"/>
      <c r="EV21" s="310"/>
      <c r="EW21" s="310"/>
      <c r="EX21" s="310"/>
      <c r="EY21" s="310"/>
      <c r="EZ21" s="310"/>
      <c r="FA21" s="310"/>
      <c r="FB21" s="310"/>
      <c r="FC21" s="310"/>
      <c r="FD21" s="310"/>
      <c r="FE21" s="310"/>
      <c r="FF21" s="310"/>
      <c r="FG21" s="310"/>
      <c r="FH21" s="310"/>
      <c r="FI21" s="310"/>
      <c r="FJ21" s="310"/>
      <c r="FK21" s="310"/>
      <c r="FL21" s="310"/>
      <c r="FM21" s="310"/>
      <c r="FN21" s="310"/>
      <c r="FO21" s="310"/>
      <c r="FP21" s="310"/>
      <c r="FQ21" s="310"/>
      <c r="FR21" s="310"/>
      <c r="FS21" s="310"/>
      <c r="FT21" s="310"/>
      <c r="FU21" s="310"/>
      <c r="FV21" s="310"/>
      <c r="FW21" s="310"/>
      <c r="FX21" s="310"/>
      <c r="FY21" s="310"/>
      <c r="FZ21" s="310"/>
      <c r="GA21" s="310"/>
      <c r="GB21" s="310"/>
      <c r="GC21" s="310"/>
      <c r="GD21" s="310"/>
      <c r="GE21" s="310"/>
      <c r="GF21" s="310"/>
      <c r="GG21" s="310"/>
      <c r="GH21" s="310"/>
      <c r="GI21" s="310"/>
      <c r="GJ21" s="310"/>
      <c r="GK21" s="310"/>
      <c r="GL21" s="310"/>
      <c r="GM21" s="310"/>
      <c r="GN21" s="310"/>
      <c r="GO21" s="310"/>
      <c r="GP21" s="310"/>
      <c r="GQ21" s="310"/>
      <c r="GR21" s="310"/>
      <c r="GS21" s="310"/>
      <c r="GT21" s="310"/>
      <c r="GU21" s="310"/>
      <c r="GV21" s="310"/>
      <c r="GW21" s="310"/>
      <c r="GX21" s="310"/>
      <c r="GY21" s="310"/>
      <c r="GZ21" s="310"/>
      <c r="HA21" s="310"/>
      <c r="HB21" s="310"/>
      <c r="HC21" s="310"/>
      <c r="HD21" s="310"/>
      <c r="HE21" s="310"/>
      <c r="HF21" s="310"/>
      <c r="HG21" s="310"/>
      <c r="HH21" s="310"/>
      <c r="HI21" s="310"/>
      <c r="HJ21" s="310"/>
      <c r="HK21" s="310"/>
      <c r="HL21" s="310"/>
      <c r="HM21" s="307"/>
      <c r="HN21" s="307"/>
      <c r="HO21" s="307"/>
      <c r="HP21" s="307"/>
      <c r="HQ21" s="307"/>
      <c r="HR21" s="307"/>
      <c r="HS21" s="307"/>
      <c r="HT21" s="307"/>
      <c r="HU21" s="310"/>
      <c r="HV21" s="310"/>
      <c r="HW21" s="310"/>
      <c r="HX21" s="310"/>
      <c r="HY21" s="310"/>
      <c r="HZ21" s="310"/>
      <c r="IA21" s="310"/>
      <c r="IB21" s="310"/>
      <c r="IC21" s="310"/>
      <c r="ID21" s="310"/>
      <c r="IE21" s="310"/>
      <c r="IF21" s="310"/>
      <c r="IG21" s="310"/>
      <c r="IH21" s="310"/>
      <c r="II21" s="310"/>
      <c r="IJ21" s="310"/>
      <c r="IK21" s="310"/>
      <c r="IL21" s="310"/>
      <c r="IM21" s="310"/>
      <c r="IN21" s="310"/>
      <c r="IO21" s="310"/>
      <c r="IP21" s="310"/>
      <c r="IQ21" s="310"/>
      <c r="IR21" s="310"/>
      <c r="IS21" s="310"/>
      <c r="IT21" s="310"/>
      <c r="IU21" s="310"/>
      <c r="IV21" s="310"/>
      <c r="IW21" s="310"/>
      <c r="IX21" s="310"/>
      <c r="IY21" s="310"/>
      <c r="IZ21" s="310"/>
      <c r="JA21" s="310"/>
      <c r="JB21" s="310"/>
      <c r="JC21" s="310"/>
      <c r="JD21" s="310"/>
      <c r="JE21" s="310"/>
      <c r="JF21" s="310"/>
      <c r="JG21" s="310"/>
      <c r="JH21" s="310"/>
      <c r="JI21" s="310"/>
      <c r="JJ21" s="310"/>
      <c r="JK21" s="310"/>
      <c r="JL21" s="310"/>
      <c r="JM21" s="310"/>
      <c r="JN21" s="310"/>
      <c r="JO21" s="310"/>
      <c r="JP21" s="310"/>
      <c r="JQ21" s="310"/>
      <c r="JR21" s="310"/>
      <c r="JS21" s="310"/>
      <c r="JT21" s="310"/>
      <c r="JU21" s="310"/>
      <c r="JV21" s="310"/>
      <c r="JW21" s="310"/>
      <c r="JX21" s="310"/>
      <c r="JY21" s="310"/>
      <c r="JZ21" s="310"/>
      <c r="KA21" s="310"/>
      <c r="KB21" s="310"/>
      <c r="KC21" s="310"/>
      <c r="KD21" s="310"/>
      <c r="KE21" s="310"/>
      <c r="KF21" s="310"/>
      <c r="KG21" s="310"/>
      <c r="KH21" s="310"/>
      <c r="KI21" s="310"/>
      <c r="KJ21" s="310"/>
      <c r="KK21" s="310"/>
      <c r="KL21" s="310"/>
      <c r="KM21" s="310"/>
      <c r="KN21" s="310"/>
      <c r="KO21" s="310"/>
      <c r="KP21" s="310"/>
      <c r="KQ21" s="310"/>
      <c r="KR21" s="310"/>
      <c r="KS21" s="310"/>
      <c r="KT21" s="310"/>
      <c r="KU21" s="310"/>
      <c r="KV21" s="310"/>
      <c r="KW21" s="310"/>
      <c r="KX21" s="310"/>
      <c r="KY21" s="310"/>
      <c r="KZ21" s="310"/>
      <c r="LA21" s="310"/>
      <c r="LB21" s="310"/>
      <c r="LC21" s="310"/>
      <c r="LD21" s="310"/>
      <c r="LE21" s="310"/>
      <c r="LF21" s="310"/>
      <c r="LG21" s="310"/>
      <c r="LH21" s="310"/>
      <c r="LI21" s="310"/>
      <c r="LJ21" s="310"/>
      <c r="LK21" s="310"/>
      <c r="LL21" s="310"/>
      <c r="LM21" s="310"/>
      <c r="LN21" s="310"/>
      <c r="LO21" s="310"/>
      <c r="LP21" s="310"/>
      <c r="LQ21" s="310"/>
      <c r="LR21" s="310"/>
      <c r="LS21" s="310"/>
      <c r="LT21" s="310"/>
      <c r="LU21" s="310"/>
      <c r="LV21" s="310"/>
      <c r="LW21" s="310"/>
      <c r="LX21" s="310"/>
      <c r="LY21" s="310"/>
      <c r="LZ21" s="310"/>
      <c r="MA21" s="310"/>
      <c r="MB21" s="310"/>
      <c r="MC21" s="310"/>
      <c r="MD21" s="310"/>
      <c r="ME21" s="310"/>
      <c r="MF21" s="310"/>
      <c r="MG21" s="310"/>
      <c r="MH21" s="310"/>
      <c r="MI21" s="310"/>
      <c r="MJ21" s="310"/>
      <c r="MK21" s="310"/>
      <c r="ML21" s="310"/>
      <c r="MM21" s="310"/>
      <c r="MN21" s="310"/>
      <c r="MO21" s="310"/>
      <c r="MP21" s="310"/>
      <c r="MQ21" s="310"/>
      <c r="MR21" s="310"/>
      <c r="MS21" s="310"/>
      <c r="MT21" s="310"/>
      <c r="MU21" s="310"/>
      <c r="MV21" s="310"/>
      <c r="MW21" s="310"/>
      <c r="MX21" s="310"/>
      <c r="MY21" s="310"/>
      <c r="MZ21" s="310"/>
      <c r="NA21" s="310"/>
      <c r="NB21" s="310"/>
      <c r="NC21" s="310"/>
      <c r="ND21" s="310"/>
      <c r="NE21" s="310"/>
      <c r="NF21" s="310"/>
      <c r="NG21" s="310"/>
      <c r="NH21" s="310"/>
      <c r="NI21" s="310"/>
      <c r="NJ21" s="310"/>
      <c r="NK21" s="310"/>
      <c r="NL21" s="310"/>
      <c r="NM21" s="310"/>
      <c r="NN21" s="310"/>
      <c r="NO21" s="310"/>
      <c r="NP21" s="310"/>
      <c r="NQ21" s="310"/>
      <c r="NR21" s="310"/>
      <c r="NS21" s="310"/>
      <c r="NT21" s="310"/>
      <c r="NU21" s="310"/>
      <c r="NV21" s="310"/>
      <c r="NW21" s="310"/>
      <c r="NX21" s="310"/>
      <c r="NY21" s="310"/>
      <c r="NZ21" s="310"/>
      <c r="OA21" s="310"/>
      <c r="OB21" s="310"/>
      <c r="OC21" s="310"/>
      <c r="OD21" s="310"/>
      <c r="OE21" s="310"/>
      <c r="OF21" s="310"/>
      <c r="OG21" s="310"/>
      <c r="OH21" s="310"/>
      <c r="OI21" s="310"/>
      <c r="OJ21" s="310"/>
      <c r="OK21" s="310"/>
      <c r="OL21" s="310"/>
      <c r="OM21" s="310"/>
      <c r="ON21" s="310"/>
      <c r="OO21" s="310"/>
      <c r="OP21" s="310"/>
      <c r="OQ21" s="310"/>
      <c r="OR21" s="310"/>
      <c r="OS21" s="310"/>
      <c r="OT21" s="310"/>
      <c r="OU21" s="310"/>
      <c r="OV21" s="310"/>
      <c r="OW21" s="310"/>
      <c r="OX21" s="310"/>
      <c r="OY21" s="310"/>
      <c r="OZ21" s="310"/>
      <c r="PA21" s="310"/>
      <c r="PB21" s="310"/>
      <c r="PC21" s="310"/>
      <c r="PD21" s="310"/>
      <c r="PE21" s="310"/>
      <c r="PF21" s="310"/>
      <c r="PG21" s="310"/>
      <c r="PH21" s="310"/>
      <c r="PI21" s="310"/>
      <c r="PJ21" s="310"/>
      <c r="PK21" s="310"/>
      <c r="PL21" s="310"/>
      <c r="PM21" s="310"/>
      <c r="PN21" s="310"/>
      <c r="PO21" s="310"/>
      <c r="PP21" s="310"/>
      <c r="PQ21" s="310"/>
      <c r="PR21" s="310"/>
      <c r="PS21" s="310"/>
      <c r="PT21" s="310"/>
      <c r="PU21" s="310"/>
      <c r="PV21" s="310"/>
      <c r="PW21" s="310"/>
      <c r="PX21" s="310"/>
      <c r="PY21" s="310"/>
      <c r="PZ21" s="310"/>
      <c r="QA21" s="310"/>
      <c r="QB21" s="310"/>
      <c r="QC21" s="310"/>
      <c r="QD21" s="310"/>
      <c r="QE21" s="310"/>
      <c r="QF21" s="310"/>
      <c r="QG21" s="310"/>
      <c r="QH21" s="310"/>
      <c r="QI21" s="310"/>
      <c r="QJ21" s="310"/>
      <c r="QK21" s="310"/>
      <c r="QL21" s="310"/>
      <c r="QM21" s="310"/>
      <c r="QN21" s="310"/>
      <c r="QO21" s="310"/>
      <c r="QP21" s="310"/>
      <c r="QQ21" s="310"/>
      <c r="QR21" s="310"/>
      <c r="QS21" s="310"/>
      <c r="QT21" s="310"/>
      <c r="QU21" s="310"/>
      <c r="QV21" s="310"/>
      <c r="QW21" s="310"/>
      <c r="QX21" s="310"/>
      <c r="QY21" s="310"/>
      <c r="QZ21" s="310"/>
      <c r="RA21" s="310"/>
      <c r="RB21" s="310"/>
      <c r="RC21" s="310"/>
      <c r="RD21" s="310"/>
      <c r="RE21" s="310"/>
      <c r="RF21" s="310"/>
      <c r="RG21" s="310"/>
      <c r="RH21" s="310"/>
      <c r="RI21" s="310"/>
      <c r="RJ21" s="310"/>
      <c r="RK21" s="310"/>
      <c r="RL21" s="310"/>
      <c r="RM21" s="310"/>
      <c r="RN21" s="310"/>
      <c r="RO21" s="310"/>
      <c r="RP21" s="310"/>
      <c r="RQ21" s="310"/>
      <c r="RR21" s="310"/>
      <c r="RS21" s="310"/>
      <c r="RT21" s="310"/>
      <c r="RU21" s="310"/>
      <c r="RV21" s="310"/>
      <c r="RW21" s="310"/>
      <c r="RX21" s="310"/>
      <c r="RY21" s="310"/>
      <c r="RZ21" s="310"/>
      <c r="SA21" s="310"/>
      <c r="SB21" s="310"/>
      <c r="SC21" s="310"/>
      <c r="SD21" s="310"/>
      <c r="SE21" s="310"/>
      <c r="SF21" s="310"/>
      <c r="SG21" s="310"/>
      <c r="SH21" s="310"/>
      <c r="SI21" s="310"/>
      <c r="SJ21" s="310"/>
      <c r="SK21" s="310"/>
      <c r="SL21" s="310"/>
      <c r="SM21" s="310"/>
      <c r="SN21" s="310"/>
      <c r="SO21" s="310"/>
    </row>
    <row r="22" spans="1:509" s="313" customFormat="1" ht="12.95" customHeight="1" x14ac:dyDescent="0.15">
      <c r="A22" s="310"/>
      <c r="B22" s="311"/>
      <c r="C22" s="325">
        <v>9</v>
      </c>
      <c r="D22" s="999"/>
      <c r="E22" s="1000"/>
      <c r="F22" s="1000"/>
      <c r="G22" s="1000"/>
      <c r="H22" s="1000"/>
      <c r="I22" s="1000"/>
      <c r="J22" s="1001"/>
      <c r="K22" s="323"/>
      <c r="L22" s="363"/>
      <c r="M22" s="330"/>
      <c r="N22" s="331"/>
      <c r="O22" s="338"/>
      <c r="P22" s="339"/>
      <c r="Q22" s="346"/>
      <c r="R22" s="347"/>
      <c r="S22" s="354"/>
      <c r="T22" s="355"/>
      <c r="U22" s="311"/>
      <c r="V22" s="310"/>
      <c r="W22" s="310"/>
      <c r="X22" s="310"/>
      <c r="Y22" s="310"/>
      <c r="Z22" s="310"/>
      <c r="AA22" s="310"/>
      <c r="AB22" s="310"/>
      <c r="AC22" s="310"/>
      <c r="AD22" s="310"/>
      <c r="AE22" s="310"/>
      <c r="AF22" s="310"/>
      <c r="AG22" s="310"/>
      <c r="AH22" s="310"/>
      <c r="AI22" s="310"/>
      <c r="AJ22" s="310"/>
      <c r="AK22" s="310"/>
      <c r="AL22" s="310"/>
      <c r="AM22" s="310"/>
      <c r="AN22" s="310"/>
      <c r="AO22" s="310"/>
      <c r="AP22" s="310"/>
      <c r="AQ22" s="310"/>
      <c r="AR22" s="310"/>
      <c r="AS22" s="310"/>
      <c r="AT22" s="310"/>
      <c r="AU22" s="310"/>
      <c r="AV22" s="310"/>
      <c r="AW22" s="310"/>
      <c r="AX22" s="310"/>
      <c r="AY22" s="310"/>
      <c r="AZ22" s="310"/>
      <c r="BA22" s="310"/>
      <c r="BB22" s="310"/>
      <c r="BC22" s="310"/>
      <c r="BD22" s="310"/>
      <c r="BE22" s="310"/>
      <c r="BF22" s="310"/>
      <c r="BG22" s="310"/>
      <c r="BH22" s="310"/>
      <c r="BI22" s="310"/>
      <c r="BJ22" s="310"/>
      <c r="BK22" s="310"/>
      <c r="BL22" s="310"/>
      <c r="BM22" s="310"/>
      <c r="BN22" s="310"/>
      <c r="BO22" s="310"/>
      <c r="BP22" s="310"/>
      <c r="BQ22" s="310"/>
      <c r="BR22" s="310"/>
      <c r="BS22" s="310"/>
      <c r="BT22" s="310"/>
      <c r="BU22" s="310"/>
      <c r="BV22" s="310"/>
      <c r="BW22" s="310"/>
      <c r="BX22" s="310"/>
      <c r="BY22" s="310"/>
      <c r="BZ22" s="310"/>
      <c r="CA22" s="310"/>
      <c r="CB22" s="310"/>
      <c r="CC22" s="310"/>
      <c r="CD22" s="310"/>
      <c r="CE22" s="310"/>
      <c r="CF22" s="310"/>
      <c r="CG22" s="310"/>
      <c r="CH22" s="310"/>
      <c r="CI22" s="310"/>
      <c r="CJ22" s="310"/>
      <c r="CK22" s="310"/>
      <c r="CL22" s="310"/>
      <c r="CM22" s="310"/>
      <c r="CN22" s="310"/>
      <c r="CO22" s="310"/>
      <c r="CP22" s="310"/>
      <c r="CQ22" s="310"/>
      <c r="CR22" s="310"/>
      <c r="CS22" s="310"/>
      <c r="CT22" s="310"/>
      <c r="CU22" s="310"/>
      <c r="CV22" s="310"/>
      <c r="CW22" s="310"/>
      <c r="CX22" s="310"/>
      <c r="CY22" s="310"/>
      <c r="CZ22" s="310"/>
      <c r="DA22" s="310"/>
      <c r="DB22" s="310"/>
      <c r="DC22" s="310"/>
      <c r="DD22" s="310"/>
      <c r="DE22" s="310"/>
      <c r="DF22" s="310"/>
      <c r="DG22" s="310"/>
      <c r="DH22" s="310"/>
      <c r="DI22" s="310"/>
      <c r="DJ22" s="310"/>
      <c r="DK22" s="310"/>
      <c r="DL22" s="310"/>
      <c r="DM22" s="310"/>
      <c r="DN22" s="310"/>
      <c r="DO22" s="310"/>
      <c r="DP22" s="310"/>
      <c r="DQ22" s="310"/>
      <c r="DR22" s="310"/>
      <c r="DS22" s="310"/>
      <c r="DT22" s="310"/>
      <c r="DU22" s="310"/>
      <c r="DV22" s="310"/>
      <c r="DW22" s="310"/>
      <c r="DX22" s="310"/>
      <c r="DY22" s="310"/>
      <c r="DZ22" s="310"/>
      <c r="EA22" s="310"/>
      <c r="EB22" s="310"/>
      <c r="EC22" s="310"/>
      <c r="ED22" s="310"/>
      <c r="EE22" s="310"/>
      <c r="EF22" s="310"/>
      <c r="EG22" s="310"/>
      <c r="EH22" s="310"/>
      <c r="EI22" s="310"/>
      <c r="EJ22" s="310"/>
      <c r="EK22" s="310"/>
      <c r="EL22" s="310"/>
      <c r="EM22" s="310"/>
      <c r="EN22" s="310"/>
      <c r="EO22" s="310"/>
      <c r="EP22" s="310"/>
      <c r="EQ22" s="310"/>
      <c r="ER22" s="310"/>
      <c r="ES22" s="310"/>
      <c r="ET22" s="310"/>
      <c r="EU22" s="310"/>
      <c r="EV22" s="310"/>
      <c r="EW22" s="310"/>
      <c r="EX22" s="310"/>
      <c r="EY22" s="310"/>
      <c r="EZ22" s="310"/>
      <c r="FA22" s="310"/>
      <c r="FB22" s="310"/>
      <c r="FC22" s="310"/>
      <c r="FD22" s="310"/>
      <c r="FE22" s="310"/>
      <c r="FF22" s="310"/>
      <c r="FG22" s="310"/>
      <c r="FH22" s="310"/>
      <c r="FI22" s="310"/>
      <c r="FJ22" s="310"/>
      <c r="FK22" s="310"/>
      <c r="FL22" s="310"/>
      <c r="FM22" s="310"/>
      <c r="FN22" s="310"/>
      <c r="FO22" s="310"/>
      <c r="FP22" s="310"/>
      <c r="FQ22" s="310"/>
      <c r="FR22" s="310"/>
      <c r="FS22" s="310"/>
      <c r="FT22" s="310"/>
      <c r="FU22" s="310"/>
      <c r="FV22" s="310"/>
      <c r="FW22" s="310"/>
      <c r="FX22" s="310"/>
      <c r="FY22" s="310"/>
      <c r="FZ22" s="310"/>
      <c r="GA22" s="310"/>
      <c r="GB22" s="310"/>
      <c r="GC22" s="310"/>
      <c r="GD22" s="310"/>
      <c r="GE22" s="310"/>
      <c r="GF22" s="310"/>
      <c r="GG22" s="310"/>
      <c r="GH22" s="310"/>
      <c r="GI22" s="310"/>
      <c r="GJ22" s="310"/>
      <c r="GK22" s="310"/>
      <c r="GL22" s="310"/>
      <c r="GM22" s="310"/>
      <c r="GN22" s="310"/>
      <c r="GO22" s="310"/>
      <c r="GP22" s="310"/>
      <c r="GQ22" s="310"/>
      <c r="GR22" s="310"/>
      <c r="GS22" s="310"/>
      <c r="GT22" s="310"/>
      <c r="GU22" s="310"/>
      <c r="GV22" s="310"/>
      <c r="GW22" s="310"/>
      <c r="GX22" s="310"/>
      <c r="GY22" s="310"/>
      <c r="GZ22" s="310"/>
      <c r="HA22" s="310"/>
      <c r="HB22" s="310"/>
      <c r="HC22" s="310"/>
      <c r="HD22" s="310"/>
      <c r="HE22" s="310"/>
      <c r="HF22" s="310"/>
      <c r="HG22" s="310"/>
      <c r="HH22" s="310"/>
      <c r="HI22" s="310"/>
      <c r="HJ22" s="310"/>
      <c r="HK22" s="310"/>
      <c r="HL22" s="310"/>
      <c r="HM22" s="307"/>
      <c r="HN22" s="307"/>
      <c r="HO22" s="307"/>
      <c r="HP22" s="307"/>
      <c r="HQ22" s="307"/>
      <c r="HR22" s="307"/>
      <c r="HS22" s="307"/>
      <c r="HT22" s="307"/>
      <c r="HU22" s="310"/>
      <c r="HV22" s="310"/>
      <c r="HW22" s="310"/>
      <c r="HX22" s="310"/>
      <c r="HY22" s="310"/>
      <c r="HZ22" s="310"/>
      <c r="IA22" s="310"/>
      <c r="IB22" s="310"/>
      <c r="IC22" s="310"/>
      <c r="ID22" s="310"/>
      <c r="IE22" s="310"/>
      <c r="IF22" s="310"/>
      <c r="IG22" s="310"/>
      <c r="IH22" s="310"/>
      <c r="II22" s="310"/>
      <c r="IJ22" s="310"/>
      <c r="IK22" s="310"/>
      <c r="IL22" s="310"/>
      <c r="IM22" s="310"/>
      <c r="IN22" s="310"/>
      <c r="IO22" s="310"/>
      <c r="IP22" s="310"/>
      <c r="IQ22" s="310"/>
      <c r="IR22" s="310"/>
      <c r="IS22" s="310"/>
      <c r="IT22" s="310"/>
      <c r="IU22" s="310"/>
      <c r="IV22" s="310"/>
      <c r="IW22" s="310"/>
      <c r="IX22" s="310"/>
      <c r="IY22" s="310"/>
      <c r="IZ22" s="310"/>
      <c r="JA22" s="310"/>
      <c r="JB22" s="310"/>
      <c r="JC22" s="310"/>
      <c r="JD22" s="310"/>
      <c r="JE22" s="310"/>
      <c r="JF22" s="310"/>
      <c r="JG22" s="310"/>
      <c r="JH22" s="310"/>
      <c r="JI22" s="310"/>
      <c r="JJ22" s="310"/>
      <c r="JK22" s="310"/>
      <c r="JL22" s="310"/>
      <c r="JM22" s="310"/>
      <c r="JN22" s="310"/>
      <c r="JO22" s="310"/>
      <c r="JP22" s="310"/>
      <c r="JQ22" s="310"/>
      <c r="JR22" s="310"/>
      <c r="JS22" s="310"/>
      <c r="JT22" s="310"/>
      <c r="JU22" s="310"/>
      <c r="JV22" s="310"/>
      <c r="JW22" s="310"/>
      <c r="JX22" s="310"/>
      <c r="JY22" s="310"/>
      <c r="JZ22" s="310"/>
      <c r="KA22" s="310"/>
      <c r="KB22" s="310"/>
      <c r="KC22" s="310"/>
      <c r="KD22" s="310"/>
      <c r="KE22" s="310"/>
      <c r="KF22" s="310"/>
      <c r="KG22" s="310"/>
      <c r="KH22" s="310"/>
      <c r="KI22" s="310"/>
      <c r="KJ22" s="310"/>
      <c r="KK22" s="310"/>
      <c r="KL22" s="310"/>
      <c r="KM22" s="310"/>
      <c r="KN22" s="310"/>
      <c r="KO22" s="310"/>
      <c r="KP22" s="310"/>
      <c r="KQ22" s="310"/>
      <c r="KR22" s="310"/>
      <c r="KS22" s="310"/>
      <c r="KT22" s="310"/>
      <c r="KU22" s="310"/>
      <c r="KV22" s="310"/>
      <c r="KW22" s="310"/>
      <c r="KX22" s="310"/>
      <c r="KY22" s="310"/>
      <c r="KZ22" s="310"/>
      <c r="LA22" s="310"/>
      <c r="LB22" s="310"/>
      <c r="LC22" s="310"/>
      <c r="LD22" s="310"/>
      <c r="LE22" s="310"/>
      <c r="LF22" s="310"/>
      <c r="LG22" s="310"/>
      <c r="LH22" s="310"/>
      <c r="LI22" s="310"/>
      <c r="LJ22" s="310"/>
      <c r="LK22" s="310"/>
      <c r="LL22" s="310"/>
      <c r="LM22" s="310"/>
      <c r="LN22" s="310"/>
      <c r="LO22" s="310"/>
      <c r="LP22" s="310"/>
      <c r="LQ22" s="310"/>
      <c r="LR22" s="310"/>
      <c r="LS22" s="310"/>
      <c r="LT22" s="310"/>
      <c r="LU22" s="310"/>
      <c r="LV22" s="310"/>
      <c r="LW22" s="310"/>
      <c r="LX22" s="310"/>
      <c r="LY22" s="310"/>
      <c r="LZ22" s="310"/>
      <c r="MA22" s="310"/>
      <c r="MB22" s="310"/>
      <c r="MC22" s="310"/>
      <c r="MD22" s="310"/>
      <c r="ME22" s="310"/>
      <c r="MF22" s="310"/>
      <c r="MG22" s="310"/>
      <c r="MH22" s="310"/>
      <c r="MI22" s="310"/>
      <c r="MJ22" s="310"/>
      <c r="MK22" s="310"/>
      <c r="ML22" s="310"/>
      <c r="MM22" s="310"/>
      <c r="MN22" s="310"/>
      <c r="MO22" s="310"/>
      <c r="MP22" s="310"/>
      <c r="MQ22" s="310"/>
      <c r="MR22" s="310"/>
      <c r="MS22" s="310"/>
      <c r="MT22" s="310"/>
      <c r="MU22" s="310"/>
      <c r="MV22" s="310"/>
      <c r="MW22" s="310"/>
      <c r="MX22" s="310"/>
      <c r="MY22" s="310"/>
      <c r="MZ22" s="310"/>
      <c r="NA22" s="310"/>
      <c r="NB22" s="310"/>
      <c r="NC22" s="310"/>
      <c r="ND22" s="310"/>
      <c r="NE22" s="310"/>
      <c r="NF22" s="310"/>
      <c r="NG22" s="310"/>
      <c r="NH22" s="310"/>
      <c r="NI22" s="310"/>
      <c r="NJ22" s="310"/>
      <c r="NK22" s="310"/>
      <c r="NL22" s="310"/>
      <c r="NM22" s="310"/>
      <c r="NN22" s="310"/>
      <c r="NO22" s="310"/>
      <c r="NP22" s="310"/>
      <c r="NQ22" s="310"/>
      <c r="NR22" s="310"/>
      <c r="NS22" s="310"/>
      <c r="NT22" s="310"/>
      <c r="NU22" s="310"/>
      <c r="NV22" s="310"/>
      <c r="NW22" s="310"/>
      <c r="NX22" s="310"/>
      <c r="NY22" s="310"/>
      <c r="NZ22" s="310"/>
      <c r="OA22" s="310"/>
      <c r="OB22" s="310"/>
      <c r="OC22" s="310"/>
      <c r="OD22" s="310"/>
      <c r="OE22" s="310"/>
      <c r="OF22" s="310"/>
      <c r="OG22" s="310"/>
      <c r="OH22" s="310"/>
      <c r="OI22" s="310"/>
      <c r="OJ22" s="310"/>
      <c r="OK22" s="310"/>
      <c r="OL22" s="310"/>
      <c r="OM22" s="310"/>
      <c r="ON22" s="310"/>
      <c r="OO22" s="310"/>
      <c r="OP22" s="310"/>
      <c r="OQ22" s="310"/>
      <c r="OR22" s="310"/>
      <c r="OS22" s="310"/>
      <c r="OT22" s="310"/>
      <c r="OU22" s="310"/>
      <c r="OV22" s="310"/>
      <c r="OW22" s="310"/>
      <c r="OX22" s="310"/>
      <c r="OY22" s="310"/>
      <c r="OZ22" s="310"/>
      <c r="PA22" s="310"/>
      <c r="PB22" s="310"/>
      <c r="PC22" s="310"/>
      <c r="PD22" s="310"/>
      <c r="PE22" s="310"/>
      <c r="PF22" s="310"/>
      <c r="PG22" s="310"/>
      <c r="PH22" s="310"/>
      <c r="PI22" s="310"/>
      <c r="PJ22" s="310"/>
      <c r="PK22" s="310"/>
      <c r="PL22" s="310"/>
      <c r="PM22" s="310"/>
      <c r="PN22" s="310"/>
      <c r="PO22" s="310"/>
      <c r="PP22" s="310"/>
      <c r="PQ22" s="310"/>
      <c r="PR22" s="310"/>
      <c r="PS22" s="310"/>
      <c r="PT22" s="310"/>
      <c r="PU22" s="310"/>
      <c r="PV22" s="310"/>
      <c r="PW22" s="310"/>
      <c r="PX22" s="310"/>
      <c r="PY22" s="310"/>
      <c r="PZ22" s="310"/>
      <c r="QA22" s="310"/>
      <c r="QB22" s="310"/>
      <c r="QC22" s="310"/>
      <c r="QD22" s="310"/>
      <c r="QE22" s="310"/>
      <c r="QF22" s="310"/>
      <c r="QG22" s="310"/>
      <c r="QH22" s="310"/>
      <c r="QI22" s="310"/>
      <c r="QJ22" s="310"/>
      <c r="QK22" s="310"/>
      <c r="QL22" s="310"/>
      <c r="QM22" s="310"/>
      <c r="QN22" s="310"/>
      <c r="QO22" s="310"/>
      <c r="QP22" s="310"/>
      <c r="QQ22" s="310"/>
      <c r="QR22" s="310"/>
      <c r="QS22" s="310"/>
      <c r="QT22" s="310"/>
      <c r="QU22" s="310"/>
      <c r="QV22" s="310"/>
      <c r="QW22" s="310"/>
      <c r="QX22" s="310"/>
      <c r="QY22" s="310"/>
      <c r="QZ22" s="310"/>
      <c r="RA22" s="310"/>
      <c r="RB22" s="310"/>
      <c r="RC22" s="310"/>
      <c r="RD22" s="310"/>
      <c r="RE22" s="310"/>
      <c r="RF22" s="310"/>
      <c r="RG22" s="310"/>
      <c r="RH22" s="310"/>
      <c r="RI22" s="310"/>
      <c r="RJ22" s="310"/>
      <c r="RK22" s="310"/>
      <c r="RL22" s="310"/>
      <c r="RM22" s="310"/>
      <c r="RN22" s="310"/>
      <c r="RO22" s="310"/>
      <c r="RP22" s="310"/>
      <c r="RQ22" s="310"/>
      <c r="RR22" s="310"/>
      <c r="RS22" s="310"/>
      <c r="RT22" s="310"/>
      <c r="RU22" s="310"/>
      <c r="RV22" s="310"/>
      <c r="RW22" s="310"/>
      <c r="RX22" s="310"/>
      <c r="RY22" s="310"/>
      <c r="RZ22" s="310"/>
      <c r="SA22" s="310"/>
      <c r="SB22" s="310"/>
      <c r="SC22" s="310"/>
      <c r="SD22" s="310"/>
      <c r="SE22" s="310"/>
      <c r="SF22" s="310"/>
      <c r="SG22" s="310"/>
      <c r="SH22" s="310"/>
      <c r="SI22" s="310"/>
      <c r="SJ22" s="310"/>
      <c r="SK22" s="310"/>
      <c r="SL22" s="310"/>
      <c r="SM22" s="310"/>
      <c r="SN22" s="310"/>
      <c r="SO22" s="310"/>
    </row>
    <row r="23" spans="1:509" s="315" customFormat="1" ht="12.95" customHeight="1" x14ac:dyDescent="0.15">
      <c r="A23" s="310"/>
      <c r="B23" s="311"/>
      <c r="C23" s="325">
        <v>10</v>
      </c>
      <c r="D23" s="999"/>
      <c r="E23" s="1000"/>
      <c r="F23" s="1000"/>
      <c r="G23" s="1000"/>
      <c r="H23" s="1000"/>
      <c r="I23" s="1000"/>
      <c r="J23" s="1001"/>
      <c r="K23" s="324"/>
      <c r="L23" s="363"/>
      <c r="M23" s="330"/>
      <c r="N23" s="331"/>
      <c r="O23" s="338"/>
      <c r="P23" s="339"/>
      <c r="Q23" s="346"/>
      <c r="R23" s="347"/>
      <c r="S23" s="354"/>
      <c r="T23" s="355"/>
      <c r="U23" s="311"/>
      <c r="V23" s="310"/>
      <c r="W23" s="310"/>
      <c r="X23" s="310"/>
      <c r="Y23" s="310"/>
      <c r="Z23" s="310"/>
      <c r="AA23" s="310"/>
      <c r="AB23" s="310"/>
      <c r="AC23" s="310"/>
      <c r="AD23" s="310"/>
      <c r="AE23" s="310"/>
      <c r="AF23" s="310"/>
      <c r="AG23" s="310"/>
      <c r="AH23" s="310"/>
      <c r="AI23" s="310"/>
      <c r="AJ23" s="310"/>
      <c r="AK23" s="310"/>
      <c r="AL23" s="310"/>
      <c r="AM23" s="310"/>
      <c r="AN23" s="310"/>
      <c r="AO23" s="310"/>
      <c r="AP23" s="310"/>
      <c r="AQ23" s="310"/>
      <c r="AR23" s="310"/>
      <c r="AS23" s="310"/>
      <c r="AT23" s="310"/>
      <c r="AU23" s="310"/>
      <c r="AV23" s="310"/>
      <c r="AW23" s="310"/>
      <c r="AX23" s="310"/>
      <c r="AY23" s="310"/>
      <c r="AZ23" s="310"/>
      <c r="BA23" s="310"/>
      <c r="BB23" s="310"/>
      <c r="BC23" s="310"/>
      <c r="BD23" s="310"/>
      <c r="BE23" s="310"/>
      <c r="BF23" s="310"/>
      <c r="BG23" s="310"/>
      <c r="BH23" s="310"/>
      <c r="BI23" s="310"/>
      <c r="BJ23" s="310"/>
      <c r="BK23" s="310"/>
      <c r="BL23" s="310"/>
      <c r="BM23" s="310"/>
      <c r="BN23" s="310"/>
      <c r="BO23" s="310"/>
      <c r="BP23" s="310"/>
      <c r="BQ23" s="310"/>
      <c r="BR23" s="310"/>
      <c r="BS23" s="310"/>
      <c r="BT23" s="310"/>
      <c r="BU23" s="310"/>
      <c r="BV23" s="310"/>
      <c r="BW23" s="310"/>
      <c r="BX23" s="310"/>
      <c r="BY23" s="310"/>
      <c r="BZ23" s="310"/>
      <c r="CA23" s="310"/>
      <c r="CB23" s="310"/>
      <c r="CC23" s="310"/>
      <c r="CD23" s="310"/>
      <c r="CE23" s="310"/>
      <c r="CF23" s="310"/>
      <c r="CG23" s="310"/>
      <c r="CH23" s="310"/>
      <c r="CI23" s="310"/>
      <c r="CJ23" s="310"/>
      <c r="CK23" s="310"/>
      <c r="CL23" s="310"/>
      <c r="CM23" s="310"/>
      <c r="CN23" s="310"/>
      <c r="CO23" s="310"/>
      <c r="CP23" s="310"/>
      <c r="CQ23" s="310"/>
      <c r="CR23" s="310"/>
      <c r="CS23" s="310"/>
      <c r="CT23" s="310"/>
      <c r="CU23" s="310"/>
      <c r="CV23" s="310"/>
      <c r="CW23" s="310"/>
      <c r="CX23" s="310"/>
      <c r="CY23" s="310"/>
      <c r="CZ23" s="310"/>
      <c r="DA23" s="310"/>
      <c r="DB23" s="310"/>
      <c r="DC23" s="310"/>
      <c r="DD23" s="310"/>
      <c r="DE23" s="310"/>
      <c r="DF23" s="310"/>
      <c r="DG23" s="310"/>
      <c r="DH23" s="310"/>
      <c r="DI23" s="310"/>
      <c r="DJ23" s="310"/>
      <c r="DK23" s="310"/>
      <c r="DL23" s="310"/>
      <c r="DM23" s="310"/>
      <c r="DN23" s="310"/>
      <c r="DO23" s="310"/>
      <c r="DP23" s="310"/>
      <c r="DQ23" s="310"/>
      <c r="DR23" s="310"/>
      <c r="DS23" s="310"/>
      <c r="DT23" s="310"/>
      <c r="DU23" s="310"/>
      <c r="DV23" s="310"/>
      <c r="DW23" s="310"/>
      <c r="DX23" s="310"/>
      <c r="DY23" s="310"/>
      <c r="DZ23" s="310"/>
      <c r="EA23" s="310"/>
      <c r="EB23" s="310"/>
      <c r="EC23" s="310"/>
      <c r="ED23" s="310"/>
      <c r="EE23" s="310"/>
      <c r="EF23" s="310"/>
      <c r="EG23" s="310"/>
      <c r="EH23" s="310"/>
      <c r="EI23" s="310"/>
      <c r="EJ23" s="310"/>
      <c r="EK23" s="310"/>
      <c r="EL23" s="310"/>
      <c r="EM23" s="310"/>
      <c r="EN23" s="310"/>
      <c r="EO23" s="310"/>
      <c r="EP23" s="310"/>
      <c r="EQ23" s="310"/>
      <c r="ER23" s="310"/>
      <c r="ES23" s="310"/>
      <c r="ET23" s="310"/>
      <c r="EU23" s="310"/>
      <c r="EV23" s="310"/>
      <c r="EW23" s="310"/>
      <c r="EX23" s="310"/>
      <c r="EY23" s="310"/>
      <c r="EZ23" s="310"/>
      <c r="FA23" s="310"/>
      <c r="FB23" s="310"/>
      <c r="FC23" s="310"/>
      <c r="FD23" s="310"/>
      <c r="FE23" s="310"/>
      <c r="FF23" s="310"/>
      <c r="FG23" s="310"/>
      <c r="FH23" s="310"/>
      <c r="FI23" s="310"/>
      <c r="FJ23" s="310"/>
      <c r="FK23" s="310"/>
      <c r="FL23" s="310"/>
      <c r="FM23" s="310"/>
      <c r="FN23" s="310"/>
      <c r="FO23" s="310"/>
      <c r="FP23" s="310"/>
      <c r="FQ23" s="310"/>
      <c r="FR23" s="310"/>
      <c r="FS23" s="310"/>
      <c r="FT23" s="310"/>
      <c r="FU23" s="310"/>
      <c r="FV23" s="310"/>
      <c r="FW23" s="310"/>
      <c r="FX23" s="310"/>
      <c r="FY23" s="310"/>
      <c r="FZ23" s="310"/>
      <c r="GA23" s="310"/>
      <c r="GB23" s="310"/>
      <c r="GC23" s="310"/>
      <c r="GD23" s="310"/>
      <c r="GE23" s="310"/>
      <c r="GF23" s="310"/>
      <c r="GG23" s="310"/>
      <c r="GH23" s="310"/>
      <c r="GI23" s="310"/>
      <c r="GJ23" s="310"/>
      <c r="GK23" s="310"/>
      <c r="GL23" s="310"/>
      <c r="GM23" s="310"/>
      <c r="GN23" s="310"/>
      <c r="GO23" s="310"/>
      <c r="GP23" s="310"/>
      <c r="GQ23" s="310"/>
      <c r="GR23" s="310"/>
      <c r="GS23" s="310"/>
      <c r="GT23" s="310"/>
      <c r="GU23" s="310"/>
      <c r="GV23" s="310"/>
      <c r="GW23" s="310"/>
      <c r="GX23" s="310"/>
      <c r="GY23" s="310"/>
      <c r="GZ23" s="310"/>
      <c r="HA23" s="310"/>
      <c r="HB23" s="310"/>
      <c r="HC23" s="310"/>
      <c r="HD23" s="310"/>
      <c r="HE23" s="310"/>
      <c r="HF23" s="310"/>
      <c r="HG23" s="310"/>
      <c r="HH23" s="310"/>
      <c r="HI23" s="310"/>
      <c r="HJ23" s="310"/>
      <c r="HK23" s="310"/>
      <c r="HL23" s="310"/>
      <c r="HM23" s="307"/>
      <c r="HN23" s="307"/>
      <c r="HO23" s="307"/>
      <c r="HP23" s="307"/>
      <c r="HQ23" s="307"/>
      <c r="HR23" s="307"/>
      <c r="HS23" s="314"/>
      <c r="HT23" s="307"/>
      <c r="HU23" s="310"/>
      <c r="HV23" s="310"/>
      <c r="HW23" s="310"/>
      <c r="HX23" s="310"/>
      <c r="HY23" s="310"/>
      <c r="HZ23" s="310"/>
      <c r="IA23" s="310"/>
      <c r="IB23" s="310"/>
      <c r="IC23" s="310"/>
      <c r="ID23" s="310"/>
      <c r="IE23" s="310"/>
      <c r="IF23" s="310"/>
      <c r="IG23" s="310"/>
      <c r="IH23" s="310"/>
      <c r="II23" s="310"/>
      <c r="IJ23" s="310"/>
      <c r="IK23" s="310"/>
      <c r="IL23" s="310"/>
      <c r="IM23" s="310"/>
      <c r="IN23" s="310"/>
      <c r="IO23" s="310"/>
      <c r="IP23" s="310"/>
      <c r="IQ23" s="310"/>
      <c r="IR23" s="310"/>
      <c r="IS23" s="310"/>
      <c r="IT23" s="310"/>
      <c r="IU23" s="310"/>
      <c r="IV23" s="310"/>
      <c r="IW23" s="310"/>
      <c r="IX23" s="310"/>
      <c r="IY23" s="310"/>
      <c r="IZ23" s="310"/>
      <c r="JA23" s="310"/>
      <c r="JB23" s="310"/>
      <c r="JC23" s="310"/>
      <c r="JD23" s="310"/>
      <c r="JE23" s="310"/>
      <c r="JF23" s="310"/>
      <c r="JG23" s="310"/>
      <c r="JH23" s="310"/>
      <c r="JI23" s="310"/>
      <c r="JJ23" s="310"/>
      <c r="JK23" s="310"/>
      <c r="JL23" s="310"/>
      <c r="JM23" s="310"/>
      <c r="JN23" s="310"/>
      <c r="JO23" s="310"/>
      <c r="JP23" s="310"/>
      <c r="JQ23" s="310"/>
      <c r="JR23" s="310"/>
      <c r="JS23" s="310"/>
      <c r="JT23" s="310"/>
      <c r="JU23" s="310"/>
      <c r="JV23" s="310"/>
      <c r="JW23" s="310"/>
      <c r="JX23" s="310"/>
      <c r="JY23" s="310"/>
      <c r="JZ23" s="310"/>
      <c r="KA23" s="310"/>
      <c r="KB23" s="310"/>
      <c r="KC23" s="310"/>
      <c r="KD23" s="310"/>
      <c r="KE23" s="310"/>
      <c r="KF23" s="310"/>
      <c r="KG23" s="310"/>
      <c r="KH23" s="310"/>
      <c r="KI23" s="310"/>
      <c r="KJ23" s="310"/>
      <c r="KK23" s="310"/>
      <c r="KL23" s="310"/>
      <c r="KM23" s="310"/>
      <c r="KN23" s="310"/>
      <c r="KO23" s="310"/>
      <c r="KP23" s="310"/>
      <c r="KQ23" s="310"/>
      <c r="KR23" s="310"/>
      <c r="KS23" s="310"/>
      <c r="KT23" s="310"/>
      <c r="KU23" s="310"/>
      <c r="KV23" s="310"/>
      <c r="KW23" s="310"/>
      <c r="KX23" s="310"/>
      <c r="KY23" s="310"/>
      <c r="KZ23" s="310"/>
      <c r="LA23" s="310"/>
      <c r="LB23" s="310"/>
      <c r="LC23" s="310"/>
      <c r="LD23" s="310"/>
      <c r="LE23" s="310"/>
      <c r="LF23" s="310"/>
      <c r="LG23" s="310"/>
      <c r="LH23" s="310"/>
      <c r="LI23" s="310"/>
      <c r="LJ23" s="310"/>
      <c r="LK23" s="310"/>
      <c r="LL23" s="310"/>
      <c r="LM23" s="310"/>
      <c r="LN23" s="310"/>
      <c r="LO23" s="310"/>
      <c r="LP23" s="310"/>
      <c r="LQ23" s="310"/>
      <c r="LR23" s="310"/>
      <c r="LS23" s="310"/>
      <c r="LT23" s="310"/>
      <c r="LU23" s="310"/>
      <c r="LV23" s="310"/>
      <c r="LW23" s="310"/>
      <c r="LX23" s="310"/>
      <c r="LY23" s="310"/>
      <c r="LZ23" s="310"/>
      <c r="MA23" s="310"/>
      <c r="MB23" s="310"/>
      <c r="MC23" s="310"/>
      <c r="MD23" s="310"/>
      <c r="ME23" s="310"/>
      <c r="MF23" s="310"/>
      <c r="MG23" s="310"/>
      <c r="MH23" s="310"/>
      <c r="MI23" s="310"/>
      <c r="MJ23" s="310"/>
      <c r="MK23" s="310"/>
      <c r="ML23" s="310"/>
      <c r="MM23" s="310"/>
      <c r="MN23" s="310"/>
      <c r="MO23" s="310"/>
      <c r="MP23" s="310"/>
      <c r="MQ23" s="310"/>
      <c r="MR23" s="310"/>
      <c r="MS23" s="310"/>
      <c r="MT23" s="310"/>
      <c r="MU23" s="310"/>
      <c r="MV23" s="310"/>
      <c r="MW23" s="310"/>
      <c r="MX23" s="310"/>
      <c r="MY23" s="310"/>
      <c r="MZ23" s="310"/>
      <c r="NA23" s="310"/>
      <c r="NB23" s="310"/>
      <c r="NC23" s="310"/>
      <c r="ND23" s="310"/>
      <c r="NE23" s="310"/>
      <c r="NF23" s="310"/>
      <c r="NG23" s="310"/>
      <c r="NH23" s="310"/>
      <c r="NI23" s="310"/>
      <c r="NJ23" s="310"/>
      <c r="NK23" s="310"/>
      <c r="NL23" s="310"/>
      <c r="NM23" s="310"/>
      <c r="NN23" s="310"/>
      <c r="NO23" s="310"/>
      <c r="NP23" s="310"/>
      <c r="NQ23" s="310"/>
      <c r="NR23" s="310"/>
      <c r="NS23" s="310"/>
      <c r="NT23" s="310"/>
      <c r="NU23" s="310"/>
      <c r="NV23" s="310"/>
      <c r="NW23" s="310"/>
      <c r="NX23" s="310"/>
      <c r="NY23" s="310"/>
      <c r="NZ23" s="310"/>
      <c r="OA23" s="310"/>
      <c r="OB23" s="310"/>
      <c r="OC23" s="310"/>
      <c r="OD23" s="310"/>
      <c r="OE23" s="310"/>
      <c r="OF23" s="310"/>
      <c r="OG23" s="310"/>
      <c r="OH23" s="310"/>
      <c r="OI23" s="310"/>
      <c r="OJ23" s="310"/>
      <c r="OK23" s="310"/>
      <c r="OL23" s="310"/>
      <c r="OM23" s="310"/>
      <c r="ON23" s="310"/>
      <c r="OO23" s="310"/>
      <c r="OP23" s="310"/>
      <c r="OQ23" s="310"/>
      <c r="OR23" s="310"/>
      <c r="OS23" s="310"/>
      <c r="OT23" s="310"/>
      <c r="OU23" s="310"/>
      <c r="OV23" s="310"/>
      <c r="OW23" s="310"/>
      <c r="OX23" s="310"/>
      <c r="OY23" s="310"/>
      <c r="OZ23" s="310"/>
      <c r="PA23" s="310"/>
      <c r="PB23" s="310"/>
      <c r="PC23" s="310"/>
      <c r="PD23" s="310"/>
      <c r="PE23" s="310"/>
      <c r="PF23" s="310"/>
      <c r="PG23" s="310"/>
      <c r="PH23" s="310"/>
      <c r="PI23" s="310"/>
      <c r="PJ23" s="310"/>
      <c r="PK23" s="310"/>
      <c r="PL23" s="310"/>
      <c r="PM23" s="310"/>
      <c r="PN23" s="310"/>
      <c r="PO23" s="310"/>
      <c r="PP23" s="310"/>
      <c r="PQ23" s="310"/>
      <c r="PR23" s="310"/>
      <c r="PS23" s="310"/>
      <c r="PT23" s="310"/>
      <c r="PU23" s="310"/>
      <c r="PV23" s="310"/>
      <c r="PW23" s="310"/>
      <c r="PX23" s="310"/>
      <c r="PY23" s="310"/>
      <c r="PZ23" s="310"/>
      <c r="QA23" s="310"/>
      <c r="QB23" s="310"/>
      <c r="QC23" s="310"/>
      <c r="QD23" s="310"/>
      <c r="QE23" s="310"/>
      <c r="QF23" s="310"/>
      <c r="QG23" s="310"/>
      <c r="QH23" s="310"/>
      <c r="QI23" s="310"/>
      <c r="QJ23" s="310"/>
      <c r="QK23" s="310"/>
      <c r="QL23" s="310"/>
      <c r="QM23" s="310"/>
      <c r="QN23" s="310"/>
      <c r="QO23" s="310"/>
      <c r="QP23" s="310"/>
      <c r="QQ23" s="310"/>
      <c r="QR23" s="310"/>
      <c r="QS23" s="310"/>
      <c r="QT23" s="310"/>
      <c r="QU23" s="310"/>
      <c r="QV23" s="310"/>
      <c r="QW23" s="310"/>
      <c r="QX23" s="310"/>
      <c r="QY23" s="310"/>
      <c r="QZ23" s="310"/>
      <c r="RA23" s="310"/>
      <c r="RB23" s="310"/>
      <c r="RC23" s="310"/>
      <c r="RD23" s="310"/>
      <c r="RE23" s="310"/>
      <c r="RF23" s="310"/>
      <c r="RG23" s="310"/>
      <c r="RH23" s="310"/>
      <c r="RI23" s="310"/>
      <c r="RJ23" s="310"/>
      <c r="RK23" s="310"/>
      <c r="RL23" s="310"/>
      <c r="RM23" s="310"/>
      <c r="RN23" s="310"/>
      <c r="RO23" s="310"/>
      <c r="RP23" s="310"/>
      <c r="RQ23" s="310"/>
      <c r="RR23" s="310"/>
      <c r="RS23" s="310"/>
      <c r="RT23" s="310"/>
      <c r="RU23" s="310"/>
      <c r="RV23" s="310"/>
      <c r="RW23" s="310"/>
      <c r="RX23" s="310"/>
      <c r="RY23" s="310"/>
      <c r="RZ23" s="310"/>
      <c r="SA23" s="310"/>
      <c r="SB23" s="310"/>
      <c r="SC23" s="310"/>
      <c r="SD23" s="310"/>
      <c r="SE23" s="310"/>
      <c r="SF23" s="310"/>
      <c r="SG23" s="310"/>
      <c r="SH23" s="310"/>
      <c r="SI23" s="310"/>
      <c r="SJ23" s="310"/>
      <c r="SK23" s="310"/>
      <c r="SL23" s="310"/>
      <c r="SM23" s="310"/>
      <c r="SN23" s="310"/>
      <c r="SO23" s="310"/>
    </row>
    <row r="24" spans="1:509" s="317" customFormat="1" ht="12.95" customHeight="1" x14ac:dyDescent="0.15">
      <c r="A24" s="310"/>
      <c r="B24" s="311"/>
      <c r="C24" s="325">
        <v>11</v>
      </c>
      <c r="D24" s="999"/>
      <c r="E24" s="1000"/>
      <c r="F24" s="1000"/>
      <c r="G24" s="1000"/>
      <c r="H24" s="1000"/>
      <c r="I24" s="1000"/>
      <c r="J24" s="1001"/>
      <c r="K24" s="322"/>
      <c r="L24" s="363"/>
      <c r="M24" s="330"/>
      <c r="N24" s="331"/>
      <c r="O24" s="338"/>
      <c r="P24" s="339"/>
      <c r="Q24" s="346"/>
      <c r="R24" s="347"/>
      <c r="S24" s="354"/>
      <c r="T24" s="355"/>
      <c r="U24" s="311"/>
      <c r="V24" s="310"/>
      <c r="W24" s="310"/>
      <c r="X24" s="310"/>
      <c r="Y24" s="310"/>
      <c r="Z24" s="310"/>
      <c r="AA24" s="310"/>
      <c r="AB24" s="310"/>
      <c r="AC24" s="310"/>
      <c r="AD24" s="310"/>
      <c r="AE24" s="310"/>
      <c r="AF24" s="310"/>
      <c r="AG24" s="310"/>
      <c r="AH24" s="310"/>
      <c r="AI24" s="310"/>
      <c r="AJ24" s="310"/>
      <c r="AK24" s="310"/>
      <c r="AL24" s="310"/>
      <c r="AM24" s="310"/>
      <c r="AN24" s="310"/>
      <c r="AO24" s="310"/>
      <c r="AP24" s="310"/>
      <c r="AQ24" s="310"/>
      <c r="AR24" s="310"/>
      <c r="AS24" s="310"/>
      <c r="AT24" s="310"/>
      <c r="AU24" s="310"/>
      <c r="AV24" s="310"/>
      <c r="AW24" s="310"/>
      <c r="AX24" s="310"/>
      <c r="AY24" s="310"/>
      <c r="AZ24" s="310"/>
      <c r="BA24" s="310"/>
      <c r="BB24" s="310"/>
      <c r="BC24" s="310"/>
      <c r="BD24" s="310"/>
      <c r="BE24" s="310"/>
      <c r="BF24" s="310"/>
      <c r="BG24" s="310"/>
      <c r="BH24" s="310"/>
      <c r="BI24" s="310"/>
      <c r="BJ24" s="310"/>
      <c r="BK24" s="310"/>
      <c r="BL24" s="310"/>
      <c r="BM24" s="310"/>
      <c r="BN24" s="310"/>
      <c r="BO24" s="310"/>
      <c r="BP24" s="310"/>
      <c r="BQ24" s="310"/>
      <c r="BR24" s="310"/>
      <c r="BS24" s="310"/>
      <c r="BT24" s="310"/>
      <c r="BU24" s="310"/>
      <c r="BV24" s="310"/>
      <c r="BW24" s="310"/>
      <c r="BX24" s="310"/>
      <c r="BY24" s="310"/>
      <c r="BZ24" s="310"/>
      <c r="CA24" s="310"/>
      <c r="CB24" s="310"/>
      <c r="CC24" s="310"/>
      <c r="CD24" s="310"/>
      <c r="CE24" s="310"/>
      <c r="CF24" s="310"/>
      <c r="CG24" s="310"/>
      <c r="CH24" s="310"/>
      <c r="CI24" s="310"/>
      <c r="CJ24" s="310"/>
      <c r="CK24" s="310"/>
      <c r="CL24" s="310"/>
      <c r="CM24" s="310"/>
      <c r="CN24" s="310"/>
      <c r="CO24" s="310"/>
      <c r="CP24" s="310"/>
      <c r="CQ24" s="310"/>
      <c r="CR24" s="310"/>
      <c r="CS24" s="310"/>
      <c r="CT24" s="310"/>
      <c r="CU24" s="310"/>
      <c r="CV24" s="310"/>
      <c r="CW24" s="310"/>
      <c r="CX24" s="310"/>
      <c r="CY24" s="310"/>
      <c r="CZ24" s="310"/>
      <c r="DA24" s="310"/>
      <c r="DB24" s="310"/>
      <c r="DC24" s="310"/>
      <c r="DD24" s="310"/>
      <c r="DE24" s="310"/>
      <c r="DF24" s="310"/>
      <c r="DG24" s="310"/>
      <c r="DH24" s="310"/>
      <c r="DI24" s="310"/>
      <c r="DJ24" s="310"/>
      <c r="DK24" s="310"/>
      <c r="DL24" s="310"/>
      <c r="DM24" s="310"/>
      <c r="DN24" s="310"/>
      <c r="DO24" s="310"/>
      <c r="DP24" s="310"/>
      <c r="DQ24" s="310"/>
      <c r="DR24" s="310"/>
      <c r="DS24" s="310"/>
      <c r="DT24" s="310"/>
      <c r="DU24" s="310"/>
      <c r="DV24" s="310"/>
      <c r="DW24" s="310"/>
      <c r="DX24" s="310"/>
      <c r="DY24" s="310"/>
      <c r="DZ24" s="310"/>
      <c r="EA24" s="310"/>
      <c r="EB24" s="310"/>
      <c r="EC24" s="310"/>
      <c r="ED24" s="310"/>
      <c r="EE24" s="310"/>
      <c r="EF24" s="310"/>
      <c r="EG24" s="310"/>
      <c r="EH24" s="310"/>
      <c r="EI24" s="310"/>
      <c r="EJ24" s="310"/>
      <c r="EK24" s="310"/>
      <c r="EL24" s="310"/>
      <c r="EM24" s="310"/>
      <c r="EN24" s="310"/>
      <c r="EO24" s="310"/>
      <c r="EP24" s="310"/>
      <c r="EQ24" s="310"/>
      <c r="ER24" s="310"/>
      <c r="ES24" s="310"/>
      <c r="ET24" s="310"/>
      <c r="EU24" s="310"/>
      <c r="EV24" s="310"/>
      <c r="EW24" s="310"/>
      <c r="EX24" s="310"/>
      <c r="EY24" s="310"/>
      <c r="EZ24" s="310"/>
      <c r="FA24" s="310"/>
      <c r="FB24" s="310"/>
      <c r="FC24" s="310"/>
      <c r="FD24" s="310"/>
      <c r="FE24" s="310"/>
      <c r="FF24" s="310"/>
      <c r="FG24" s="310"/>
      <c r="FH24" s="310"/>
      <c r="FI24" s="310"/>
      <c r="FJ24" s="310"/>
      <c r="FK24" s="310"/>
      <c r="FL24" s="310"/>
      <c r="FM24" s="310"/>
      <c r="FN24" s="310"/>
      <c r="FO24" s="310"/>
      <c r="FP24" s="310"/>
      <c r="FQ24" s="310"/>
      <c r="FR24" s="310"/>
      <c r="FS24" s="310"/>
      <c r="FT24" s="310"/>
      <c r="FU24" s="310"/>
      <c r="FV24" s="310"/>
      <c r="FW24" s="310"/>
      <c r="FX24" s="310"/>
      <c r="FY24" s="310"/>
      <c r="FZ24" s="310"/>
      <c r="GA24" s="310"/>
      <c r="GB24" s="310"/>
      <c r="GC24" s="310"/>
      <c r="GD24" s="310"/>
      <c r="GE24" s="310"/>
      <c r="GF24" s="310"/>
      <c r="GG24" s="310"/>
      <c r="GH24" s="310"/>
      <c r="GI24" s="310"/>
      <c r="GJ24" s="310"/>
      <c r="GK24" s="310"/>
      <c r="GL24" s="310"/>
      <c r="GM24" s="310"/>
      <c r="GN24" s="310"/>
      <c r="GO24" s="310"/>
      <c r="GP24" s="310"/>
      <c r="GQ24" s="310"/>
      <c r="GR24" s="310"/>
      <c r="GS24" s="310"/>
      <c r="GT24" s="310"/>
      <c r="GU24" s="310"/>
      <c r="GV24" s="310"/>
      <c r="GW24" s="310"/>
      <c r="GX24" s="310"/>
      <c r="GY24" s="310"/>
      <c r="GZ24" s="310"/>
      <c r="HA24" s="310"/>
      <c r="HB24" s="310"/>
      <c r="HC24" s="310"/>
      <c r="HD24" s="310"/>
      <c r="HE24" s="310"/>
      <c r="HF24" s="310"/>
      <c r="HG24" s="310"/>
      <c r="HH24" s="310"/>
      <c r="HI24" s="310"/>
      <c r="HJ24" s="310"/>
      <c r="HK24" s="310"/>
      <c r="HL24" s="310"/>
      <c r="HM24" s="307"/>
      <c r="HN24" s="307"/>
      <c r="HO24" s="307"/>
      <c r="HP24" s="307"/>
      <c r="HQ24" s="307"/>
      <c r="HR24" s="307"/>
      <c r="HS24" s="316"/>
      <c r="HT24" s="307"/>
      <c r="HU24" s="310"/>
      <c r="HV24" s="310"/>
      <c r="HW24" s="310"/>
      <c r="HX24" s="310"/>
      <c r="HY24" s="310"/>
      <c r="HZ24" s="310"/>
      <c r="IA24" s="310"/>
      <c r="IB24" s="310"/>
      <c r="IC24" s="310"/>
      <c r="ID24" s="310"/>
      <c r="IE24" s="310"/>
      <c r="IF24" s="310"/>
      <c r="IG24" s="310"/>
      <c r="IH24" s="310"/>
      <c r="II24" s="310"/>
      <c r="IJ24" s="310"/>
      <c r="IK24" s="310"/>
      <c r="IL24" s="310"/>
      <c r="IM24" s="310"/>
      <c r="IN24" s="310"/>
      <c r="IO24" s="310"/>
      <c r="IP24" s="310"/>
      <c r="IQ24" s="310"/>
      <c r="IR24" s="310"/>
      <c r="IS24" s="310"/>
      <c r="IT24" s="310"/>
      <c r="IU24" s="310"/>
      <c r="IV24" s="310"/>
      <c r="IW24" s="310"/>
      <c r="IX24" s="310"/>
      <c r="IY24" s="310"/>
      <c r="IZ24" s="310"/>
      <c r="JA24" s="310"/>
      <c r="JB24" s="310"/>
      <c r="JC24" s="310"/>
      <c r="JD24" s="310"/>
      <c r="JE24" s="310"/>
      <c r="JF24" s="310"/>
      <c r="JG24" s="310"/>
      <c r="JH24" s="310"/>
      <c r="JI24" s="310"/>
      <c r="JJ24" s="310"/>
      <c r="JK24" s="310"/>
      <c r="JL24" s="310"/>
      <c r="JM24" s="310"/>
      <c r="JN24" s="310"/>
      <c r="JO24" s="310"/>
      <c r="JP24" s="310"/>
      <c r="JQ24" s="310"/>
      <c r="JR24" s="310"/>
      <c r="JS24" s="310"/>
      <c r="JT24" s="310"/>
      <c r="JU24" s="310"/>
      <c r="JV24" s="310"/>
      <c r="JW24" s="310"/>
      <c r="JX24" s="310"/>
      <c r="JY24" s="310"/>
      <c r="JZ24" s="310"/>
      <c r="KA24" s="310"/>
      <c r="KB24" s="310"/>
      <c r="KC24" s="310"/>
      <c r="KD24" s="310"/>
      <c r="KE24" s="310"/>
      <c r="KF24" s="310"/>
      <c r="KG24" s="310"/>
      <c r="KH24" s="310"/>
      <c r="KI24" s="310"/>
      <c r="KJ24" s="310"/>
      <c r="KK24" s="310"/>
      <c r="KL24" s="310"/>
      <c r="KM24" s="310"/>
      <c r="KN24" s="310"/>
      <c r="KO24" s="310"/>
      <c r="KP24" s="310"/>
      <c r="KQ24" s="310"/>
      <c r="KR24" s="310"/>
      <c r="KS24" s="310"/>
      <c r="KT24" s="310"/>
      <c r="KU24" s="310"/>
      <c r="KV24" s="310"/>
      <c r="KW24" s="310"/>
      <c r="KX24" s="310"/>
      <c r="KY24" s="310"/>
      <c r="KZ24" s="310"/>
      <c r="LA24" s="310"/>
      <c r="LB24" s="310"/>
      <c r="LC24" s="310"/>
      <c r="LD24" s="310"/>
      <c r="LE24" s="310"/>
      <c r="LF24" s="310"/>
      <c r="LG24" s="310"/>
      <c r="LH24" s="310"/>
      <c r="LI24" s="310"/>
      <c r="LJ24" s="310"/>
      <c r="LK24" s="310"/>
      <c r="LL24" s="310"/>
      <c r="LM24" s="310"/>
      <c r="LN24" s="310"/>
      <c r="LO24" s="310"/>
      <c r="LP24" s="310"/>
      <c r="LQ24" s="310"/>
      <c r="LR24" s="310"/>
      <c r="LS24" s="310"/>
      <c r="LT24" s="310"/>
      <c r="LU24" s="310"/>
      <c r="LV24" s="310"/>
      <c r="LW24" s="310"/>
      <c r="LX24" s="310"/>
      <c r="LY24" s="310"/>
      <c r="LZ24" s="310"/>
      <c r="MA24" s="310"/>
      <c r="MB24" s="310"/>
      <c r="MC24" s="310"/>
      <c r="MD24" s="310"/>
      <c r="ME24" s="310"/>
      <c r="MF24" s="310"/>
      <c r="MG24" s="310"/>
      <c r="MH24" s="310"/>
      <c r="MI24" s="310"/>
      <c r="MJ24" s="310"/>
      <c r="MK24" s="310"/>
      <c r="ML24" s="310"/>
      <c r="MM24" s="310"/>
      <c r="MN24" s="310"/>
      <c r="MO24" s="310"/>
      <c r="MP24" s="310"/>
      <c r="MQ24" s="310"/>
      <c r="MR24" s="310"/>
      <c r="MS24" s="310"/>
      <c r="MT24" s="310"/>
      <c r="MU24" s="310"/>
      <c r="MV24" s="310"/>
      <c r="MW24" s="310"/>
      <c r="MX24" s="310"/>
      <c r="MY24" s="310"/>
      <c r="MZ24" s="310"/>
      <c r="NA24" s="310"/>
      <c r="NB24" s="310"/>
      <c r="NC24" s="310"/>
      <c r="ND24" s="310"/>
      <c r="NE24" s="310"/>
      <c r="NF24" s="310"/>
      <c r="NG24" s="310"/>
      <c r="NH24" s="310"/>
      <c r="NI24" s="310"/>
      <c r="NJ24" s="310"/>
      <c r="NK24" s="310"/>
      <c r="NL24" s="310"/>
      <c r="NM24" s="310"/>
      <c r="NN24" s="310"/>
      <c r="NO24" s="310"/>
      <c r="NP24" s="310"/>
      <c r="NQ24" s="310"/>
      <c r="NR24" s="310"/>
      <c r="NS24" s="310"/>
      <c r="NT24" s="310"/>
      <c r="NU24" s="310"/>
      <c r="NV24" s="310"/>
      <c r="NW24" s="310"/>
      <c r="NX24" s="310"/>
      <c r="NY24" s="310"/>
      <c r="NZ24" s="310"/>
      <c r="OA24" s="310"/>
      <c r="OB24" s="310"/>
      <c r="OC24" s="310"/>
      <c r="OD24" s="310"/>
      <c r="OE24" s="310"/>
      <c r="OF24" s="310"/>
      <c r="OG24" s="310"/>
      <c r="OH24" s="310"/>
      <c r="OI24" s="310"/>
      <c r="OJ24" s="310"/>
      <c r="OK24" s="310"/>
      <c r="OL24" s="310"/>
      <c r="OM24" s="310"/>
      <c r="ON24" s="310"/>
      <c r="OO24" s="310"/>
      <c r="OP24" s="310"/>
      <c r="OQ24" s="310"/>
      <c r="OR24" s="310"/>
      <c r="OS24" s="310"/>
      <c r="OT24" s="310"/>
      <c r="OU24" s="310"/>
      <c r="OV24" s="310"/>
      <c r="OW24" s="310"/>
      <c r="OX24" s="310"/>
      <c r="OY24" s="310"/>
      <c r="OZ24" s="310"/>
      <c r="PA24" s="310"/>
      <c r="PB24" s="310"/>
      <c r="PC24" s="310"/>
      <c r="PD24" s="310"/>
      <c r="PE24" s="310"/>
      <c r="PF24" s="310"/>
      <c r="PG24" s="310"/>
      <c r="PH24" s="310"/>
      <c r="PI24" s="310"/>
      <c r="PJ24" s="310"/>
      <c r="PK24" s="310"/>
      <c r="PL24" s="310"/>
      <c r="PM24" s="310"/>
      <c r="PN24" s="310"/>
      <c r="PO24" s="310"/>
      <c r="PP24" s="310"/>
      <c r="PQ24" s="310"/>
      <c r="PR24" s="310"/>
      <c r="PS24" s="310"/>
      <c r="PT24" s="310"/>
      <c r="PU24" s="310"/>
      <c r="PV24" s="310"/>
      <c r="PW24" s="310"/>
      <c r="PX24" s="310"/>
      <c r="PY24" s="310"/>
      <c r="PZ24" s="310"/>
      <c r="QA24" s="310"/>
      <c r="QB24" s="310"/>
      <c r="QC24" s="310"/>
      <c r="QD24" s="310"/>
      <c r="QE24" s="310"/>
      <c r="QF24" s="310"/>
      <c r="QG24" s="310"/>
      <c r="QH24" s="310"/>
      <c r="QI24" s="310"/>
      <c r="QJ24" s="310"/>
      <c r="QK24" s="310"/>
      <c r="QL24" s="310"/>
      <c r="QM24" s="310"/>
      <c r="QN24" s="310"/>
      <c r="QO24" s="310"/>
      <c r="QP24" s="310"/>
      <c r="QQ24" s="310"/>
      <c r="QR24" s="310"/>
      <c r="QS24" s="310"/>
      <c r="QT24" s="310"/>
      <c r="QU24" s="310"/>
      <c r="QV24" s="310"/>
      <c r="QW24" s="310"/>
      <c r="QX24" s="310"/>
      <c r="QY24" s="310"/>
      <c r="QZ24" s="310"/>
      <c r="RA24" s="310"/>
      <c r="RB24" s="310"/>
      <c r="RC24" s="310"/>
      <c r="RD24" s="310"/>
      <c r="RE24" s="310"/>
      <c r="RF24" s="310"/>
      <c r="RG24" s="310"/>
      <c r="RH24" s="310"/>
      <c r="RI24" s="310"/>
      <c r="RJ24" s="310"/>
      <c r="RK24" s="310"/>
      <c r="RL24" s="310"/>
      <c r="RM24" s="310"/>
      <c r="RN24" s="310"/>
      <c r="RO24" s="310"/>
      <c r="RP24" s="310"/>
      <c r="RQ24" s="310"/>
      <c r="RR24" s="310"/>
      <c r="RS24" s="310"/>
      <c r="RT24" s="310"/>
      <c r="RU24" s="310"/>
      <c r="RV24" s="310"/>
      <c r="RW24" s="310"/>
      <c r="RX24" s="310"/>
      <c r="RY24" s="310"/>
      <c r="RZ24" s="310"/>
      <c r="SA24" s="310"/>
      <c r="SB24" s="310"/>
      <c r="SC24" s="310"/>
      <c r="SD24" s="310"/>
      <c r="SE24" s="310"/>
      <c r="SF24" s="310"/>
      <c r="SG24" s="310"/>
      <c r="SH24" s="310"/>
      <c r="SI24" s="310"/>
      <c r="SJ24" s="310"/>
      <c r="SK24" s="310"/>
      <c r="SL24" s="310"/>
      <c r="SM24" s="310"/>
      <c r="SN24" s="310"/>
      <c r="SO24" s="310"/>
    </row>
    <row r="25" spans="1:509" s="319" customFormat="1" ht="12" customHeight="1" thickBot="1" x14ac:dyDescent="0.2">
      <c r="A25" s="310"/>
      <c r="B25" s="311"/>
      <c r="C25" s="325">
        <v>12</v>
      </c>
      <c r="D25" s="999"/>
      <c r="E25" s="1000"/>
      <c r="F25" s="1000"/>
      <c r="G25" s="1000"/>
      <c r="H25" s="1000"/>
      <c r="I25" s="1000"/>
      <c r="J25" s="1001"/>
      <c r="K25" s="322"/>
      <c r="L25" s="363"/>
      <c r="M25" s="330"/>
      <c r="N25" s="331"/>
      <c r="O25" s="338"/>
      <c r="P25" s="339"/>
      <c r="Q25" s="346"/>
      <c r="R25" s="347"/>
      <c r="S25" s="354"/>
      <c r="T25" s="355"/>
      <c r="U25" s="311"/>
      <c r="V25" s="310"/>
      <c r="W25" s="310"/>
      <c r="X25" s="310"/>
      <c r="Y25" s="310"/>
      <c r="Z25" s="310"/>
      <c r="AA25" s="310"/>
      <c r="AB25" s="310"/>
      <c r="AC25" s="310"/>
      <c r="AD25" s="310"/>
      <c r="AE25" s="310"/>
      <c r="AF25" s="310"/>
      <c r="AG25" s="310"/>
      <c r="AH25" s="310"/>
      <c r="AI25" s="310"/>
      <c r="AJ25" s="310"/>
      <c r="AK25" s="310"/>
      <c r="AL25" s="310"/>
      <c r="AM25" s="310"/>
      <c r="AN25" s="310"/>
      <c r="AO25" s="310"/>
      <c r="AP25" s="310"/>
      <c r="AQ25" s="310"/>
      <c r="AR25" s="310"/>
      <c r="AS25" s="310"/>
      <c r="AT25" s="310"/>
      <c r="AU25" s="310"/>
      <c r="AV25" s="310"/>
      <c r="AW25" s="310"/>
      <c r="AX25" s="310"/>
      <c r="AY25" s="310"/>
      <c r="AZ25" s="310"/>
      <c r="BA25" s="310"/>
      <c r="BB25" s="310"/>
      <c r="BC25" s="310"/>
      <c r="BD25" s="310"/>
      <c r="BE25" s="310"/>
      <c r="BF25" s="310"/>
      <c r="BG25" s="310"/>
      <c r="BH25" s="310"/>
      <c r="BI25" s="310"/>
      <c r="BJ25" s="310"/>
      <c r="BK25" s="310"/>
      <c r="BL25" s="310"/>
      <c r="BM25" s="310"/>
      <c r="BN25" s="310"/>
      <c r="BO25" s="310"/>
      <c r="BP25" s="310"/>
      <c r="BQ25" s="310"/>
      <c r="BR25" s="310"/>
      <c r="BS25" s="310"/>
      <c r="BT25" s="310"/>
      <c r="BU25" s="310"/>
      <c r="BV25" s="310"/>
      <c r="BW25" s="310"/>
      <c r="BX25" s="310"/>
      <c r="BY25" s="310"/>
      <c r="BZ25" s="310"/>
      <c r="CA25" s="310"/>
      <c r="CB25" s="310"/>
      <c r="CC25" s="310"/>
      <c r="CD25" s="310"/>
      <c r="CE25" s="310"/>
      <c r="CF25" s="310"/>
      <c r="CG25" s="310"/>
      <c r="CH25" s="310"/>
      <c r="CI25" s="310"/>
      <c r="CJ25" s="310"/>
      <c r="CK25" s="310"/>
      <c r="CL25" s="310"/>
      <c r="CM25" s="310"/>
      <c r="CN25" s="310"/>
      <c r="CO25" s="310"/>
      <c r="CP25" s="310"/>
      <c r="CQ25" s="310"/>
      <c r="CR25" s="310"/>
      <c r="CS25" s="310"/>
      <c r="CT25" s="310"/>
      <c r="CU25" s="310"/>
      <c r="CV25" s="310"/>
      <c r="CW25" s="310"/>
      <c r="CX25" s="310"/>
      <c r="CY25" s="310"/>
      <c r="CZ25" s="310"/>
      <c r="DA25" s="310"/>
      <c r="DB25" s="310"/>
      <c r="DC25" s="310"/>
      <c r="DD25" s="310"/>
      <c r="DE25" s="310"/>
      <c r="DF25" s="310"/>
      <c r="DG25" s="310"/>
      <c r="DH25" s="310"/>
      <c r="DI25" s="310"/>
      <c r="DJ25" s="310"/>
      <c r="DK25" s="310"/>
      <c r="DL25" s="310"/>
      <c r="DM25" s="310"/>
      <c r="DN25" s="310"/>
      <c r="DO25" s="310"/>
      <c r="DP25" s="310"/>
      <c r="DQ25" s="310"/>
      <c r="DR25" s="310"/>
      <c r="DS25" s="310"/>
      <c r="DT25" s="310"/>
      <c r="DU25" s="310"/>
      <c r="DV25" s="310"/>
      <c r="DW25" s="310"/>
      <c r="DX25" s="310"/>
      <c r="DY25" s="310"/>
      <c r="DZ25" s="310"/>
      <c r="EA25" s="310"/>
      <c r="EB25" s="310"/>
      <c r="EC25" s="310"/>
      <c r="ED25" s="310"/>
      <c r="EE25" s="310"/>
      <c r="EF25" s="310"/>
      <c r="EG25" s="310"/>
      <c r="EH25" s="310"/>
      <c r="EI25" s="310"/>
      <c r="EJ25" s="310"/>
      <c r="EK25" s="310"/>
      <c r="EL25" s="310"/>
      <c r="EM25" s="310"/>
      <c r="EN25" s="310"/>
      <c r="EO25" s="310"/>
      <c r="EP25" s="310"/>
      <c r="EQ25" s="310"/>
      <c r="ER25" s="310"/>
      <c r="ES25" s="310"/>
      <c r="ET25" s="310"/>
      <c r="EU25" s="310"/>
      <c r="EV25" s="310"/>
      <c r="EW25" s="310"/>
      <c r="EX25" s="310"/>
      <c r="EY25" s="310"/>
      <c r="EZ25" s="310"/>
      <c r="FA25" s="310"/>
      <c r="FB25" s="310"/>
      <c r="FC25" s="310"/>
      <c r="FD25" s="310"/>
      <c r="FE25" s="310"/>
      <c r="FF25" s="310"/>
      <c r="FG25" s="310"/>
      <c r="FH25" s="310"/>
      <c r="FI25" s="310"/>
      <c r="FJ25" s="310"/>
      <c r="FK25" s="310"/>
      <c r="FL25" s="310"/>
      <c r="FM25" s="310"/>
      <c r="FN25" s="310"/>
      <c r="FO25" s="310"/>
      <c r="FP25" s="310"/>
      <c r="FQ25" s="310"/>
      <c r="FR25" s="310"/>
      <c r="FS25" s="310"/>
      <c r="FT25" s="310"/>
      <c r="FU25" s="310"/>
      <c r="FV25" s="310"/>
      <c r="FW25" s="310"/>
      <c r="FX25" s="310"/>
      <c r="FY25" s="310"/>
      <c r="FZ25" s="310"/>
      <c r="GA25" s="310"/>
      <c r="GB25" s="310"/>
      <c r="GC25" s="310"/>
      <c r="GD25" s="310"/>
      <c r="GE25" s="310"/>
      <c r="GF25" s="310"/>
      <c r="GG25" s="310"/>
      <c r="GH25" s="310"/>
      <c r="GI25" s="310"/>
      <c r="GJ25" s="310"/>
      <c r="GK25" s="310"/>
      <c r="GL25" s="310"/>
      <c r="GM25" s="310"/>
      <c r="GN25" s="310"/>
      <c r="GO25" s="310"/>
      <c r="GP25" s="310"/>
      <c r="GQ25" s="310"/>
      <c r="GR25" s="310"/>
      <c r="GS25" s="310"/>
      <c r="GT25" s="310"/>
      <c r="GU25" s="310"/>
      <c r="GV25" s="310"/>
      <c r="GW25" s="310"/>
      <c r="GX25" s="310"/>
      <c r="GY25" s="310"/>
      <c r="GZ25" s="310"/>
      <c r="HA25" s="310"/>
      <c r="HB25" s="310"/>
      <c r="HC25" s="310"/>
      <c r="HD25" s="310"/>
      <c r="HE25" s="310"/>
      <c r="HF25" s="310"/>
      <c r="HG25" s="310"/>
      <c r="HH25" s="310"/>
      <c r="HI25" s="310"/>
      <c r="HJ25" s="310"/>
      <c r="HK25" s="310"/>
      <c r="HL25" s="310"/>
      <c r="HM25" s="307"/>
      <c r="HN25" s="307"/>
      <c r="HO25" s="307"/>
      <c r="HP25" s="307"/>
      <c r="HQ25" s="307"/>
      <c r="HR25" s="307"/>
      <c r="HS25" s="318"/>
      <c r="HT25" s="307"/>
      <c r="HU25" s="310"/>
      <c r="HV25" s="310"/>
      <c r="HW25" s="310"/>
      <c r="HX25" s="310"/>
      <c r="HY25" s="310"/>
      <c r="HZ25" s="310"/>
      <c r="IA25" s="310"/>
      <c r="IB25" s="310"/>
      <c r="IC25" s="310"/>
      <c r="ID25" s="310"/>
      <c r="IE25" s="310"/>
      <c r="IF25" s="310"/>
      <c r="IG25" s="310"/>
      <c r="IH25" s="310"/>
      <c r="II25" s="310"/>
      <c r="IJ25" s="310"/>
      <c r="IK25" s="310"/>
      <c r="IL25" s="310"/>
      <c r="IM25" s="310"/>
      <c r="IN25" s="310"/>
      <c r="IO25" s="310"/>
      <c r="IP25" s="310"/>
      <c r="IQ25" s="310"/>
      <c r="IR25" s="310"/>
      <c r="IS25" s="310"/>
      <c r="IT25" s="310"/>
      <c r="IU25" s="310"/>
      <c r="IV25" s="310"/>
      <c r="IW25" s="310"/>
      <c r="IX25" s="310"/>
      <c r="IY25" s="310"/>
      <c r="IZ25" s="310"/>
      <c r="JA25" s="310"/>
      <c r="JB25" s="310"/>
      <c r="JC25" s="310"/>
      <c r="JD25" s="310"/>
      <c r="JE25" s="310"/>
      <c r="JF25" s="310"/>
      <c r="JG25" s="310"/>
      <c r="JH25" s="310"/>
      <c r="JI25" s="310"/>
      <c r="JJ25" s="310"/>
      <c r="JK25" s="310"/>
      <c r="JL25" s="310"/>
      <c r="JM25" s="310"/>
      <c r="JN25" s="310"/>
      <c r="JO25" s="310"/>
      <c r="JP25" s="310"/>
      <c r="JQ25" s="310"/>
      <c r="JR25" s="310"/>
      <c r="JS25" s="310"/>
      <c r="JT25" s="310"/>
      <c r="JU25" s="310"/>
      <c r="JV25" s="310"/>
      <c r="JW25" s="310"/>
      <c r="JX25" s="310"/>
      <c r="JY25" s="310"/>
      <c r="JZ25" s="310"/>
      <c r="KA25" s="310"/>
      <c r="KB25" s="310"/>
      <c r="KC25" s="310"/>
      <c r="KD25" s="310"/>
      <c r="KE25" s="310"/>
      <c r="KF25" s="310"/>
      <c r="KG25" s="310"/>
      <c r="KH25" s="310"/>
      <c r="KI25" s="310"/>
      <c r="KJ25" s="310"/>
      <c r="KK25" s="310"/>
      <c r="KL25" s="310"/>
      <c r="KM25" s="310"/>
      <c r="KN25" s="310"/>
      <c r="KO25" s="310"/>
      <c r="KP25" s="310"/>
      <c r="KQ25" s="310"/>
      <c r="KR25" s="310"/>
      <c r="KS25" s="310"/>
      <c r="KT25" s="310"/>
      <c r="KU25" s="310"/>
      <c r="KV25" s="310"/>
      <c r="KW25" s="310"/>
      <c r="KX25" s="310"/>
      <c r="KY25" s="310"/>
      <c r="KZ25" s="310"/>
      <c r="LA25" s="310"/>
      <c r="LB25" s="310"/>
      <c r="LC25" s="310"/>
      <c r="LD25" s="310"/>
      <c r="LE25" s="310"/>
      <c r="LF25" s="310"/>
      <c r="LG25" s="310"/>
      <c r="LH25" s="310"/>
      <c r="LI25" s="310"/>
      <c r="LJ25" s="310"/>
      <c r="LK25" s="310"/>
      <c r="LL25" s="310"/>
      <c r="LM25" s="310"/>
      <c r="LN25" s="310"/>
      <c r="LO25" s="310"/>
      <c r="LP25" s="310"/>
      <c r="LQ25" s="310"/>
      <c r="LR25" s="310"/>
      <c r="LS25" s="310"/>
      <c r="LT25" s="310"/>
      <c r="LU25" s="310"/>
      <c r="LV25" s="310"/>
      <c r="LW25" s="310"/>
      <c r="LX25" s="310"/>
      <c r="LY25" s="310"/>
      <c r="LZ25" s="310"/>
      <c r="MA25" s="310"/>
      <c r="MB25" s="310"/>
      <c r="MC25" s="310"/>
      <c r="MD25" s="310"/>
      <c r="ME25" s="310"/>
      <c r="MF25" s="310"/>
      <c r="MG25" s="310"/>
      <c r="MH25" s="310"/>
      <c r="MI25" s="310"/>
      <c r="MJ25" s="310"/>
      <c r="MK25" s="310"/>
      <c r="ML25" s="310"/>
      <c r="MM25" s="310"/>
      <c r="MN25" s="310"/>
      <c r="MO25" s="310"/>
      <c r="MP25" s="310"/>
      <c r="MQ25" s="310"/>
      <c r="MR25" s="310"/>
      <c r="MS25" s="310"/>
      <c r="MT25" s="310"/>
      <c r="MU25" s="310"/>
      <c r="MV25" s="310"/>
      <c r="MW25" s="310"/>
      <c r="MX25" s="310"/>
      <c r="MY25" s="310"/>
      <c r="MZ25" s="310"/>
      <c r="NA25" s="310"/>
      <c r="NB25" s="310"/>
      <c r="NC25" s="310"/>
      <c r="ND25" s="310"/>
      <c r="NE25" s="310"/>
      <c r="NF25" s="310"/>
      <c r="NG25" s="310"/>
      <c r="NH25" s="310"/>
      <c r="NI25" s="310"/>
      <c r="NJ25" s="310"/>
      <c r="NK25" s="310"/>
      <c r="NL25" s="310"/>
      <c r="NM25" s="310"/>
      <c r="NN25" s="310"/>
      <c r="NO25" s="310"/>
      <c r="NP25" s="310"/>
      <c r="NQ25" s="310"/>
      <c r="NR25" s="310"/>
      <c r="NS25" s="310"/>
      <c r="NT25" s="310"/>
      <c r="NU25" s="310"/>
      <c r="NV25" s="310"/>
      <c r="NW25" s="310"/>
      <c r="NX25" s="310"/>
      <c r="NY25" s="310"/>
      <c r="NZ25" s="310"/>
      <c r="OA25" s="310"/>
      <c r="OB25" s="310"/>
      <c r="OC25" s="310"/>
      <c r="OD25" s="310"/>
      <c r="OE25" s="310"/>
      <c r="OF25" s="310"/>
      <c r="OG25" s="310"/>
      <c r="OH25" s="310"/>
      <c r="OI25" s="310"/>
      <c r="OJ25" s="310"/>
      <c r="OK25" s="310"/>
      <c r="OL25" s="310"/>
      <c r="OM25" s="310"/>
      <c r="ON25" s="310"/>
      <c r="OO25" s="310"/>
      <c r="OP25" s="310"/>
      <c r="OQ25" s="310"/>
      <c r="OR25" s="310"/>
      <c r="OS25" s="310"/>
      <c r="OT25" s="310"/>
      <c r="OU25" s="310"/>
      <c r="OV25" s="310"/>
      <c r="OW25" s="310"/>
      <c r="OX25" s="310"/>
      <c r="OY25" s="310"/>
      <c r="OZ25" s="310"/>
      <c r="PA25" s="310"/>
      <c r="PB25" s="310"/>
      <c r="PC25" s="310"/>
      <c r="PD25" s="310"/>
      <c r="PE25" s="310"/>
      <c r="PF25" s="310"/>
      <c r="PG25" s="310"/>
      <c r="PH25" s="310"/>
      <c r="PI25" s="310"/>
      <c r="PJ25" s="310"/>
      <c r="PK25" s="310"/>
      <c r="PL25" s="310"/>
      <c r="PM25" s="310"/>
      <c r="PN25" s="310"/>
      <c r="PO25" s="310"/>
      <c r="PP25" s="310"/>
      <c r="PQ25" s="310"/>
      <c r="PR25" s="310"/>
      <c r="PS25" s="310"/>
      <c r="PT25" s="310"/>
      <c r="PU25" s="310"/>
      <c r="PV25" s="310"/>
      <c r="PW25" s="310"/>
      <c r="PX25" s="310"/>
      <c r="PY25" s="310"/>
      <c r="PZ25" s="310"/>
      <c r="QA25" s="310"/>
      <c r="QB25" s="310"/>
      <c r="QC25" s="310"/>
      <c r="QD25" s="310"/>
      <c r="QE25" s="310"/>
      <c r="QF25" s="310"/>
      <c r="QG25" s="310"/>
      <c r="QH25" s="310"/>
      <c r="QI25" s="310"/>
      <c r="QJ25" s="310"/>
      <c r="QK25" s="310"/>
      <c r="QL25" s="310"/>
      <c r="QM25" s="310"/>
      <c r="QN25" s="310"/>
      <c r="QO25" s="310"/>
      <c r="QP25" s="310"/>
      <c r="QQ25" s="310"/>
      <c r="QR25" s="310"/>
      <c r="QS25" s="310"/>
      <c r="QT25" s="310"/>
      <c r="QU25" s="310"/>
      <c r="QV25" s="310"/>
      <c r="QW25" s="310"/>
      <c r="QX25" s="310"/>
      <c r="QY25" s="310"/>
      <c r="QZ25" s="310"/>
      <c r="RA25" s="310"/>
      <c r="RB25" s="310"/>
      <c r="RC25" s="310"/>
      <c r="RD25" s="310"/>
      <c r="RE25" s="310"/>
      <c r="RF25" s="310"/>
      <c r="RG25" s="310"/>
      <c r="RH25" s="310"/>
      <c r="RI25" s="310"/>
      <c r="RJ25" s="310"/>
      <c r="RK25" s="310"/>
      <c r="RL25" s="310"/>
      <c r="RM25" s="310"/>
      <c r="RN25" s="310"/>
      <c r="RO25" s="310"/>
      <c r="RP25" s="310"/>
      <c r="RQ25" s="310"/>
      <c r="RR25" s="310"/>
      <c r="RS25" s="310"/>
      <c r="RT25" s="310"/>
      <c r="RU25" s="310"/>
      <c r="RV25" s="310"/>
      <c r="RW25" s="310"/>
      <c r="RX25" s="310"/>
      <c r="RY25" s="310"/>
      <c r="RZ25" s="310"/>
      <c r="SA25" s="310"/>
      <c r="SB25" s="310"/>
      <c r="SC25" s="310"/>
      <c r="SD25" s="310"/>
      <c r="SE25" s="310"/>
      <c r="SF25" s="310"/>
      <c r="SG25" s="310"/>
      <c r="SH25" s="310"/>
      <c r="SI25" s="310"/>
      <c r="SJ25" s="310"/>
      <c r="SK25" s="310"/>
      <c r="SL25" s="310"/>
      <c r="SM25" s="310"/>
      <c r="SN25" s="310"/>
      <c r="SO25" s="310"/>
    </row>
    <row r="26" spans="1:509" s="307" customFormat="1" ht="12" customHeight="1" x14ac:dyDescent="0.15">
      <c r="B26" s="320"/>
      <c r="C26" s="325">
        <v>13</v>
      </c>
      <c r="D26" s="999"/>
      <c r="E26" s="1000"/>
      <c r="F26" s="1000"/>
      <c r="G26" s="1000"/>
      <c r="H26" s="1000"/>
      <c r="I26" s="1000"/>
      <c r="J26" s="1001"/>
      <c r="K26" s="320"/>
      <c r="L26" s="363"/>
      <c r="M26" s="330"/>
      <c r="N26" s="331"/>
      <c r="O26" s="338"/>
      <c r="P26" s="339"/>
      <c r="Q26" s="346"/>
      <c r="R26" s="347"/>
      <c r="S26" s="354"/>
      <c r="T26" s="355"/>
      <c r="U26" s="320"/>
    </row>
    <row r="27" spans="1:509" ht="14.1" customHeight="1" x14ac:dyDescent="0.15">
      <c r="B27" s="302"/>
      <c r="C27" s="325">
        <v>14</v>
      </c>
      <c r="D27" s="999"/>
      <c r="E27" s="1000"/>
      <c r="F27" s="1000"/>
      <c r="G27" s="1000"/>
      <c r="H27" s="1000"/>
      <c r="I27" s="1000"/>
      <c r="J27" s="1001"/>
      <c r="K27" s="302"/>
      <c r="L27" s="363"/>
      <c r="M27" s="330"/>
      <c r="N27" s="331"/>
      <c r="O27" s="338"/>
      <c r="P27" s="339"/>
      <c r="Q27" s="346"/>
      <c r="R27" s="347"/>
      <c r="S27" s="354"/>
      <c r="T27" s="355"/>
      <c r="U27" s="302"/>
    </row>
    <row r="28" spans="1:509" ht="14.1" customHeight="1" x14ac:dyDescent="0.15">
      <c r="B28" s="302"/>
      <c r="C28" s="325">
        <v>15</v>
      </c>
      <c r="D28" s="999"/>
      <c r="E28" s="1000"/>
      <c r="F28" s="1000"/>
      <c r="G28" s="1000"/>
      <c r="H28" s="1000"/>
      <c r="I28" s="1000"/>
      <c r="J28" s="1001"/>
      <c r="K28" s="302"/>
      <c r="L28" s="363"/>
      <c r="M28" s="330"/>
      <c r="N28" s="331"/>
      <c r="O28" s="338"/>
      <c r="P28" s="339"/>
      <c r="Q28" s="346"/>
      <c r="R28" s="347"/>
      <c r="S28" s="354"/>
      <c r="T28" s="355"/>
      <c r="U28" s="302"/>
    </row>
    <row r="29" spans="1:509" ht="14.1" customHeight="1" x14ac:dyDescent="0.15">
      <c r="B29" s="302"/>
      <c r="C29" s="325">
        <v>16</v>
      </c>
      <c r="D29" s="999"/>
      <c r="E29" s="1000"/>
      <c r="F29" s="1000"/>
      <c r="G29" s="1000"/>
      <c r="H29" s="1000"/>
      <c r="I29" s="1000"/>
      <c r="J29" s="1001"/>
      <c r="K29" s="302"/>
      <c r="L29" s="363"/>
      <c r="M29" s="330"/>
      <c r="N29" s="331"/>
      <c r="O29" s="338"/>
      <c r="P29" s="339"/>
      <c r="Q29" s="346"/>
      <c r="R29" s="347"/>
      <c r="S29" s="354"/>
      <c r="T29" s="355"/>
      <c r="U29" s="302"/>
    </row>
    <row r="30" spans="1:509" ht="14.1" customHeight="1" x14ac:dyDescent="0.15">
      <c r="B30" s="302"/>
      <c r="C30" s="325">
        <v>17</v>
      </c>
      <c r="D30" s="999"/>
      <c r="E30" s="1000"/>
      <c r="F30" s="1000"/>
      <c r="G30" s="1000"/>
      <c r="H30" s="1000"/>
      <c r="I30" s="1000"/>
      <c r="J30" s="1001"/>
      <c r="K30" s="302"/>
      <c r="L30" s="363"/>
      <c r="M30" s="330"/>
      <c r="N30" s="331"/>
      <c r="O30" s="338"/>
      <c r="P30" s="339"/>
      <c r="Q30" s="346"/>
      <c r="R30" s="347"/>
      <c r="S30" s="354"/>
      <c r="T30" s="355"/>
      <c r="U30" s="302"/>
    </row>
    <row r="31" spans="1:509" ht="14.1" customHeight="1" thickBot="1" x14ac:dyDescent="0.2">
      <c r="B31" s="302"/>
      <c r="C31" s="325">
        <v>18</v>
      </c>
      <c r="D31" s="999"/>
      <c r="E31" s="1000"/>
      <c r="F31" s="1000"/>
      <c r="G31" s="1000"/>
      <c r="H31" s="1000"/>
      <c r="I31" s="1000"/>
      <c r="J31" s="1001"/>
      <c r="K31" s="302"/>
      <c r="L31" s="363"/>
      <c r="M31" s="330"/>
      <c r="N31" s="331"/>
      <c r="O31" s="338"/>
      <c r="P31" s="339"/>
      <c r="Q31" s="346"/>
      <c r="R31" s="347"/>
      <c r="S31" s="354"/>
      <c r="T31" s="355"/>
      <c r="U31" s="302"/>
    </row>
    <row r="32" spans="1:509" s="308" customFormat="1" ht="12.95" customHeight="1" thickBot="1" x14ac:dyDescent="0.2">
      <c r="A32" s="303"/>
      <c r="B32" s="304"/>
      <c r="C32" s="325">
        <v>19</v>
      </c>
      <c r="D32" s="999"/>
      <c r="E32" s="1000"/>
      <c r="F32" s="1000"/>
      <c r="G32" s="1000"/>
      <c r="H32" s="1000"/>
      <c r="I32" s="1000"/>
      <c r="J32" s="1001"/>
      <c r="K32" s="304"/>
      <c r="L32" s="363"/>
      <c r="M32" s="330"/>
      <c r="N32" s="331"/>
      <c r="O32" s="338"/>
      <c r="P32" s="339"/>
      <c r="Q32" s="346"/>
      <c r="R32" s="347"/>
      <c r="S32" s="354"/>
      <c r="T32" s="355"/>
      <c r="U32" s="305"/>
      <c r="V32" s="306"/>
      <c r="W32" s="306"/>
      <c r="X32" s="306"/>
      <c r="Y32" s="306"/>
      <c r="Z32" s="306"/>
      <c r="AA32" s="306"/>
      <c r="AB32" s="306"/>
      <c r="AC32" s="306"/>
      <c r="AD32" s="306"/>
      <c r="AE32" s="306"/>
      <c r="AF32" s="306"/>
      <c r="AG32" s="306"/>
      <c r="AH32" s="306"/>
      <c r="AI32" s="306"/>
      <c r="AJ32" s="306"/>
      <c r="AK32" s="306"/>
      <c r="AL32" s="306"/>
      <c r="AM32" s="306"/>
      <c r="AN32" s="306"/>
      <c r="AO32" s="306"/>
      <c r="AP32" s="306"/>
      <c r="AQ32" s="306"/>
      <c r="AR32" s="306"/>
      <c r="AS32" s="306"/>
      <c r="AT32" s="306"/>
      <c r="AU32" s="306"/>
      <c r="AV32" s="306"/>
      <c r="AW32" s="306"/>
      <c r="AX32" s="306"/>
      <c r="AY32" s="306"/>
      <c r="AZ32" s="306"/>
      <c r="BA32" s="306"/>
      <c r="BB32" s="306"/>
      <c r="BC32" s="306"/>
      <c r="BD32" s="306"/>
      <c r="BE32" s="306"/>
      <c r="BF32" s="306"/>
      <c r="BG32" s="306"/>
      <c r="BH32" s="306"/>
      <c r="BI32" s="306"/>
      <c r="BJ32" s="306"/>
      <c r="BK32" s="306"/>
      <c r="BL32" s="306"/>
      <c r="BM32" s="306"/>
      <c r="BN32" s="306"/>
      <c r="BO32" s="306"/>
      <c r="BP32" s="306"/>
      <c r="BQ32" s="306"/>
      <c r="BR32" s="306"/>
      <c r="BS32" s="306"/>
      <c r="BT32" s="306"/>
      <c r="BU32" s="306"/>
      <c r="BV32" s="306"/>
      <c r="BW32" s="306"/>
      <c r="BX32" s="306"/>
      <c r="BY32" s="306"/>
      <c r="BZ32" s="306"/>
      <c r="CA32" s="306"/>
      <c r="CB32" s="306"/>
      <c r="CC32" s="306"/>
      <c r="CD32" s="306"/>
      <c r="CE32" s="306"/>
      <c r="CF32" s="306"/>
      <c r="CG32" s="306"/>
      <c r="CH32" s="306"/>
      <c r="CI32" s="306"/>
      <c r="CJ32" s="306"/>
      <c r="CK32" s="306"/>
      <c r="CL32" s="306"/>
      <c r="CM32" s="306"/>
      <c r="CN32" s="306"/>
      <c r="CO32" s="306"/>
      <c r="CP32" s="306"/>
      <c r="CQ32" s="306"/>
      <c r="CR32" s="306"/>
      <c r="CS32" s="306"/>
      <c r="CT32" s="306"/>
      <c r="CU32" s="306"/>
      <c r="CV32" s="306"/>
      <c r="CW32" s="306"/>
      <c r="CX32" s="306"/>
      <c r="CY32" s="306"/>
      <c r="CZ32" s="306"/>
      <c r="DA32" s="306"/>
      <c r="DB32" s="306"/>
      <c r="DC32" s="306"/>
      <c r="DD32" s="306"/>
      <c r="DE32" s="306"/>
      <c r="DF32" s="306"/>
      <c r="DG32" s="306"/>
      <c r="DH32" s="306"/>
      <c r="DI32" s="306"/>
      <c r="DJ32" s="306"/>
      <c r="DK32" s="306"/>
      <c r="DL32" s="306"/>
      <c r="DM32" s="306"/>
      <c r="DN32" s="306"/>
      <c r="DO32" s="306"/>
      <c r="DP32" s="306"/>
      <c r="DQ32" s="306"/>
      <c r="DR32" s="306"/>
      <c r="DS32" s="306"/>
      <c r="DT32" s="306"/>
      <c r="DU32" s="306"/>
      <c r="DV32" s="306"/>
      <c r="DW32" s="306"/>
      <c r="DX32" s="306"/>
      <c r="DY32" s="306"/>
      <c r="DZ32" s="306"/>
      <c r="EA32" s="306"/>
      <c r="EB32" s="306"/>
      <c r="EC32" s="306"/>
      <c r="ED32" s="306"/>
      <c r="EE32" s="306"/>
      <c r="EF32" s="306"/>
      <c r="EG32" s="306"/>
      <c r="EH32" s="306"/>
      <c r="EI32" s="306"/>
      <c r="EJ32" s="306"/>
      <c r="EK32" s="306"/>
      <c r="EL32" s="306"/>
      <c r="EM32" s="306"/>
      <c r="EN32" s="306"/>
      <c r="EO32" s="306"/>
      <c r="EP32" s="306"/>
      <c r="EQ32" s="306"/>
      <c r="ER32" s="306"/>
      <c r="ES32" s="306"/>
      <c r="ET32" s="306"/>
      <c r="EU32" s="306"/>
      <c r="EV32" s="306"/>
      <c r="EW32" s="306"/>
      <c r="EX32" s="306"/>
      <c r="EY32" s="306"/>
      <c r="EZ32" s="306"/>
      <c r="FA32" s="306"/>
      <c r="FB32" s="306"/>
      <c r="FC32" s="306"/>
      <c r="FD32" s="306"/>
      <c r="FE32" s="306"/>
      <c r="FF32" s="306"/>
      <c r="FG32" s="306"/>
      <c r="FH32" s="306"/>
      <c r="FI32" s="306"/>
      <c r="FJ32" s="306"/>
      <c r="FK32" s="306"/>
      <c r="FL32" s="306"/>
      <c r="FM32" s="306"/>
      <c r="FN32" s="306"/>
      <c r="FO32" s="306"/>
      <c r="FP32" s="306"/>
      <c r="FQ32" s="306"/>
      <c r="FR32" s="306"/>
      <c r="FS32" s="306"/>
      <c r="FT32" s="306"/>
      <c r="FU32" s="306"/>
      <c r="FV32" s="306"/>
      <c r="FW32" s="306"/>
      <c r="FX32" s="306"/>
      <c r="FY32" s="306"/>
      <c r="FZ32" s="306"/>
      <c r="GA32" s="306"/>
      <c r="GB32" s="306"/>
      <c r="GC32" s="306"/>
      <c r="GD32" s="306"/>
      <c r="GE32" s="306"/>
      <c r="GF32" s="306"/>
      <c r="GG32" s="306"/>
      <c r="GH32" s="306"/>
      <c r="GI32" s="306"/>
      <c r="GJ32" s="306"/>
      <c r="GK32" s="306"/>
      <c r="GL32" s="306"/>
      <c r="GM32" s="306"/>
      <c r="GN32" s="306"/>
      <c r="GO32" s="306"/>
      <c r="GP32" s="306"/>
      <c r="GQ32" s="306"/>
      <c r="GR32" s="306"/>
      <c r="GS32" s="306"/>
      <c r="GT32" s="306"/>
      <c r="GU32" s="306"/>
      <c r="GV32" s="306"/>
      <c r="GW32" s="306"/>
      <c r="GX32" s="306"/>
      <c r="GY32" s="306"/>
      <c r="GZ32" s="306"/>
      <c r="HA32" s="306"/>
      <c r="HB32" s="306"/>
      <c r="HC32" s="306"/>
      <c r="HD32" s="306"/>
      <c r="HE32" s="306"/>
      <c r="HF32" s="306"/>
      <c r="HG32" s="306"/>
      <c r="HH32" s="306"/>
      <c r="HI32" s="306"/>
      <c r="HJ32" s="306"/>
      <c r="HK32" s="306"/>
      <c r="HL32" s="306"/>
      <c r="HM32" s="307"/>
      <c r="HN32" s="307"/>
      <c r="HO32" s="307"/>
      <c r="HP32" s="307"/>
      <c r="HQ32" s="307"/>
      <c r="HR32" s="307"/>
      <c r="HS32" s="307"/>
      <c r="HT32" s="307"/>
      <c r="HU32" s="303"/>
      <c r="HV32" s="303"/>
      <c r="HW32" s="303"/>
      <c r="HX32" s="303"/>
      <c r="HY32" s="303"/>
      <c r="HZ32" s="303"/>
      <c r="IA32" s="303"/>
      <c r="IB32" s="303"/>
      <c r="IC32" s="303"/>
      <c r="ID32" s="303"/>
      <c r="IE32" s="303"/>
      <c r="IF32" s="303"/>
      <c r="IG32" s="303"/>
      <c r="IH32" s="303"/>
      <c r="II32" s="303"/>
      <c r="IJ32" s="303"/>
      <c r="IK32" s="303"/>
      <c r="IL32" s="303"/>
      <c r="IM32" s="303"/>
      <c r="IN32" s="303"/>
      <c r="IO32" s="303"/>
      <c r="IP32" s="303"/>
      <c r="IQ32" s="303"/>
      <c r="IR32" s="303"/>
      <c r="IS32" s="303"/>
      <c r="IT32" s="303"/>
      <c r="IU32" s="303"/>
      <c r="IV32" s="303"/>
      <c r="IW32" s="303"/>
      <c r="IX32" s="303"/>
      <c r="IY32" s="303"/>
      <c r="IZ32" s="303"/>
      <c r="JA32" s="303"/>
      <c r="JB32" s="303"/>
      <c r="JC32" s="303"/>
      <c r="JD32" s="303"/>
      <c r="JE32" s="303"/>
      <c r="JF32" s="303"/>
      <c r="JG32" s="303"/>
      <c r="JH32" s="303"/>
      <c r="JI32" s="303"/>
      <c r="JJ32" s="303"/>
      <c r="JK32" s="303"/>
      <c r="JL32" s="303"/>
      <c r="JM32" s="303"/>
      <c r="JN32" s="303"/>
      <c r="JO32" s="303"/>
      <c r="JP32" s="303"/>
      <c r="JQ32" s="303"/>
      <c r="JR32" s="303"/>
      <c r="JS32" s="303"/>
      <c r="JT32" s="303"/>
      <c r="JU32" s="303"/>
      <c r="JV32" s="303"/>
      <c r="JW32" s="303"/>
      <c r="JX32" s="303"/>
      <c r="JY32" s="303"/>
      <c r="JZ32" s="303"/>
      <c r="KA32" s="303"/>
      <c r="KB32" s="303"/>
      <c r="KC32" s="303"/>
      <c r="KD32" s="303"/>
      <c r="KE32" s="303"/>
      <c r="KF32" s="303"/>
      <c r="KG32" s="303"/>
      <c r="KH32" s="303"/>
      <c r="KI32" s="303"/>
      <c r="KJ32" s="303"/>
      <c r="KK32" s="303"/>
      <c r="KL32" s="303"/>
      <c r="KM32" s="303"/>
      <c r="KN32" s="303"/>
      <c r="KO32" s="303"/>
      <c r="KP32" s="303"/>
      <c r="KQ32" s="303"/>
      <c r="KR32" s="303"/>
      <c r="KS32" s="303"/>
      <c r="KT32" s="303"/>
      <c r="KU32" s="303"/>
      <c r="KV32" s="303"/>
      <c r="KW32" s="303"/>
      <c r="KX32" s="303"/>
      <c r="KY32" s="303"/>
      <c r="KZ32" s="303"/>
      <c r="LA32" s="303"/>
      <c r="LB32" s="303"/>
      <c r="LC32" s="303"/>
      <c r="LD32" s="303"/>
      <c r="LE32" s="303"/>
      <c r="LF32" s="303"/>
      <c r="LG32" s="303"/>
      <c r="LH32" s="303"/>
      <c r="LI32" s="303"/>
      <c r="LJ32" s="303"/>
      <c r="LK32" s="303"/>
      <c r="LL32" s="303"/>
      <c r="LM32" s="303"/>
      <c r="LN32" s="303"/>
      <c r="LO32" s="303"/>
      <c r="LP32" s="303"/>
      <c r="LQ32" s="303"/>
      <c r="LR32" s="303"/>
      <c r="LS32" s="303"/>
      <c r="LT32" s="303"/>
      <c r="LU32" s="303"/>
      <c r="LV32" s="303"/>
      <c r="LW32" s="303"/>
      <c r="LX32" s="303"/>
      <c r="LY32" s="303"/>
      <c r="LZ32" s="303"/>
      <c r="MA32" s="303"/>
      <c r="MB32" s="303"/>
      <c r="MC32" s="303"/>
      <c r="MD32" s="303"/>
      <c r="ME32" s="303"/>
      <c r="MF32" s="303"/>
      <c r="MG32" s="303"/>
      <c r="MH32" s="303"/>
      <c r="MI32" s="303"/>
      <c r="MJ32" s="303"/>
      <c r="MK32" s="303"/>
      <c r="ML32" s="303"/>
      <c r="MM32" s="303"/>
      <c r="MN32" s="303"/>
      <c r="MO32" s="303"/>
      <c r="MP32" s="303"/>
      <c r="MQ32" s="303"/>
      <c r="MR32" s="303"/>
      <c r="MS32" s="303"/>
      <c r="MT32" s="303"/>
      <c r="MU32" s="303"/>
      <c r="MV32" s="303"/>
      <c r="MW32" s="303"/>
      <c r="MX32" s="303"/>
      <c r="MY32" s="303"/>
      <c r="MZ32" s="303"/>
      <c r="NA32" s="303"/>
      <c r="NB32" s="303"/>
      <c r="NC32" s="303"/>
      <c r="ND32" s="303"/>
      <c r="NE32" s="303"/>
      <c r="NF32" s="303"/>
      <c r="NG32" s="303"/>
      <c r="NH32" s="303"/>
      <c r="NI32" s="303"/>
      <c r="NJ32" s="303"/>
      <c r="NK32" s="303"/>
      <c r="NL32" s="303"/>
      <c r="NM32" s="303"/>
      <c r="NN32" s="303"/>
      <c r="NO32" s="303"/>
      <c r="NP32" s="303"/>
      <c r="NQ32" s="303"/>
      <c r="NR32" s="303"/>
      <c r="NS32" s="303"/>
      <c r="NT32" s="303"/>
      <c r="NU32" s="303"/>
      <c r="NV32" s="303"/>
      <c r="NW32" s="303"/>
      <c r="NX32" s="303"/>
      <c r="NY32" s="303"/>
      <c r="NZ32" s="303"/>
      <c r="OA32" s="303"/>
      <c r="OB32" s="303"/>
      <c r="OC32" s="303"/>
      <c r="OD32" s="303"/>
      <c r="OE32" s="303"/>
      <c r="OF32" s="303"/>
      <c r="OG32" s="303"/>
      <c r="OH32" s="303"/>
      <c r="OI32" s="303"/>
      <c r="OJ32" s="303"/>
      <c r="OK32" s="303"/>
      <c r="OL32" s="303"/>
      <c r="OM32" s="303"/>
      <c r="ON32" s="303"/>
      <c r="OO32" s="303"/>
      <c r="OP32" s="303"/>
      <c r="OQ32" s="303"/>
      <c r="OR32" s="303"/>
      <c r="OS32" s="303"/>
      <c r="OT32" s="303"/>
      <c r="OU32" s="303"/>
      <c r="OV32" s="303"/>
      <c r="OW32" s="303"/>
      <c r="OX32" s="303"/>
      <c r="OY32" s="303"/>
      <c r="OZ32" s="303"/>
      <c r="PA32" s="303"/>
      <c r="PB32" s="303"/>
      <c r="PC32" s="303"/>
      <c r="PD32" s="303"/>
      <c r="PE32" s="303"/>
      <c r="PF32" s="303"/>
      <c r="PG32" s="303"/>
      <c r="PH32" s="303"/>
      <c r="PI32" s="303"/>
      <c r="PJ32" s="303"/>
      <c r="PK32" s="303"/>
      <c r="PL32" s="303"/>
      <c r="PM32" s="303"/>
      <c r="PN32" s="303"/>
      <c r="PO32" s="303"/>
      <c r="PP32" s="303"/>
      <c r="PQ32" s="303"/>
      <c r="PR32" s="303"/>
      <c r="PS32" s="303"/>
      <c r="PT32" s="303"/>
      <c r="PU32" s="303"/>
      <c r="PV32" s="303"/>
      <c r="PW32" s="303"/>
      <c r="PX32" s="303"/>
      <c r="PY32" s="303"/>
      <c r="PZ32" s="303"/>
      <c r="QA32" s="303"/>
      <c r="QB32" s="303"/>
      <c r="QC32" s="303"/>
      <c r="QD32" s="303"/>
      <c r="QE32" s="303"/>
      <c r="QF32" s="303"/>
      <c r="QG32" s="303"/>
      <c r="QH32" s="303"/>
      <c r="QI32" s="303"/>
      <c r="QJ32" s="303"/>
      <c r="QK32" s="303"/>
      <c r="QL32" s="303"/>
      <c r="QM32" s="303"/>
      <c r="QN32" s="303"/>
      <c r="QO32" s="303"/>
      <c r="QP32" s="303"/>
      <c r="QQ32" s="303"/>
      <c r="QR32" s="303"/>
      <c r="QS32" s="303"/>
      <c r="QT32" s="303"/>
      <c r="QU32" s="303"/>
      <c r="QV32" s="303"/>
      <c r="QW32" s="303"/>
      <c r="QX32" s="303"/>
      <c r="QY32" s="303"/>
      <c r="QZ32" s="303"/>
      <c r="RA32" s="303"/>
      <c r="RB32" s="303"/>
      <c r="RC32" s="303"/>
      <c r="RD32" s="303"/>
      <c r="RE32" s="303"/>
      <c r="RF32" s="303"/>
      <c r="RG32" s="303"/>
      <c r="RH32" s="303"/>
      <c r="RI32" s="303"/>
      <c r="RJ32" s="303"/>
      <c r="RK32" s="303"/>
      <c r="RL32" s="303"/>
      <c r="RM32" s="303"/>
      <c r="RN32" s="303"/>
      <c r="RO32" s="303"/>
      <c r="RP32" s="303"/>
      <c r="RQ32" s="303"/>
      <c r="RR32" s="303"/>
      <c r="RS32" s="303"/>
      <c r="RT32" s="303"/>
      <c r="RU32" s="303"/>
      <c r="RV32" s="303"/>
      <c r="RW32" s="303"/>
      <c r="RX32" s="303"/>
      <c r="RY32" s="303"/>
      <c r="RZ32" s="303"/>
      <c r="SA32" s="303"/>
      <c r="SB32" s="303"/>
      <c r="SC32" s="303"/>
      <c r="SD32" s="303"/>
      <c r="SE32" s="303"/>
      <c r="SF32" s="303"/>
      <c r="SG32" s="303"/>
      <c r="SH32" s="303"/>
      <c r="SI32" s="303"/>
      <c r="SJ32" s="303"/>
      <c r="SK32" s="303"/>
      <c r="SL32" s="303"/>
      <c r="SM32" s="303"/>
      <c r="SN32" s="303"/>
      <c r="SO32" s="303"/>
    </row>
    <row r="33" spans="1:509" s="308" customFormat="1" ht="12.95" customHeight="1" thickBot="1" x14ac:dyDescent="0.2">
      <c r="A33" s="303"/>
      <c r="B33" s="304"/>
      <c r="C33" s="325">
        <v>20</v>
      </c>
      <c r="D33" s="999"/>
      <c r="E33" s="1000"/>
      <c r="F33" s="1000"/>
      <c r="G33" s="1000"/>
      <c r="H33" s="1000"/>
      <c r="I33" s="1000"/>
      <c r="J33" s="1001"/>
      <c r="K33" s="304"/>
      <c r="L33" s="363"/>
      <c r="M33" s="330"/>
      <c r="N33" s="331"/>
      <c r="O33" s="338"/>
      <c r="P33" s="339"/>
      <c r="Q33" s="346"/>
      <c r="R33" s="347"/>
      <c r="S33" s="354"/>
      <c r="T33" s="355"/>
      <c r="U33" s="305"/>
      <c r="V33" s="306"/>
      <c r="W33" s="306"/>
      <c r="X33" s="306"/>
      <c r="Y33" s="306"/>
      <c r="Z33" s="306"/>
      <c r="AA33" s="306"/>
      <c r="AB33" s="306"/>
      <c r="AC33" s="306"/>
      <c r="AD33" s="306"/>
      <c r="AE33" s="306"/>
      <c r="AF33" s="306"/>
      <c r="AG33" s="306"/>
      <c r="AH33" s="306"/>
      <c r="AI33" s="306"/>
      <c r="AJ33" s="306"/>
      <c r="AK33" s="306"/>
      <c r="AL33" s="306"/>
      <c r="AM33" s="306"/>
      <c r="AN33" s="306"/>
      <c r="AO33" s="306"/>
      <c r="AP33" s="306"/>
      <c r="AQ33" s="306"/>
      <c r="AR33" s="306"/>
      <c r="AS33" s="306"/>
      <c r="AT33" s="306"/>
      <c r="AU33" s="306"/>
      <c r="AV33" s="306"/>
      <c r="AW33" s="306"/>
      <c r="AX33" s="306"/>
      <c r="AY33" s="306"/>
      <c r="AZ33" s="306"/>
      <c r="BA33" s="306"/>
      <c r="BB33" s="306"/>
      <c r="BC33" s="306"/>
      <c r="BD33" s="306"/>
      <c r="BE33" s="306"/>
      <c r="BF33" s="306"/>
      <c r="BG33" s="306"/>
      <c r="BH33" s="306"/>
      <c r="BI33" s="306"/>
      <c r="BJ33" s="306"/>
      <c r="BK33" s="306"/>
      <c r="BL33" s="306"/>
      <c r="BM33" s="306"/>
      <c r="BN33" s="306"/>
      <c r="BO33" s="306"/>
      <c r="BP33" s="306"/>
      <c r="BQ33" s="306"/>
      <c r="BR33" s="306"/>
      <c r="BS33" s="306"/>
      <c r="BT33" s="306"/>
      <c r="BU33" s="306"/>
      <c r="BV33" s="306"/>
      <c r="BW33" s="306"/>
      <c r="BX33" s="306"/>
      <c r="BY33" s="306"/>
      <c r="BZ33" s="306"/>
      <c r="CA33" s="306"/>
      <c r="CB33" s="306"/>
      <c r="CC33" s="306"/>
      <c r="CD33" s="306"/>
      <c r="CE33" s="306"/>
      <c r="CF33" s="306"/>
      <c r="CG33" s="306"/>
      <c r="CH33" s="306"/>
      <c r="CI33" s="306"/>
      <c r="CJ33" s="306"/>
      <c r="CK33" s="306"/>
      <c r="CL33" s="306"/>
      <c r="CM33" s="306"/>
      <c r="CN33" s="306"/>
      <c r="CO33" s="306"/>
      <c r="CP33" s="306"/>
      <c r="CQ33" s="306"/>
      <c r="CR33" s="306"/>
      <c r="CS33" s="306"/>
      <c r="CT33" s="306"/>
      <c r="CU33" s="306"/>
      <c r="CV33" s="306"/>
      <c r="CW33" s="306"/>
      <c r="CX33" s="306"/>
      <c r="CY33" s="306"/>
      <c r="CZ33" s="306"/>
      <c r="DA33" s="306"/>
      <c r="DB33" s="306"/>
      <c r="DC33" s="306"/>
      <c r="DD33" s="306"/>
      <c r="DE33" s="306"/>
      <c r="DF33" s="306"/>
      <c r="DG33" s="306"/>
      <c r="DH33" s="306"/>
      <c r="DI33" s="306"/>
      <c r="DJ33" s="306"/>
      <c r="DK33" s="306"/>
      <c r="DL33" s="306"/>
      <c r="DM33" s="306"/>
      <c r="DN33" s="306"/>
      <c r="DO33" s="306"/>
      <c r="DP33" s="306"/>
      <c r="DQ33" s="306"/>
      <c r="DR33" s="306"/>
      <c r="DS33" s="306"/>
      <c r="DT33" s="306"/>
      <c r="DU33" s="306"/>
      <c r="DV33" s="306"/>
      <c r="DW33" s="306"/>
      <c r="DX33" s="306"/>
      <c r="DY33" s="306"/>
      <c r="DZ33" s="306"/>
      <c r="EA33" s="306"/>
      <c r="EB33" s="306"/>
      <c r="EC33" s="306"/>
      <c r="ED33" s="306"/>
      <c r="EE33" s="306"/>
      <c r="EF33" s="306"/>
      <c r="EG33" s="306"/>
      <c r="EH33" s="306"/>
      <c r="EI33" s="306"/>
      <c r="EJ33" s="306"/>
      <c r="EK33" s="306"/>
      <c r="EL33" s="306"/>
      <c r="EM33" s="306"/>
      <c r="EN33" s="306"/>
      <c r="EO33" s="306"/>
      <c r="EP33" s="306"/>
      <c r="EQ33" s="306"/>
      <c r="ER33" s="306"/>
      <c r="ES33" s="306"/>
      <c r="ET33" s="306"/>
      <c r="EU33" s="306"/>
      <c r="EV33" s="306"/>
      <c r="EW33" s="306"/>
      <c r="EX33" s="306"/>
      <c r="EY33" s="306"/>
      <c r="EZ33" s="306"/>
      <c r="FA33" s="306"/>
      <c r="FB33" s="306"/>
      <c r="FC33" s="306"/>
      <c r="FD33" s="306"/>
      <c r="FE33" s="306"/>
      <c r="FF33" s="306"/>
      <c r="FG33" s="306"/>
      <c r="FH33" s="306"/>
      <c r="FI33" s="306"/>
      <c r="FJ33" s="306"/>
      <c r="FK33" s="306"/>
      <c r="FL33" s="306"/>
      <c r="FM33" s="306"/>
      <c r="FN33" s="306"/>
      <c r="FO33" s="306"/>
      <c r="FP33" s="306"/>
      <c r="FQ33" s="306"/>
      <c r="FR33" s="306"/>
      <c r="FS33" s="306"/>
      <c r="FT33" s="306"/>
      <c r="FU33" s="306"/>
      <c r="FV33" s="306"/>
      <c r="FW33" s="306"/>
      <c r="FX33" s="306"/>
      <c r="FY33" s="306"/>
      <c r="FZ33" s="306"/>
      <c r="GA33" s="306"/>
      <c r="GB33" s="306"/>
      <c r="GC33" s="306"/>
      <c r="GD33" s="306"/>
      <c r="GE33" s="306"/>
      <c r="GF33" s="306"/>
      <c r="GG33" s="306"/>
      <c r="GH33" s="306"/>
      <c r="GI33" s="306"/>
      <c r="GJ33" s="306"/>
      <c r="GK33" s="306"/>
      <c r="GL33" s="306"/>
      <c r="GM33" s="306"/>
      <c r="GN33" s="306"/>
      <c r="GO33" s="306"/>
      <c r="GP33" s="306"/>
      <c r="GQ33" s="306"/>
      <c r="GR33" s="306"/>
      <c r="GS33" s="306"/>
      <c r="GT33" s="306"/>
      <c r="GU33" s="306"/>
      <c r="GV33" s="306"/>
      <c r="GW33" s="306"/>
      <c r="GX33" s="306"/>
      <c r="GY33" s="306"/>
      <c r="GZ33" s="306"/>
      <c r="HA33" s="306"/>
      <c r="HB33" s="306"/>
      <c r="HC33" s="306"/>
      <c r="HD33" s="306"/>
      <c r="HE33" s="306"/>
      <c r="HF33" s="306"/>
      <c r="HG33" s="306"/>
      <c r="HH33" s="306"/>
      <c r="HI33" s="306"/>
      <c r="HJ33" s="306"/>
      <c r="HK33" s="306"/>
      <c r="HL33" s="306"/>
      <c r="HM33" s="307"/>
      <c r="HN33" s="307"/>
      <c r="HO33" s="307"/>
      <c r="HP33" s="307"/>
      <c r="HQ33" s="307"/>
      <c r="HR33" s="307"/>
      <c r="HS33" s="307"/>
      <c r="HT33" s="307"/>
      <c r="HU33" s="303"/>
      <c r="HV33" s="303"/>
      <c r="HW33" s="303"/>
      <c r="HX33" s="303"/>
      <c r="HY33" s="303"/>
      <c r="HZ33" s="303"/>
      <c r="IA33" s="303"/>
      <c r="IB33" s="303"/>
      <c r="IC33" s="303"/>
      <c r="ID33" s="303"/>
      <c r="IE33" s="303"/>
      <c r="IF33" s="303"/>
      <c r="IG33" s="303"/>
      <c r="IH33" s="303"/>
      <c r="II33" s="303"/>
      <c r="IJ33" s="303"/>
      <c r="IK33" s="303"/>
      <c r="IL33" s="303"/>
      <c r="IM33" s="303"/>
      <c r="IN33" s="303"/>
      <c r="IO33" s="303"/>
      <c r="IP33" s="303"/>
      <c r="IQ33" s="303"/>
      <c r="IR33" s="303"/>
      <c r="IS33" s="303"/>
      <c r="IT33" s="303"/>
      <c r="IU33" s="303"/>
      <c r="IV33" s="303"/>
      <c r="IW33" s="303"/>
      <c r="IX33" s="303"/>
      <c r="IY33" s="303"/>
      <c r="IZ33" s="303"/>
      <c r="JA33" s="303"/>
      <c r="JB33" s="303"/>
      <c r="JC33" s="303"/>
      <c r="JD33" s="303"/>
      <c r="JE33" s="303"/>
      <c r="JF33" s="303"/>
      <c r="JG33" s="303"/>
      <c r="JH33" s="303"/>
      <c r="JI33" s="303"/>
      <c r="JJ33" s="303"/>
      <c r="JK33" s="303"/>
      <c r="JL33" s="303"/>
      <c r="JM33" s="303"/>
      <c r="JN33" s="303"/>
      <c r="JO33" s="303"/>
      <c r="JP33" s="303"/>
      <c r="JQ33" s="303"/>
      <c r="JR33" s="303"/>
      <c r="JS33" s="303"/>
      <c r="JT33" s="303"/>
      <c r="JU33" s="303"/>
      <c r="JV33" s="303"/>
      <c r="JW33" s="303"/>
      <c r="JX33" s="303"/>
      <c r="JY33" s="303"/>
      <c r="JZ33" s="303"/>
      <c r="KA33" s="303"/>
      <c r="KB33" s="303"/>
      <c r="KC33" s="303"/>
      <c r="KD33" s="303"/>
      <c r="KE33" s="303"/>
      <c r="KF33" s="303"/>
      <c r="KG33" s="303"/>
      <c r="KH33" s="303"/>
      <c r="KI33" s="303"/>
      <c r="KJ33" s="303"/>
      <c r="KK33" s="303"/>
      <c r="KL33" s="303"/>
      <c r="KM33" s="303"/>
      <c r="KN33" s="303"/>
      <c r="KO33" s="303"/>
      <c r="KP33" s="303"/>
      <c r="KQ33" s="303"/>
      <c r="KR33" s="303"/>
      <c r="KS33" s="303"/>
      <c r="KT33" s="303"/>
      <c r="KU33" s="303"/>
      <c r="KV33" s="303"/>
      <c r="KW33" s="303"/>
      <c r="KX33" s="303"/>
      <c r="KY33" s="303"/>
      <c r="KZ33" s="303"/>
      <c r="LA33" s="303"/>
      <c r="LB33" s="303"/>
      <c r="LC33" s="303"/>
      <c r="LD33" s="303"/>
      <c r="LE33" s="303"/>
      <c r="LF33" s="303"/>
      <c r="LG33" s="303"/>
      <c r="LH33" s="303"/>
      <c r="LI33" s="303"/>
      <c r="LJ33" s="303"/>
      <c r="LK33" s="303"/>
      <c r="LL33" s="303"/>
      <c r="LM33" s="303"/>
      <c r="LN33" s="303"/>
      <c r="LO33" s="303"/>
      <c r="LP33" s="303"/>
      <c r="LQ33" s="303"/>
      <c r="LR33" s="303"/>
      <c r="LS33" s="303"/>
      <c r="LT33" s="303"/>
      <c r="LU33" s="303"/>
      <c r="LV33" s="303"/>
      <c r="LW33" s="303"/>
      <c r="LX33" s="303"/>
      <c r="LY33" s="303"/>
      <c r="LZ33" s="303"/>
      <c r="MA33" s="303"/>
      <c r="MB33" s="303"/>
      <c r="MC33" s="303"/>
      <c r="MD33" s="303"/>
      <c r="ME33" s="303"/>
      <c r="MF33" s="303"/>
      <c r="MG33" s="303"/>
      <c r="MH33" s="303"/>
      <c r="MI33" s="303"/>
      <c r="MJ33" s="303"/>
      <c r="MK33" s="303"/>
      <c r="ML33" s="303"/>
      <c r="MM33" s="303"/>
      <c r="MN33" s="303"/>
      <c r="MO33" s="303"/>
      <c r="MP33" s="303"/>
      <c r="MQ33" s="303"/>
      <c r="MR33" s="303"/>
      <c r="MS33" s="303"/>
      <c r="MT33" s="303"/>
      <c r="MU33" s="303"/>
      <c r="MV33" s="303"/>
      <c r="MW33" s="303"/>
      <c r="MX33" s="303"/>
      <c r="MY33" s="303"/>
      <c r="MZ33" s="303"/>
      <c r="NA33" s="303"/>
      <c r="NB33" s="303"/>
      <c r="NC33" s="303"/>
      <c r="ND33" s="303"/>
      <c r="NE33" s="303"/>
      <c r="NF33" s="303"/>
      <c r="NG33" s="303"/>
      <c r="NH33" s="303"/>
      <c r="NI33" s="303"/>
      <c r="NJ33" s="303"/>
      <c r="NK33" s="303"/>
      <c r="NL33" s="303"/>
      <c r="NM33" s="303"/>
      <c r="NN33" s="303"/>
      <c r="NO33" s="303"/>
      <c r="NP33" s="303"/>
      <c r="NQ33" s="303"/>
      <c r="NR33" s="303"/>
      <c r="NS33" s="303"/>
      <c r="NT33" s="303"/>
      <c r="NU33" s="303"/>
      <c r="NV33" s="303"/>
      <c r="NW33" s="303"/>
      <c r="NX33" s="303"/>
      <c r="NY33" s="303"/>
      <c r="NZ33" s="303"/>
      <c r="OA33" s="303"/>
      <c r="OB33" s="303"/>
      <c r="OC33" s="303"/>
      <c r="OD33" s="303"/>
      <c r="OE33" s="303"/>
      <c r="OF33" s="303"/>
      <c r="OG33" s="303"/>
      <c r="OH33" s="303"/>
      <c r="OI33" s="303"/>
      <c r="OJ33" s="303"/>
      <c r="OK33" s="303"/>
      <c r="OL33" s="303"/>
      <c r="OM33" s="303"/>
      <c r="ON33" s="303"/>
      <c r="OO33" s="303"/>
      <c r="OP33" s="303"/>
      <c r="OQ33" s="303"/>
      <c r="OR33" s="303"/>
      <c r="OS33" s="303"/>
      <c r="OT33" s="303"/>
      <c r="OU33" s="303"/>
      <c r="OV33" s="303"/>
      <c r="OW33" s="303"/>
      <c r="OX33" s="303"/>
      <c r="OY33" s="303"/>
      <c r="OZ33" s="303"/>
      <c r="PA33" s="303"/>
      <c r="PB33" s="303"/>
      <c r="PC33" s="303"/>
      <c r="PD33" s="303"/>
      <c r="PE33" s="303"/>
      <c r="PF33" s="303"/>
      <c r="PG33" s="303"/>
      <c r="PH33" s="303"/>
      <c r="PI33" s="303"/>
      <c r="PJ33" s="303"/>
      <c r="PK33" s="303"/>
      <c r="PL33" s="303"/>
      <c r="PM33" s="303"/>
      <c r="PN33" s="303"/>
      <c r="PO33" s="303"/>
      <c r="PP33" s="303"/>
      <c r="PQ33" s="303"/>
      <c r="PR33" s="303"/>
      <c r="PS33" s="303"/>
      <c r="PT33" s="303"/>
      <c r="PU33" s="303"/>
      <c r="PV33" s="303"/>
      <c r="PW33" s="303"/>
      <c r="PX33" s="303"/>
      <c r="PY33" s="303"/>
      <c r="PZ33" s="303"/>
      <c r="QA33" s="303"/>
      <c r="QB33" s="303"/>
      <c r="QC33" s="303"/>
      <c r="QD33" s="303"/>
      <c r="QE33" s="303"/>
      <c r="QF33" s="303"/>
      <c r="QG33" s="303"/>
      <c r="QH33" s="303"/>
      <c r="QI33" s="303"/>
      <c r="QJ33" s="303"/>
      <c r="QK33" s="303"/>
      <c r="QL33" s="303"/>
      <c r="QM33" s="303"/>
      <c r="QN33" s="303"/>
      <c r="QO33" s="303"/>
      <c r="QP33" s="303"/>
      <c r="QQ33" s="303"/>
      <c r="QR33" s="303"/>
      <c r="QS33" s="303"/>
      <c r="QT33" s="303"/>
      <c r="QU33" s="303"/>
      <c r="QV33" s="303"/>
      <c r="QW33" s="303"/>
      <c r="QX33" s="303"/>
      <c r="QY33" s="303"/>
      <c r="QZ33" s="303"/>
      <c r="RA33" s="303"/>
      <c r="RB33" s="303"/>
      <c r="RC33" s="303"/>
      <c r="RD33" s="303"/>
      <c r="RE33" s="303"/>
      <c r="RF33" s="303"/>
      <c r="RG33" s="303"/>
      <c r="RH33" s="303"/>
      <c r="RI33" s="303"/>
      <c r="RJ33" s="303"/>
      <c r="RK33" s="303"/>
      <c r="RL33" s="303"/>
      <c r="RM33" s="303"/>
      <c r="RN33" s="303"/>
      <c r="RO33" s="303"/>
      <c r="RP33" s="303"/>
      <c r="RQ33" s="303"/>
      <c r="RR33" s="303"/>
      <c r="RS33" s="303"/>
      <c r="RT33" s="303"/>
      <c r="RU33" s="303"/>
      <c r="RV33" s="303"/>
      <c r="RW33" s="303"/>
      <c r="RX33" s="303"/>
      <c r="RY33" s="303"/>
      <c r="RZ33" s="303"/>
      <c r="SA33" s="303"/>
      <c r="SB33" s="303"/>
      <c r="SC33" s="303"/>
      <c r="SD33" s="303"/>
      <c r="SE33" s="303"/>
      <c r="SF33" s="303"/>
      <c r="SG33" s="303"/>
      <c r="SH33" s="303"/>
      <c r="SI33" s="303"/>
      <c r="SJ33" s="303"/>
      <c r="SK33" s="303"/>
      <c r="SL33" s="303"/>
      <c r="SM33" s="303"/>
      <c r="SN33" s="303"/>
      <c r="SO33" s="303"/>
    </row>
    <row r="34" spans="1:509" s="308" customFormat="1" ht="12.95" customHeight="1" thickBot="1" x14ac:dyDescent="0.2">
      <c r="A34" s="303"/>
      <c r="B34" s="304"/>
      <c r="C34" s="325">
        <v>21</v>
      </c>
      <c r="D34" s="999"/>
      <c r="E34" s="1000"/>
      <c r="F34" s="1000"/>
      <c r="G34" s="1000"/>
      <c r="H34" s="1000"/>
      <c r="I34" s="1000"/>
      <c r="J34" s="1001"/>
      <c r="K34" s="304"/>
      <c r="L34" s="363"/>
      <c r="M34" s="330"/>
      <c r="N34" s="331"/>
      <c r="O34" s="338"/>
      <c r="P34" s="339"/>
      <c r="Q34" s="346"/>
      <c r="R34" s="347"/>
      <c r="S34" s="354"/>
      <c r="T34" s="355"/>
      <c r="U34" s="305"/>
      <c r="V34" s="306"/>
      <c r="W34" s="306"/>
      <c r="X34" s="306"/>
      <c r="Y34" s="306"/>
      <c r="Z34" s="306"/>
      <c r="AA34" s="306"/>
      <c r="AB34" s="306"/>
      <c r="AC34" s="306"/>
      <c r="AD34" s="306"/>
      <c r="AE34" s="306"/>
      <c r="AF34" s="306"/>
      <c r="AG34" s="306"/>
      <c r="AH34" s="306"/>
      <c r="AI34" s="306"/>
      <c r="AJ34" s="306"/>
      <c r="AK34" s="306"/>
      <c r="AL34" s="306"/>
      <c r="AM34" s="306"/>
      <c r="AN34" s="306"/>
      <c r="AO34" s="306"/>
      <c r="AP34" s="306"/>
      <c r="AQ34" s="306"/>
      <c r="AR34" s="306"/>
      <c r="AS34" s="306"/>
      <c r="AT34" s="306"/>
      <c r="AU34" s="306"/>
      <c r="AV34" s="306"/>
      <c r="AW34" s="306"/>
      <c r="AX34" s="306"/>
      <c r="AY34" s="306"/>
      <c r="AZ34" s="306"/>
      <c r="BA34" s="306"/>
      <c r="BB34" s="306"/>
      <c r="BC34" s="306"/>
      <c r="BD34" s="306"/>
      <c r="BE34" s="306"/>
      <c r="BF34" s="306"/>
      <c r="BG34" s="306"/>
      <c r="BH34" s="306"/>
      <c r="BI34" s="306"/>
      <c r="BJ34" s="306"/>
      <c r="BK34" s="306"/>
      <c r="BL34" s="306"/>
      <c r="BM34" s="306"/>
      <c r="BN34" s="306"/>
      <c r="BO34" s="306"/>
      <c r="BP34" s="306"/>
      <c r="BQ34" s="306"/>
      <c r="BR34" s="306"/>
      <c r="BS34" s="306"/>
      <c r="BT34" s="306"/>
      <c r="BU34" s="306"/>
      <c r="BV34" s="306"/>
      <c r="BW34" s="306"/>
      <c r="BX34" s="306"/>
      <c r="BY34" s="306"/>
      <c r="BZ34" s="306"/>
      <c r="CA34" s="306"/>
      <c r="CB34" s="306"/>
      <c r="CC34" s="306"/>
      <c r="CD34" s="306"/>
      <c r="CE34" s="306"/>
      <c r="CF34" s="306"/>
      <c r="CG34" s="306"/>
      <c r="CH34" s="306"/>
      <c r="CI34" s="306"/>
      <c r="CJ34" s="306"/>
      <c r="CK34" s="306"/>
      <c r="CL34" s="306"/>
      <c r="CM34" s="306"/>
      <c r="CN34" s="306"/>
      <c r="CO34" s="306"/>
      <c r="CP34" s="306"/>
      <c r="CQ34" s="306"/>
      <c r="CR34" s="306"/>
      <c r="CS34" s="306"/>
      <c r="CT34" s="306"/>
      <c r="CU34" s="306"/>
      <c r="CV34" s="306"/>
      <c r="CW34" s="306"/>
      <c r="CX34" s="306"/>
      <c r="CY34" s="306"/>
      <c r="CZ34" s="306"/>
      <c r="DA34" s="306"/>
      <c r="DB34" s="306"/>
      <c r="DC34" s="306"/>
      <c r="DD34" s="306"/>
      <c r="DE34" s="306"/>
      <c r="DF34" s="306"/>
      <c r="DG34" s="306"/>
      <c r="DH34" s="306"/>
      <c r="DI34" s="306"/>
      <c r="DJ34" s="306"/>
      <c r="DK34" s="306"/>
      <c r="DL34" s="306"/>
      <c r="DM34" s="306"/>
      <c r="DN34" s="306"/>
      <c r="DO34" s="306"/>
      <c r="DP34" s="306"/>
      <c r="DQ34" s="306"/>
      <c r="DR34" s="306"/>
      <c r="DS34" s="306"/>
      <c r="DT34" s="306"/>
      <c r="DU34" s="306"/>
      <c r="DV34" s="306"/>
      <c r="DW34" s="306"/>
      <c r="DX34" s="306"/>
      <c r="DY34" s="306"/>
      <c r="DZ34" s="306"/>
      <c r="EA34" s="306"/>
      <c r="EB34" s="306"/>
      <c r="EC34" s="306"/>
      <c r="ED34" s="306"/>
      <c r="EE34" s="306"/>
      <c r="EF34" s="306"/>
      <c r="EG34" s="306"/>
      <c r="EH34" s="306"/>
      <c r="EI34" s="306"/>
      <c r="EJ34" s="306"/>
      <c r="EK34" s="306"/>
      <c r="EL34" s="306"/>
      <c r="EM34" s="306"/>
      <c r="EN34" s="306"/>
      <c r="EO34" s="306"/>
      <c r="EP34" s="306"/>
      <c r="EQ34" s="306"/>
      <c r="ER34" s="306"/>
      <c r="ES34" s="306"/>
      <c r="ET34" s="306"/>
      <c r="EU34" s="306"/>
      <c r="EV34" s="306"/>
      <c r="EW34" s="306"/>
      <c r="EX34" s="306"/>
      <c r="EY34" s="306"/>
      <c r="EZ34" s="306"/>
      <c r="FA34" s="306"/>
      <c r="FB34" s="306"/>
      <c r="FC34" s="306"/>
      <c r="FD34" s="306"/>
      <c r="FE34" s="306"/>
      <c r="FF34" s="306"/>
      <c r="FG34" s="306"/>
      <c r="FH34" s="306"/>
      <c r="FI34" s="306"/>
      <c r="FJ34" s="306"/>
      <c r="FK34" s="306"/>
      <c r="FL34" s="306"/>
      <c r="FM34" s="306"/>
      <c r="FN34" s="306"/>
      <c r="FO34" s="306"/>
      <c r="FP34" s="306"/>
      <c r="FQ34" s="306"/>
      <c r="FR34" s="306"/>
      <c r="FS34" s="306"/>
      <c r="FT34" s="306"/>
      <c r="FU34" s="306"/>
      <c r="FV34" s="306"/>
      <c r="FW34" s="306"/>
      <c r="FX34" s="306"/>
      <c r="FY34" s="306"/>
      <c r="FZ34" s="306"/>
      <c r="GA34" s="306"/>
      <c r="GB34" s="306"/>
      <c r="GC34" s="306"/>
      <c r="GD34" s="306"/>
      <c r="GE34" s="306"/>
      <c r="GF34" s="306"/>
      <c r="GG34" s="306"/>
      <c r="GH34" s="306"/>
      <c r="GI34" s="306"/>
      <c r="GJ34" s="306"/>
      <c r="GK34" s="306"/>
      <c r="GL34" s="306"/>
      <c r="GM34" s="306"/>
      <c r="GN34" s="306"/>
      <c r="GO34" s="306"/>
      <c r="GP34" s="306"/>
      <c r="GQ34" s="306"/>
      <c r="GR34" s="306"/>
      <c r="GS34" s="306"/>
      <c r="GT34" s="306"/>
      <c r="GU34" s="306"/>
      <c r="GV34" s="306"/>
      <c r="GW34" s="306"/>
      <c r="GX34" s="306"/>
      <c r="GY34" s="306"/>
      <c r="GZ34" s="306"/>
      <c r="HA34" s="306"/>
      <c r="HB34" s="306"/>
      <c r="HC34" s="306"/>
      <c r="HD34" s="306"/>
      <c r="HE34" s="306"/>
      <c r="HF34" s="306"/>
      <c r="HG34" s="306"/>
      <c r="HH34" s="306"/>
      <c r="HI34" s="306"/>
      <c r="HJ34" s="306"/>
      <c r="HK34" s="306"/>
      <c r="HL34" s="306"/>
      <c r="HM34" s="307"/>
      <c r="HN34" s="307"/>
      <c r="HO34" s="307"/>
      <c r="HP34" s="307"/>
      <c r="HQ34" s="307"/>
      <c r="HR34" s="307"/>
      <c r="HS34" s="307"/>
      <c r="HT34" s="307"/>
      <c r="HU34" s="303"/>
      <c r="HV34" s="303"/>
      <c r="HW34" s="303"/>
      <c r="HX34" s="303"/>
      <c r="HY34" s="303"/>
      <c r="HZ34" s="303"/>
      <c r="IA34" s="303"/>
      <c r="IB34" s="303"/>
      <c r="IC34" s="303"/>
      <c r="ID34" s="303"/>
      <c r="IE34" s="303"/>
      <c r="IF34" s="303"/>
      <c r="IG34" s="303"/>
      <c r="IH34" s="303"/>
      <c r="II34" s="303"/>
      <c r="IJ34" s="303"/>
      <c r="IK34" s="303"/>
      <c r="IL34" s="303"/>
      <c r="IM34" s="303"/>
      <c r="IN34" s="303"/>
      <c r="IO34" s="303"/>
      <c r="IP34" s="303"/>
      <c r="IQ34" s="303"/>
      <c r="IR34" s="303"/>
      <c r="IS34" s="303"/>
      <c r="IT34" s="303"/>
      <c r="IU34" s="303"/>
      <c r="IV34" s="303"/>
      <c r="IW34" s="303"/>
      <c r="IX34" s="303"/>
      <c r="IY34" s="303"/>
      <c r="IZ34" s="303"/>
      <c r="JA34" s="303"/>
      <c r="JB34" s="303"/>
      <c r="JC34" s="303"/>
      <c r="JD34" s="303"/>
      <c r="JE34" s="303"/>
      <c r="JF34" s="303"/>
      <c r="JG34" s="303"/>
      <c r="JH34" s="303"/>
      <c r="JI34" s="303"/>
      <c r="JJ34" s="303"/>
      <c r="JK34" s="303"/>
      <c r="JL34" s="303"/>
      <c r="JM34" s="303"/>
      <c r="JN34" s="303"/>
      <c r="JO34" s="303"/>
      <c r="JP34" s="303"/>
      <c r="JQ34" s="303"/>
      <c r="JR34" s="303"/>
      <c r="JS34" s="303"/>
      <c r="JT34" s="303"/>
      <c r="JU34" s="303"/>
      <c r="JV34" s="303"/>
      <c r="JW34" s="303"/>
      <c r="JX34" s="303"/>
      <c r="JY34" s="303"/>
      <c r="JZ34" s="303"/>
      <c r="KA34" s="303"/>
      <c r="KB34" s="303"/>
      <c r="KC34" s="303"/>
      <c r="KD34" s="303"/>
      <c r="KE34" s="303"/>
      <c r="KF34" s="303"/>
      <c r="KG34" s="303"/>
      <c r="KH34" s="303"/>
      <c r="KI34" s="303"/>
      <c r="KJ34" s="303"/>
      <c r="KK34" s="303"/>
      <c r="KL34" s="303"/>
      <c r="KM34" s="303"/>
      <c r="KN34" s="303"/>
      <c r="KO34" s="303"/>
      <c r="KP34" s="303"/>
      <c r="KQ34" s="303"/>
      <c r="KR34" s="303"/>
      <c r="KS34" s="303"/>
      <c r="KT34" s="303"/>
      <c r="KU34" s="303"/>
      <c r="KV34" s="303"/>
      <c r="KW34" s="303"/>
      <c r="KX34" s="303"/>
      <c r="KY34" s="303"/>
      <c r="KZ34" s="303"/>
      <c r="LA34" s="303"/>
      <c r="LB34" s="303"/>
      <c r="LC34" s="303"/>
      <c r="LD34" s="303"/>
      <c r="LE34" s="303"/>
      <c r="LF34" s="303"/>
      <c r="LG34" s="303"/>
      <c r="LH34" s="303"/>
      <c r="LI34" s="303"/>
      <c r="LJ34" s="303"/>
      <c r="LK34" s="303"/>
      <c r="LL34" s="303"/>
      <c r="LM34" s="303"/>
      <c r="LN34" s="303"/>
      <c r="LO34" s="303"/>
      <c r="LP34" s="303"/>
      <c r="LQ34" s="303"/>
      <c r="LR34" s="303"/>
      <c r="LS34" s="303"/>
      <c r="LT34" s="303"/>
      <c r="LU34" s="303"/>
      <c r="LV34" s="303"/>
      <c r="LW34" s="303"/>
      <c r="LX34" s="303"/>
      <c r="LY34" s="303"/>
      <c r="LZ34" s="303"/>
      <c r="MA34" s="303"/>
      <c r="MB34" s="303"/>
      <c r="MC34" s="303"/>
      <c r="MD34" s="303"/>
      <c r="ME34" s="303"/>
      <c r="MF34" s="303"/>
      <c r="MG34" s="303"/>
      <c r="MH34" s="303"/>
      <c r="MI34" s="303"/>
      <c r="MJ34" s="303"/>
      <c r="MK34" s="303"/>
      <c r="ML34" s="303"/>
      <c r="MM34" s="303"/>
      <c r="MN34" s="303"/>
      <c r="MO34" s="303"/>
      <c r="MP34" s="303"/>
      <c r="MQ34" s="303"/>
      <c r="MR34" s="303"/>
      <c r="MS34" s="303"/>
      <c r="MT34" s="303"/>
      <c r="MU34" s="303"/>
      <c r="MV34" s="303"/>
      <c r="MW34" s="303"/>
      <c r="MX34" s="303"/>
      <c r="MY34" s="303"/>
      <c r="MZ34" s="303"/>
      <c r="NA34" s="303"/>
      <c r="NB34" s="303"/>
      <c r="NC34" s="303"/>
      <c r="ND34" s="303"/>
      <c r="NE34" s="303"/>
      <c r="NF34" s="303"/>
      <c r="NG34" s="303"/>
      <c r="NH34" s="303"/>
      <c r="NI34" s="303"/>
      <c r="NJ34" s="303"/>
      <c r="NK34" s="303"/>
      <c r="NL34" s="303"/>
      <c r="NM34" s="303"/>
      <c r="NN34" s="303"/>
      <c r="NO34" s="303"/>
      <c r="NP34" s="303"/>
      <c r="NQ34" s="303"/>
      <c r="NR34" s="303"/>
      <c r="NS34" s="303"/>
      <c r="NT34" s="303"/>
      <c r="NU34" s="303"/>
      <c r="NV34" s="303"/>
      <c r="NW34" s="303"/>
      <c r="NX34" s="303"/>
      <c r="NY34" s="303"/>
      <c r="NZ34" s="303"/>
      <c r="OA34" s="303"/>
      <c r="OB34" s="303"/>
      <c r="OC34" s="303"/>
      <c r="OD34" s="303"/>
      <c r="OE34" s="303"/>
      <c r="OF34" s="303"/>
      <c r="OG34" s="303"/>
      <c r="OH34" s="303"/>
      <c r="OI34" s="303"/>
      <c r="OJ34" s="303"/>
      <c r="OK34" s="303"/>
      <c r="OL34" s="303"/>
      <c r="OM34" s="303"/>
      <c r="ON34" s="303"/>
      <c r="OO34" s="303"/>
      <c r="OP34" s="303"/>
      <c r="OQ34" s="303"/>
      <c r="OR34" s="303"/>
      <c r="OS34" s="303"/>
      <c r="OT34" s="303"/>
      <c r="OU34" s="303"/>
      <c r="OV34" s="303"/>
      <c r="OW34" s="303"/>
      <c r="OX34" s="303"/>
      <c r="OY34" s="303"/>
      <c r="OZ34" s="303"/>
      <c r="PA34" s="303"/>
      <c r="PB34" s="303"/>
      <c r="PC34" s="303"/>
      <c r="PD34" s="303"/>
      <c r="PE34" s="303"/>
      <c r="PF34" s="303"/>
      <c r="PG34" s="303"/>
      <c r="PH34" s="303"/>
      <c r="PI34" s="303"/>
      <c r="PJ34" s="303"/>
      <c r="PK34" s="303"/>
      <c r="PL34" s="303"/>
      <c r="PM34" s="303"/>
      <c r="PN34" s="303"/>
      <c r="PO34" s="303"/>
      <c r="PP34" s="303"/>
      <c r="PQ34" s="303"/>
      <c r="PR34" s="303"/>
      <c r="PS34" s="303"/>
      <c r="PT34" s="303"/>
      <c r="PU34" s="303"/>
      <c r="PV34" s="303"/>
      <c r="PW34" s="303"/>
      <c r="PX34" s="303"/>
      <c r="PY34" s="303"/>
      <c r="PZ34" s="303"/>
      <c r="QA34" s="303"/>
      <c r="QB34" s="303"/>
      <c r="QC34" s="303"/>
      <c r="QD34" s="303"/>
      <c r="QE34" s="303"/>
      <c r="QF34" s="303"/>
      <c r="QG34" s="303"/>
      <c r="QH34" s="303"/>
      <c r="QI34" s="303"/>
      <c r="QJ34" s="303"/>
      <c r="QK34" s="303"/>
      <c r="QL34" s="303"/>
      <c r="QM34" s="303"/>
      <c r="QN34" s="303"/>
      <c r="QO34" s="303"/>
      <c r="QP34" s="303"/>
      <c r="QQ34" s="303"/>
      <c r="QR34" s="303"/>
      <c r="QS34" s="303"/>
      <c r="QT34" s="303"/>
      <c r="QU34" s="303"/>
      <c r="QV34" s="303"/>
      <c r="QW34" s="303"/>
      <c r="QX34" s="303"/>
      <c r="QY34" s="303"/>
      <c r="QZ34" s="303"/>
      <c r="RA34" s="303"/>
      <c r="RB34" s="303"/>
      <c r="RC34" s="303"/>
      <c r="RD34" s="303"/>
      <c r="RE34" s="303"/>
      <c r="RF34" s="303"/>
      <c r="RG34" s="303"/>
      <c r="RH34" s="303"/>
      <c r="RI34" s="303"/>
      <c r="RJ34" s="303"/>
      <c r="RK34" s="303"/>
      <c r="RL34" s="303"/>
      <c r="RM34" s="303"/>
      <c r="RN34" s="303"/>
      <c r="RO34" s="303"/>
      <c r="RP34" s="303"/>
      <c r="RQ34" s="303"/>
      <c r="RR34" s="303"/>
      <c r="RS34" s="303"/>
      <c r="RT34" s="303"/>
      <c r="RU34" s="303"/>
      <c r="RV34" s="303"/>
      <c r="RW34" s="303"/>
      <c r="RX34" s="303"/>
      <c r="RY34" s="303"/>
      <c r="RZ34" s="303"/>
      <c r="SA34" s="303"/>
      <c r="SB34" s="303"/>
      <c r="SC34" s="303"/>
      <c r="SD34" s="303"/>
      <c r="SE34" s="303"/>
      <c r="SF34" s="303"/>
      <c r="SG34" s="303"/>
      <c r="SH34" s="303"/>
      <c r="SI34" s="303"/>
      <c r="SJ34" s="303"/>
      <c r="SK34" s="303"/>
      <c r="SL34" s="303"/>
      <c r="SM34" s="303"/>
      <c r="SN34" s="303"/>
      <c r="SO34" s="303"/>
    </row>
    <row r="35" spans="1:509" s="308" customFormat="1" ht="12.95" customHeight="1" thickBot="1" x14ac:dyDescent="0.2">
      <c r="A35" s="303"/>
      <c r="B35" s="304"/>
      <c r="C35" s="325">
        <v>22</v>
      </c>
      <c r="D35" s="999"/>
      <c r="E35" s="1000"/>
      <c r="F35" s="1000"/>
      <c r="G35" s="1000"/>
      <c r="H35" s="1000"/>
      <c r="I35" s="1000"/>
      <c r="J35" s="1001"/>
      <c r="K35" s="304"/>
      <c r="L35" s="363"/>
      <c r="M35" s="330"/>
      <c r="N35" s="331"/>
      <c r="O35" s="338"/>
      <c r="P35" s="339"/>
      <c r="Q35" s="346"/>
      <c r="R35" s="347"/>
      <c r="S35" s="354"/>
      <c r="T35" s="355"/>
      <c r="U35" s="305"/>
      <c r="V35" s="306"/>
      <c r="W35" s="306"/>
      <c r="X35" s="306"/>
      <c r="Y35" s="306"/>
      <c r="Z35" s="306"/>
      <c r="AA35" s="306"/>
      <c r="AB35" s="306"/>
      <c r="AC35" s="306"/>
      <c r="AD35" s="306"/>
      <c r="AE35" s="306"/>
      <c r="AF35" s="306"/>
      <c r="AG35" s="306"/>
      <c r="AH35" s="306"/>
      <c r="AI35" s="306"/>
      <c r="AJ35" s="306"/>
      <c r="AK35" s="306"/>
      <c r="AL35" s="306"/>
      <c r="AM35" s="306"/>
      <c r="AN35" s="306"/>
      <c r="AO35" s="306"/>
      <c r="AP35" s="306"/>
      <c r="AQ35" s="306"/>
      <c r="AR35" s="306"/>
      <c r="AS35" s="306"/>
      <c r="AT35" s="306"/>
      <c r="AU35" s="306"/>
      <c r="AV35" s="306"/>
      <c r="AW35" s="306"/>
      <c r="AX35" s="306"/>
      <c r="AY35" s="306"/>
      <c r="AZ35" s="306"/>
      <c r="BA35" s="306"/>
      <c r="BB35" s="306"/>
      <c r="BC35" s="306"/>
      <c r="BD35" s="306"/>
      <c r="BE35" s="306"/>
      <c r="BF35" s="306"/>
      <c r="BG35" s="306"/>
      <c r="BH35" s="306"/>
      <c r="BI35" s="306"/>
      <c r="BJ35" s="306"/>
      <c r="BK35" s="306"/>
      <c r="BL35" s="306"/>
      <c r="BM35" s="306"/>
      <c r="BN35" s="306"/>
      <c r="BO35" s="306"/>
      <c r="BP35" s="306"/>
      <c r="BQ35" s="306"/>
      <c r="BR35" s="306"/>
      <c r="BS35" s="306"/>
      <c r="BT35" s="306"/>
      <c r="BU35" s="306"/>
      <c r="BV35" s="306"/>
      <c r="BW35" s="306"/>
      <c r="BX35" s="306"/>
      <c r="BY35" s="306"/>
      <c r="BZ35" s="306"/>
      <c r="CA35" s="306"/>
      <c r="CB35" s="306"/>
      <c r="CC35" s="306"/>
      <c r="CD35" s="306"/>
      <c r="CE35" s="306"/>
      <c r="CF35" s="306"/>
      <c r="CG35" s="306"/>
      <c r="CH35" s="306"/>
      <c r="CI35" s="306"/>
      <c r="CJ35" s="306"/>
      <c r="CK35" s="306"/>
      <c r="CL35" s="306"/>
      <c r="CM35" s="306"/>
      <c r="CN35" s="306"/>
      <c r="CO35" s="306"/>
      <c r="CP35" s="306"/>
      <c r="CQ35" s="306"/>
      <c r="CR35" s="306"/>
      <c r="CS35" s="306"/>
      <c r="CT35" s="306"/>
      <c r="CU35" s="306"/>
      <c r="CV35" s="306"/>
      <c r="CW35" s="306"/>
      <c r="CX35" s="306"/>
      <c r="CY35" s="306"/>
      <c r="CZ35" s="306"/>
      <c r="DA35" s="306"/>
      <c r="DB35" s="306"/>
      <c r="DC35" s="306"/>
      <c r="DD35" s="306"/>
      <c r="DE35" s="306"/>
      <c r="DF35" s="306"/>
      <c r="DG35" s="306"/>
      <c r="DH35" s="306"/>
      <c r="DI35" s="306"/>
      <c r="DJ35" s="306"/>
      <c r="DK35" s="306"/>
      <c r="DL35" s="306"/>
      <c r="DM35" s="306"/>
      <c r="DN35" s="306"/>
      <c r="DO35" s="306"/>
      <c r="DP35" s="306"/>
      <c r="DQ35" s="306"/>
      <c r="DR35" s="306"/>
      <c r="DS35" s="306"/>
      <c r="DT35" s="306"/>
      <c r="DU35" s="306"/>
      <c r="DV35" s="306"/>
      <c r="DW35" s="306"/>
      <c r="DX35" s="306"/>
      <c r="DY35" s="306"/>
      <c r="DZ35" s="306"/>
      <c r="EA35" s="306"/>
      <c r="EB35" s="306"/>
      <c r="EC35" s="306"/>
      <c r="ED35" s="306"/>
      <c r="EE35" s="306"/>
      <c r="EF35" s="306"/>
      <c r="EG35" s="306"/>
      <c r="EH35" s="306"/>
      <c r="EI35" s="306"/>
      <c r="EJ35" s="306"/>
      <c r="EK35" s="306"/>
      <c r="EL35" s="306"/>
      <c r="EM35" s="306"/>
      <c r="EN35" s="306"/>
      <c r="EO35" s="306"/>
      <c r="EP35" s="306"/>
      <c r="EQ35" s="306"/>
      <c r="ER35" s="306"/>
      <c r="ES35" s="306"/>
      <c r="ET35" s="306"/>
      <c r="EU35" s="306"/>
      <c r="EV35" s="306"/>
      <c r="EW35" s="306"/>
      <c r="EX35" s="306"/>
      <c r="EY35" s="306"/>
      <c r="EZ35" s="306"/>
      <c r="FA35" s="306"/>
      <c r="FB35" s="306"/>
      <c r="FC35" s="306"/>
      <c r="FD35" s="306"/>
      <c r="FE35" s="306"/>
      <c r="FF35" s="306"/>
      <c r="FG35" s="306"/>
      <c r="FH35" s="306"/>
      <c r="FI35" s="306"/>
      <c r="FJ35" s="306"/>
      <c r="FK35" s="306"/>
      <c r="FL35" s="306"/>
      <c r="FM35" s="306"/>
      <c r="FN35" s="306"/>
      <c r="FO35" s="306"/>
      <c r="FP35" s="306"/>
      <c r="FQ35" s="306"/>
      <c r="FR35" s="306"/>
      <c r="FS35" s="306"/>
      <c r="FT35" s="306"/>
      <c r="FU35" s="306"/>
      <c r="FV35" s="306"/>
      <c r="FW35" s="306"/>
      <c r="FX35" s="306"/>
      <c r="FY35" s="306"/>
      <c r="FZ35" s="306"/>
      <c r="GA35" s="306"/>
      <c r="GB35" s="306"/>
      <c r="GC35" s="306"/>
      <c r="GD35" s="306"/>
      <c r="GE35" s="306"/>
      <c r="GF35" s="306"/>
      <c r="GG35" s="306"/>
      <c r="GH35" s="306"/>
      <c r="GI35" s="306"/>
      <c r="GJ35" s="306"/>
      <c r="GK35" s="306"/>
      <c r="GL35" s="306"/>
      <c r="GM35" s="306"/>
      <c r="GN35" s="306"/>
      <c r="GO35" s="306"/>
      <c r="GP35" s="306"/>
      <c r="GQ35" s="306"/>
      <c r="GR35" s="306"/>
      <c r="GS35" s="306"/>
      <c r="GT35" s="306"/>
      <c r="GU35" s="306"/>
      <c r="GV35" s="306"/>
      <c r="GW35" s="306"/>
      <c r="GX35" s="306"/>
      <c r="GY35" s="306"/>
      <c r="GZ35" s="306"/>
      <c r="HA35" s="306"/>
      <c r="HB35" s="306"/>
      <c r="HC35" s="306"/>
      <c r="HD35" s="306"/>
      <c r="HE35" s="306"/>
      <c r="HF35" s="306"/>
      <c r="HG35" s="306"/>
      <c r="HH35" s="306"/>
      <c r="HI35" s="306"/>
      <c r="HJ35" s="306"/>
      <c r="HK35" s="306"/>
      <c r="HL35" s="306"/>
      <c r="HM35" s="307"/>
      <c r="HN35" s="307"/>
      <c r="HO35" s="307"/>
      <c r="HP35" s="307"/>
      <c r="HQ35" s="307"/>
      <c r="HR35" s="307"/>
      <c r="HS35" s="307"/>
      <c r="HT35" s="307"/>
      <c r="HU35" s="303"/>
      <c r="HV35" s="303"/>
      <c r="HW35" s="303"/>
      <c r="HX35" s="303"/>
      <c r="HY35" s="303"/>
      <c r="HZ35" s="303"/>
      <c r="IA35" s="303"/>
      <c r="IB35" s="303"/>
      <c r="IC35" s="303"/>
      <c r="ID35" s="303"/>
      <c r="IE35" s="303"/>
      <c r="IF35" s="303"/>
      <c r="IG35" s="303"/>
      <c r="IH35" s="303"/>
      <c r="II35" s="303"/>
      <c r="IJ35" s="303"/>
      <c r="IK35" s="303"/>
      <c r="IL35" s="303"/>
      <c r="IM35" s="303"/>
      <c r="IN35" s="303"/>
      <c r="IO35" s="303"/>
      <c r="IP35" s="303"/>
      <c r="IQ35" s="303"/>
      <c r="IR35" s="303"/>
      <c r="IS35" s="303"/>
      <c r="IT35" s="303"/>
      <c r="IU35" s="303"/>
      <c r="IV35" s="303"/>
      <c r="IW35" s="303"/>
      <c r="IX35" s="303"/>
      <c r="IY35" s="303"/>
      <c r="IZ35" s="303"/>
      <c r="JA35" s="303"/>
      <c r="JB35" s="303"/>
      <c r="JC35" s="303"/>
      <c r="JD35" s="303"/>
      <c r="JE35" s="303"/>
      <c r="JF35" s="303"/>
      <c r="JG35" s="303"/>
      <c r="JH35" s="303"/>
      <c r="JI35" s="303"/>
      <c r="JJ35" s="303"/>
      <c r="JK35" s="303"/>
      <c r="JL35" s="303"/>
      <c r="JM35" s="303"/>
      <c r="JN35" s="303"/>
      <c r="JO35" s="303"/>
      <c r="JP35" s="303"/>
      <c r="JQ35" s="303"/>
      <c r="JR35" s="303"/>
      <c r="JS35" s="303"/>
      <c r="JT35" s="303"/>
      <c r="JU35" s="303"/>
      <c r="JV35" s="303"/>
      <c r="JW35" s="303"/>
      <c r="JX35" s="303"/>
      <c r="JY35" s="303"/>
      <c r="JZ35" s="303"/>
      <c r="KA35" s="303"/>
      <c r="KB35" s="303"/>
      <c r="KC35" s="303"/>
      <c r="KD35" s="303"/>
      <c r="KE35" s="303"/>
      <c r="KF35" s="303"/>
      <c r="KG35" s="303"/>
      <c r="KH35" s="303"/>
      <c r="KI35" s="303"/>
      <c r="KJ35" s="303"/>
      <c r="KK35" s="303"/>
      <c r="KL35" s="303"/>
      <c r="KM35" s="303"/>
      <c r="KN35" s="303"/>
      <c r="KO35" s="303"/>
      <c r="KP35" s="303"/>
      <c r="KQ35" s="303"/>
      <c r="KR35" s="303"/>
      <c r="KS35" s="303"/>
      <c r="KT35" s="303"/>
      <c r="KU35" s="303"/>
      <c r="KV35" s="303"/>
      <c r="KW35" s="303"/>
      <c r="KX35" s="303"/>
      <c r="KY35" s="303"/>
      <c r="KZ35" s="303"/>
      <c r="LA35" s="303"/>
      <c r="LB35" s="303"/>
      <c r="LC35" s="303"/>
      <c r="LD35" s="303"/>
      <c r="LE35" s="303"/>
      <c r="LF35" s="303"/>
      <c r="LG35" s="303"/>
      <c r="LH35" s="303"/>
      <c r="LI35" s="303"/>
      <c r="LJ35" s="303"/>
      <c r="LK35" s="303"/>
      <c r="LL35" s="303"/>
      <c r="LM35" s="303"/>
      <c r="LN35" s="303"/>
      <c r="LO35" s="303"/>
      <c r="LP35" s="303"/>
      <c r="LQ35" s="303"/>
      <c r="LR35" s="303"/>
      <c r="LS35" s="303"/>
      <c r="LT35" s="303"/>
      <c r="LU35" s="303"/>
      <c r="LV35" s="303"/>
      <c r="LW35" s="303"/>
      <c r="LX35" s="303"/>
      <c r="LY35" s="303"/>
      <c r="LZ35" s="303"/>
      <c r="MA35" s="303"/>
      <c r="MB35" s="303"/>
      <c r="MC35" s="303"/>
      <c r="MD35" s="303"/>
      <c r="ME35" s="303"/>
      <c r="MF35" s="303"/>
      <c r="MG35" s="303"/>
      <c r="MH35" s="303"/>
      <c r="MI35" s="303"/>
      <c r="MJ35" s="303"/>
      <c r="MK35" s="303"/>
      <c r="ML35" s="303"/>
      <c r="MM35" s="303"/>
      <c r="MN35" s="303"/>
      <c r="MO35" s="303"/>
      <c r="MP35" s="303"/>
      <c r="MQ35" s="303"/>
      <c r="MR35" s="303"/>
      <c r="MS35" s="303"/>
      <c r="MT35" s="303"/>
      <c r="MU35" s="303"/>
      <c r="MV35" s="303"/>
      <c r="MW35" s="303"/>
      <c r="MX35" s="303"/>
      <c r="MY35" s="303"/>
      <c r="MZ35" s="303"/>
      <c r="NA35" s="303"/>
      <c r="NB35" s="303"/>
      <c r="NC35" s="303"/>
      <c r="ND35" s="303"/>
      <c r="NE35" s="303"/>
      <c r="NF35" s="303"/>
      <c r="NG35" s="303"/>
      <c r="NH35" s="303"/>
      <c r="NI35" s="303"/>
      <c r="NJ35" s="303"/>
      <c r="NK35" s="303"/>
      <c r="NL35" s="303"/>
      <c r="NM35" s="303"/>
      <c r="NN35" s="303"/>
      <c r="NO35" s="303"/>
      <c r="NP35" s="303"/>
      <c r="NQ35" s="303"/>
      <c r="NR35" s="303"/>
      <c r="NS35" s="303"/>
      <c r="NT35" s="303"/>
      <c r="NU35" s="303"/>
      <c r="NV35" s="303"/>
      <c r="NW35" s="303"/>
      <c r="NX35" s="303"/>
      <c r="NY35" s="303"/>
      <c r="NZ35" s="303"/>
      <c r="OA35" s="303"/>
      <c r="OB35" s="303"/>
      <c r="OC35" s="303"/>
      <c r="OD35" s="303"/>
      <c r="OE35" s="303"/>
      <c r="OF35" s="303"/>
      <c r="OG35" s="303"/>
      <c r="OH35" s="303"/>
      <c r="OI35" s="303"/>
      <c r="OJ35" s="303"/>
      <c r="OK35" s="303"/>
      <c r="OL35" s="303"/>
      <c r="OM35" s="303"/>
      <c r="ON35" s="303"/>
      <c r="OO35" s="303"/>
      <c r="OP35" s="303"/>
      <c r="OQ35" s="303"/>
      <c r="OR35" s="303"/>
      <c r="OS35" s="303"/>
      <c r="OT35" s="303"/>
      <c r="OU35" s="303"/>
      <c r="OV35" s="303"/>
      <c r="OW35" s="303"/>
      <c r="OX35" s="303"/>
      <c r="OY35" s="303"/>
      <c r="OZ35" s="303"/>
      <c r="PA35" s="303"/>
      <c r="PB35" s="303"/>
      <c r="PC35" s="303"/>
      <c r="PD35" s="303"/>
      <c r="PE35" s="303"/>
      <c r="PF35" s="303"/>
      <c r="PG35" s="303"/>
      <c r="PH35" s="303"/>
      <c r="PI35" s="303"/>
      <c r="PJ35" s="303"/>
      <c r="PK35" s="303"/>
      <c r="PL35" s="303"/>
      <c r="PM35" s="303"/>
      <c r="PN35" s="303"/>
      <c r="PO35" s="303"/>
      <c r="PP35" s="303"/>
      <c r="PQ35" s="303"/>
      <c r="PR35" s="303"/>
      <c r="PS35" s="303"/>
      <c r="PT35" s="303"/>
      <c r="PU35" s="303"/>
      <c r="PV35" s="303"/>
      <c r="PW35" s="303"/>
      <c r="PX35" s="303"/>
      <c r="PY35" s="303"/>
      <c r="PZ35" s="303"/>
      <c r="QA35" s="303"/>
      <c r="QB35" s="303"/>
      <c r="QC35" s="303"/>
      <c r="QD35" s="303"/>
      <c r="QE35" s="303"/>
      <c r="QF35" s="303"/>
      <c r="QG35" s="303"/>
      <c r="QH35" s="303"/>
      <c r="QI35" s="303"/>
      <c r="QJ35" s="303"/>
      <c r="QK35" s="303"/>
      <c r="QL35" s="303"/>
      <c r="QM35" s="303"/>
      <c r="QN35" s="303"/>
      <c r="QO35" s="303"/>
      <c r="QP35" s="303"/>
      <c r="QQ35" s="303"/>
      <c r="QR35" s="303"/>
      <c r="QS35" s="303"/>
      <c r="QT35" s="303"/>
      <c r="QU35" s="303"/>
      <c r="QV35" s="303"/>
      <c r="QW35" s="303"/>
      <c r="QX35" s="303"/>
      <c r="QY35" s="303"/>
      <c r="QZ35" s="303"/>
      <c r="RA35" s="303"/>
      <c r="RB35" s="303"/>
      <c r="RC35" s="303"/>
      <c r="RD35" s="303"/>
      <c r="RE35" s="303"/>
      <c r="RF35" s="303"/>
      <c r="RG35" s="303"/>
      <c r="RH35" s="303"/>
      <c r="RI35" s="303"/>
      <c r="RJ35" s="303"/>
      <c r="RK35" s="303"/>
      <c r="RL35" s="303"/>
      <c r="RM35" s="303"/>
      <c r="RN35" s="303"/>
      <c r="RO35" s="303"/>
      <c r="RP35" s="303"/>
      <c r="RQ35" s="303"/>
      <c r="RR35" s="303"/>
      <c r="RS35" s="303"/>
      <c r="RT35" s="303"/>
      <c r="RU35" s="303"/>
      <c r="RV35" s="303"/>
      <c r="RW35" s="303"/>
      <c r="RX35" s="303"/>
      <c r="RY35" s="303"/>
      <c r="RZ35" s="303"/>
      <c r="SA35" s="303"/>
      <c r="SB35" s="303"/>
      <c r="SC35" s="303"/>
      <c r="SD35" s="303"/>
      <c r="SE35" s="303"/>
      <c r="SF35" s="303"/>
      <c r="SG35" s="303"/>
      <c r="SH35" s="303"/>
      <c r="SI35" s="303"/>
      <c r="SJ35" s="303"/>
      <c r="SK35" s="303"/>
      <c r="SL35" s="303"/>
      <c r="SM35" s="303"/>
      <c r="SN35" s="303"/>
      <c r="SO35" s="303"/>
    </row>
    <row r="36" spans="1:509" s="308" customFormat="1" ht="12" customHeight="1" thickBot="1" x14ac:dyDescent="0.2">
      <c r="A36" s="303"/>
      <c r="B36" s="304"/>
      <c r="C36" s="325">
        <v>23</v>
      </c>
      <c r="D36" s="999"/>
      <c r="E36" s="1000"/>
      <c r="F36" s="1000"/>
      <c r="G36" s="1000"/>
      <c r="H36" s="1000"/>
      <c r="I36" s="1000"/>
      <c r="J36" s="1001"/>
      <c r="K36" s="304"/>
      <c r="L36" s="363"/>
      <c r="M36" s="330"/>
      <c r="N36" s="331"/>
      <c r="O36" s="338"/>
      <c r="P36" s="339"/>
      <c r="Q36" s="346"/>
      <c r="R36" s="347"/>
      <c r="S36" s="354"/>
      <c r="T36" s="355"/>
      <c r="U36" s="305"/>
      <c r="V36" s="306"/>
      <c r="W36" s="306"/>
      <c r="X36" s="306"/>
      <c r="Y36" s="306"/>
      <c r="Z36" s="306"/>
      <c r="AA36" s="306"/>
      <c r="AB36" s="306"/>
      <c r="AC36" s="306"/>
      <c r="AD36" s="306"/>
      <c r="AE36" s="306"/>
      <c r="AF36" s="306"/>
      <c r="AG36" s="306"/>
      <c r="AH36" s="306"/>
      <c r="AI36" s="306"/>
      <c r="AJ36" s="306"/>
      <c r="AK36" s="306"/>
      <c r="AL36" s="306"/>
      <c r="AM36" s="306"/>
      <c r="AN36" s="306"/>
      <c r="AO36" s="306"/>
      <c r="AP36" s="306"/>
      <c r="AQ36" s="306"/>
      <c r="AR36" s="306"/>
      <c r="AS36" s="306"/>
      <c r="AT36" s="306"/>
      <c r="AU36" s="306"/>
      <c r="AV36" s="306"/>
      <c r="AW36" s="306"/>
      <c r="AX36" s="306"/>
      <c r="AY36" s="306"/>
      <c r="AZ36" s="306"/>
      <c r="BA36" s="306"/>
      <c r="BB36" s="306"/>
      <c r="BC36" s="306"/>
      <c r="BD36" s="306"/>
      <c r="BE36" s="306"/>
      <c r="BF36" s="306"/>
      <c r="BG36" s="306"/>
      <c r="BH36" s="306"/>
      <c r="BI36" s="306"/>
      <c r="BJ36" s="306"/>
      <c r="BK36" s="306"/>
      <c r="BL36" s="306"/>
      <c r="BM36" s="306"/>
      <c r="BN36" s="306"/>
      <c r="BO36" s="306"/>
      <c r="BP36" s="306"/>
      <c r="BQ36" s="306"/>
      <c r="BR36" s="306"/>
      <c r="BS36" s="306"/>
      <c r="BT36" s="306"/>
      <c r="BU36" s="306"/>
      <c r="BV36" s="306"/>
      <c r="BW36" s="306"/>
      <c r="BX36" s="306"/>
      <c r="BY36" s="306"/>
      <c r="BZ36" s="306"/>
      <c r="CA36" s="306"/>
      <c r="CB36" s="306"/>
      <c r="CC36" s="306"/>
      <c r="CD36" s="306"/>
      <c r="CE36" s="306"/>
      <c r="CF36" s="306"/>
      <c r="CG36" s="306"/>
      <c r="CH36" s="306"/>
      <c r="CI36" s="306"/>
      <c r="CJ36" s="306"/>
      <c r="CK36" s="306"/>
      <c r="CL36" s="306"/>
      <c r="CM36" s="306"/>
      <c r="CN36" s="306"/>
      <c r="CO36" s="306"/>
      <c r="CP36" s="306"/>
      <c r="CQ36" s="306"/>
      <c r="CR36" s="306"/>
      <c r="CS36" s="306"/>
      <c r="CT36" s="306"/>
      <c r="CU36" s="306"/>
      <c r="CV36" s="306"/>
      <c r="CW36" s="306"/>
      <c r="CX36" s="306"/>
      <c r="CY36" s="306"/>
      <c r="CZ36" s="306"/>
      <c r="DA36" s="306"/>
      <c r="DB36" s="306"/>
      <c r="DC36" s="306"/>
      <c r="DD36" s="306"/>
      <c r="DE36" s="306"/>
      <c r="DF36" s="306"/>
      <c r="DG36" s="306"/>
      <c r="DH36" s="306"/>
      <c r="DI36" s="306"/>
      <c r="DJ36" s="306"/>
      <c r="DK36" s="306"/>
      <c r="DL36" s="306"/>
      <c r="DM36" s="306"/>
      <c r="DN36" s="306"/>
      <c r="DO36" s="306"/>
      <c r="DP36" s="306"/>
      <c r="DQ36" s="306"/>
      <c r="DR36" s="306"/>
      <c r="DS36" s="306"/>
      <c r="DT36" s="306"/>
      <c r="DU36" s="306"/>
      <c r="DV36" s="306"/>
      <c r="DW36" s="306"/>
      <c r="DX36" s="306"/>
      <c r="DY36" s="306"/>
      <c r="DZ36" s="306"/>
      <c r="EA36" s="306"/>
      <c r="EB36" s="306"/>
      <c r="EC36" s="306"/>
      <c r="ED36" s="306"/>
      <c r="EE36" s="306"/>
      <c r="EF36" s="306"/>
      <c r="EG36" s="306"/>
      <c r="EH36" s="306"/>
      <c r="EI36" s="306"/>
      <c r="EJ36" s="306"/>
      <c r="EK36" s="306"/>
      <c r="EL36" s="306"/>
      <c r="EM36" s="306"/>
      <c r="EN36" s="306"/>
      <c r="EO36" s="306"/>
      <c r="EP36" s="306"/>
      <c r="EQ36" s="306"/>
      <c r="ER36" s="306"/>
      <c r="ES36" s="306"/>
      <c r="ET36" s="306"/>
      <c r="EU36" s="306"/>
      <c r="EV36" s="306"/>
      <c r="EW36" s="306"/>
      <c r="EX36" s="306"/>
      <c r="EY36" s="306"/>
      <c r="EZ36" s="306"/>
      <c r="FA36" s="306"/>
      <c r="FB36" s="306"/>
      <c r="FC36" s="306"/>
      <c r="FD36" s="306"/>
      <c r="FE36" s="306"/>
      <c r="FF36" s="306"/>
      <c r="FG36" s="306"/>
      <c r="FH36" s="306"/>
      <c r="FI36" s="306"/>
      <c r="FJ36" s="306"/>
      <c r="FK36" s="306"/>
      <c r="FL36" s="306"/>
      <c r="FM36" s="306"/>
      <c r="FN36" s="306"/>
      <c r="FO36" s="306"/>
      <c r="FP36" s="306"/>
      <c r="FQ36" s="306"/>
      <c r="FR36" s="306"/>
      <c r="FS36" s="306"/>
      <c r="FT36" s="306"/>
      <c r="FU36" s="306"/>
      <c r="FV36" s="306"/>
      <c r="FW36" s="306"/>
      <c r="FX36" s="306"/>
      <c r="FY36" s="306"/>
      <c r="FZ36" s="306"/>
      <c r="GA36" s="306"/>
      <c r="GB36" s="306"/>
      <c r="GC36" s="306"/>
      <c r="GD36" s="306"/>
      <c r="GE36" s="306"/>
      <c r="GF36" s="306"/>
      <c r="GG36" s="306"/>
      <c r="GH36" s="306"/>
      <c r="GI36" s="306"/>
      <c r="GJ36" s="306"/>
      <c r="GK36" s="306"/>
      <c r="GL36" s="306"/>
      <c r="GM36" s="306"/>
      <c r="GN36" s="306"/>
      <c r="GO36" s="306"/>
      <c r="GP36" s="306"/>
      <c r="GQ36" s="306"/>
      <c r="GR36" s="306"/>
      <c r="GS36" s="306"/>
      <c r="GT36" s="306"/>
      <c r="GU36" s="306"/>
      <c r="GV36" s="306"/>
      <c r="GW36" s="306"/>
      <c r="GX36" s="306"/>
      <c r="GY36" s="306"/>
      <c r="GZ36" s="306"/>
      <c r="HA36" s="306"/>
      <c r="HB36" s="306"/>
      <c r="HC36" s="306"/>
      <c r="HD36" s="306"/>
      <c r="HE36" s="306"/>
      <c r="HF36" s="306"/>
      <c r="HG36" s="306"/>
      <c r="HH36" s="306"/>
      <c r="HI36" s="306"/>
      <c r="HJ36" s="306"/>
      <c r="HK36" s="306"/>
      <c r="HL36" s="306"/>
      <c r="HM36" s="307"/>
      <c r="HN36" s="307"/>
      <c r="HO36" s="307"/>
      <c r="HP36" s="307"/>
      <c r="HQ36" s="307"/>
      <c r="HR36" s="307"/>
      <c r="HS36" s="307"/>
      <c r="HT36" s="307"/>
      <c r="HU36" s="303"/>
      <c r="HV36" s="303"/>
      <c r="HW36" s="303"/>
      <c r="HX36" s="303"/>
      <c r="HY36" s="303"/>
      <c r="HZ36" s="303"/>
      <c r="IA36" s="303"/>
      <c r="IB36" s="303"/>
      <c r="IC36" s="303"/>
      <c r="ID36" s="303"/>
      <c r="IE36" s="303"/>
      <c r="IF36" s="303"/>
      <c r="IG36" s="303"/>
      <c r="IH36" s="303"/>
      <c r="II36" s="303"/>
      <c r="IJ36" s="303"/>
      <c r="IK36" s="303"/>
      <c r="IL36" s="303"/>
      <c r="IM36" s="303"/>
      <c r="IN36" s="303"/>
      <c r="IO36" s="303"/>
      <c r="IP36" s="303"/>
      <c r="IQ36" s="303"/>
      <c r="IR36" s="303"/>
      <c r="IS36" s="303"/>
      <c r="IT36" s="303"/>
      <c r="IU36" s="303"/>
      <c r="IV36" s="303"/>
      <c r="IW36" s="303"/>
      <c r="IX36" s="303"/>
      <c r="IY36" s="303"/>
      <c r="IZ36" s="303"/>
      <c r="JA36" s="303"/>
      <c r="JB36" s="303"/>
      <c r="JC36" s="303"/>
      <c r="JD36" s="303"/>
      <c r="JE36" s="303"/>
      <c r="JF36" s="303"/>
      <c r="JG36" s="303"/>
      <c r="JH36" s="303"/>
      <c r="JI36" s="303"/>
      <c r="JJ36" s="303"/>
      <c r="JK36" s="303"/>
      <c r="JL36" s="303"/>
      <c r="JM36" s="303"/>
      <c r="JN36" s="303"/>
      <c r="JO36" s="303"/>
      <c r="JP36" s="303"/>
      <c r="JQ36" s="303"/>
      <c r="JR36" s="303"/>
      <c r="JS36" s="303"/>
      <c r="JT36" s="303"/>
      <c r="JU36" s="303"/>
      <c r="JV36" s="303"/>
      <c r="JW36" s="303"/>
      <c r="JX36" s="303"/>
      <c r="JY36" s="303"/>
      <c r="JZ36" s="303"/>
      <c r="KA36" s="303"/>
      <c r="KB36" s="303"/>
      <c r="KC36" s="303"/>
      <c r="KD36" s="303"/>
      <c r="KE36" s="303"/>
      <c r="KF36" s="303"/>
      <c r="KG36" s="303"/>
      <c r="KH36" s="303"/>
      <c r="KI36" s="303"/>
      <c r="KJ36" s="303"/>
      <c r="KK36" s="303"/>
      <c r="KL36" s="303"/>
      <c r="KM36" s="303"/>
      <c r="KN36" s="303"/>
      <c r="KO36" s="303"/>
      <c r="KP36" s="303"/>
      <c r="KQ36" s="303"/>
      <c r="KR36" s="303"/>
      <c r="KS36" s="303"/>
      <c r="KT36" s="303"/>
      <c r="KU36" s="303"/>
      <c r="KV36" s="303"/>
      <c r="KW36" s="303"/>
      <c r="KX36" s="303"/>
      <c r="KY36" s="303"/>
      <c r="KZ36" s="303"/>
      <c r="LA36" s="303"/>
      <c r="LB36" s="303"/>
      <c r="LC36" s="303"/>
      <c r="LD36" s="303"/>
      <c r="LE36" s="303"/>
      <c r="LF36" s="303"/>
      <c r="LG36" s="303"/>
      <c r="LH36" s="303"/>
      <c r="LI36" s="303"/>
      <c r="LJ36" s="303"/>
      <c r="LK36" s="303"/>
      <c r="LL36" s="303"/>
      <c r="LM36" s="303"/>
      <c r="LN36" s="303"/>
      <c r="LO36" s="303"/>
      <c r="LP36" s="303"/>
      <c r="LQ36" s="303"/>
      <c r="LR36" s="303"/>
      <c r="LS36" s="303"/>
      <c r="LT36" s="303"/>
      <c r="LU36" s="303"/>
      <c r="LV36" s="303"/>
      <c r="LW36" s="303"/>
      <c r="LX36" s="303"/>
      <c r="LY36" s="303"/>
      <c r="LZ36" s="303"/>
      <c r="MA36" s="303"/>
      <c r="MB36" s="303"/>
      <c r="MC36" s="303"/>
      <c r="MD36" s="303"/>
      <c r="ME36" s="303"/>
      <c r="MF36" s="303"/>
      <c r="MG36" s="303"/>
      <c r="MH36" s="303"/>
      <c r="MI36" s="303"/>
      <c r="MJ36" s="303"/>
      <c r="MK36" s="303"/>
      <c r="ML36" s="303"/>
      <c r="MM36" s="303"/>
      <c r="MN36" s="303"/>
      <c r="MO36" s="303"/>
      <c r="MP36" s="303"/>
      <c r="MQ36" s="303"/>
      <c r="MR36" s="303"/>
      <c r="MS36" s="303"/>
      <c r="MT36" s="303"/>
      <c r="MU36" s="303"/>
      <c r="MV36" s="303"/>
      <c r="MW36" s="303"/>
      <c r="MX36" s="303"/>
      <c r="MY36" s="303"/>
      <c r="MZ36" s="303"/>
      <c r="NA36" s="303"/>
      <c r="NB36" s="303"/>
      <c r="NC36" s="303"/>
      <c r="ND36" s="303"/>
      <c r="NE36" s="303"/>
      <c r="NF36" s="303"/>
      <c r="NG36" s="303"/>
      <c r="NH36" s="303"/>
      <c r="NI36" s="303"/>
      <c r="NJ36" s="303"/>
      <c r="NK36" s="303"/>
      <c r="NL36" s="303"/>
      <c r="NM36" s="303"/>
      <c r="NN36" s="303"/>
      <c r="NO36" s="303"/>
      <c r="NP36" s="303"/>
      <c r="NQ36" s="303"/>
      <c r="NR36" s="303"/>
      <c r="NS36" s="303"/>
      <c r="NT36" s="303"/>
      <c r="NU36" s="303"/>
      <c r="NV36" s="303"/>
      <c r="NW36" s="303"/>
      <c r="NX36" s="303"/>
      <c r="NY36" s="303"/>
      <c r="NZ36" s="303"/>
      <c r="OA36" s="303"/>
      <c r="OB36" s="303"/>
      <c r="OC36" s="303"/>
      <c r="OD36" s="303"/>
      <c r="OE36" s="303"/>
      <c r="OF36" s="303"/>
      <c r="OG36" s="303"/>
      <c r="OH36" s="303"/>
      <c r="OI36" s="303"/>
      <c r="OJ36" s="303"/>
      <c r="OK36" s="303"/>
      <c r="OL36" s="303"/>
      <c r="OM36" s="303"/>
      <c r="ON36" s="303"/>
      <c r="OO36" s="303"/>
      <c r="OP36" s="303"/>
      <c r="OQ36" s="303"/>
      <c r="OR36" s="303"/>
      <c r="OS36" s="303"/>
      <c r="OT36" s="303"/>
      <c r="OU36" s="303"/>
      <c r="OV36" s="303"/>
      <c r="OW36" s="303"/>
      <c r="OX36" s="303"/>
      <c r="OY36" s="303"/>
      <c r="OZ36" s="303"/>
      <c r="PA36" s="303"/>
      <c r="PB36" s="303"/>
      <c r="PC36" s="303"/>
      <c r="PD36" s="303"/>
      <c r="PE36" s="303"/>
      <c r="PF36" s="303"/>
      <c r="PG36" s="303"/>
      <c r="PH36" s="303"/>
      <c r="PI36" s="303"/>
      <c r="PJ36" s="303"/>
      <c r="PK36" s="303"/>
      <c r="PL36" s="303"/>
      <c r="PM36" s="303"/>
      <c r="PN36" s="303"/>
      <c r="PO36" s="303"/>
      <c r="PP36" s="303"/>
      <c r="PQ36" s="303"/>
      <c r="PR36" s="303"/>
      <c r="PS36" s="303"/>
      <c r="PT36" s="303"/>
      <c r="PU36" s="303"/>
      <c r="PV36" s="303"/>
      <c r="PW36" s="303"/>
      <c r="PX36" s="303"/>
      <c r="PY36" s="303"/>
      <c r="PZ36" s="303"/>
      <c r="QA36" s="303"/>
      <c r="QB36" s="303"/>
      <c r="QC36" s="303"/>
      <c r="QD36" s="303"/>
      <c r="QE36" s="303"/>
      <c r="QF36" s="303"/>
      <c r="QG36" s="303"/>
      <c r="QH36" s="303"/>
      <c r="QI36" s="303"/>
      <c r="QJ36" s="303"/>
      <c r="QK36" s="303"/>
      <c r="QL36" s="303"/>
      <c r="QM36" s="303"/>
      <c r="QN36" s="303"/>
      <c r="QO36" s="303"/>
      <c r="QP36" s="303"/>
      <c r="QQ36" s="303"/>
      <c r="QR36" s="303"/>
      <c r="QS36" s="303"/>
      <c r="QT36" s="303"/>
      <c r="QU36" s="303"/>
      <c r="QV36" s="303"/>
      <c r="QW36" s="303"/>
      <c r="QX36" s="303"/>
      <c r="QY36" s="303"/>
      <c r="QZ36" s="303"/>
      <c r="RA36" s="303"/>
      <c r="RB36" s="303"/>
      <c r="RC36" s="303"/>
      <c r="RD36" s="303"/>
      <c r="RE36" s="303"/>
      <c r="RF36" s="303"/>
      <c r="RG36" s="303"/>
      <c r="RH36" s="303"/>
      <c r="RI36" s="303"/>
      <c r="RJ36" s="303"/>
      <c r="RK36" s="303"/>
      <c r="RL36" s="303"/>
      <c r="RM36" s="303"/>
      <c r="RN36" s="303"/>
      <c r="RO36" s="303"/>
      <c r="RP36" s="303"/>
      <c r="RQ36" s="303"/>
      <c r="RR36" s="303"/>
      <c r="RS36" s="303"/>
      <c r="RT36" s="303"/>
      <c r="RU36" s="303"/>
      <c r="RV36" s="303"/>
      <c r="RW36" s="303"/>
      <c r="RX36" s="303"/>
      <c r="RY36" s="303"/>
      <c r="RZ36" s="303"/>
      <c r="SA36" s="303"/>
      <c r="SB36" s="303"/>
      <c r="SC36" s="303"/>
      <c r="SD36" s="303"/>
      <c r="SE36" s="303"/>
      <c r="SF36" s="303"/>
      <c r="SG36" s="303"/>
      <c r="SH36" s="303"/>
      <c r="SI36" s="303"/>
      <c r="SJ36" s="303"/>
      <c r="SK36" s="303"/>
      <c r="SL36" s="303"/>
      <c r="SM36" s="303"/>
      <c r="SN36" s="303"/>
      <c r="SO36" s="303"/>
    </row>
    <row r="37" spans="1:509" s="308" customFormat="1" ht="12.95" customHeight="1" thickBot="1" x14ac:dyDescent="0.2">
      <c r="A37" s="303"/>
      <c r="B37" s="304"/>
      <c r="C37" s="325">
        <v>24</v>
      </c>
      <c r="D37" s="999"/>
      <c r="E37" s="1000"/>
      <c r="F37" s="1000"/>
      <c r="G37" s="1000"/>
      <c r="H37" s="1000"/>
      <c r="I37" s="1000"/>
      <c r="J37" s="1001"/>
      <c r="K37" s="304"/>
      <c r="L37" s="363"/>
      <c r="M37" s="330"/>
      <c r="N37" s="331"/>
      <c r="O37" s="338"/>
      <c r="P37" s="339"/>
      <c r="Q37" s="346"/>
      <c r="R37" s="347"/>
      <c r="S37" s="354"/>
      <c r="T37" s="355"/>
      <c r="U37" s="305"/>
      <c r="V37" s="306"/>
      <c r="W37" s="306"/>
      <c r="X37" s="306"/>
      <c r="Y37" s="306"/>
      <c r="Z37" s="306"/>
      <c r="AA37" s="306"/>
      <c r="AB37" s="306"/>
      <c r="AC37" s="306"/>
      <c r="AD37" s="306"/>
      <c r="AE37" s="306"/>
      <c r="AF37" s="306"/>
      <c r="AG37" s="306"/>
      <c r="AH37" s="306"/>
      <c r="AI37" s="306"/>
      <c r="AJ37" s="306"/>
      <c r="AK37" s="306"/>
      <c r="AL37" s="306"/>
      <c r="AM37" s="306"/>
      <c r="AN37" s="306"/>
      <c r="AO37" s="306"/>
      <c r="AP37" s="306"/>
      <c r="AQ37" s="306"/>
      <c r="AR37" s="306"/>
      <c r="AS37" s="306"/>
      <c r="AT37" s="306"/>
      <c r="AU37" s="306"/>
      <c r="AV37" s="306"/>
      <c r="AW37" s="306"/>
      <c r="AX37" s="306"/>
      <c r="AY37" s="306"/>
      <c r="AZ37" s="306"/>
      <c r="BA37" s="306"/>
      <c r="BB37" s="306"/>
      <c r="BC37" s="306"/>
      <c r="BD37" s="306"/>
      <c r="BE37" s="306"/>
      <c r="BF37" s="306"/>
      <c r="BG37" s="306"/>
      <c r="BH37" s="306"/>
      <c r="BI37" s="306"/>
      <c r="BJ37" s="306"/>
      <c r="BK37" s="306"/>
      <c r="BL37" s="306"/>
      <c r="BM37" s="306"/>
      <c r="BN37" s="306"/>
      <c r="BO37" s="306"/>
      <c r="BP37" s="306"/>
      <c r="BQ37" s="306"/>
      <c r="BR37" s="306"/>
      <c r="BS37" s="306"/>
      <c r="BT37" s="306"/>
      <c r="BU37" s="306"/>
      <c r="BV37" s="306"/>
      <c r="BW37" s="306"/>
      <c r="BX37" s="306"/>
      <c r="BY37" s="306"/>
      <c r="BZ37" s="306"/>
      <c r="CA37" s="306"/>
      <c r="CB37" s="306"/>
      <c r="CC37" s="306"/>
      <c r="CD37" s="306"/>
      <c r="CE37" s="306"/>
      <c r="CF37" s="306"/>
      <c r="CG37" s="306"/>
      <c r="CH37" s="306"/>
      <c r="CI37" s="306"/>
      <c r="CJ37" s="306"/>
      <c r="CK37" s="306"/>
      <c r="CL37" s="306"/>
      <c r="CM37" s="306"/>
      <c r="CN37" s="306"/>
      <c r="CO37" s="306"/>
      <c r="CP37" s="306"/>
      <c r="CQ37" s="306"/>
      <c r="CR37" s="306"/>
      <c r="CS37" s="306"/>
      <c r="CT37" s="306"/>
      <c r="CU37" s="306"/>
      <c r="CV37" s="306"/>
      <c r="CW37" s="306"/>
      <c r="CX37" s="306"/>
      <c r="CY37" s="306"/>
      <c r="CZ37" s="306"/>
      <c r="DA37" s="306"/>
      <c r="DB37" s="306"/>
      <c r="DC37" s="306"/>
      <c r="DD37" s="306"/>
      <c r="DE37" s="306"/>
      <c r="DF37" s="306"/>
      <c r="DG37" s="306"/>
      <c r="DH37" s="306"/>
      <c r="DI37" s="306"/>
      <c r="DJ37" s="306"/>
      <c r="DK37" s="306"/>
      <c r="DL37" s="306"/>
      <c r="DM37" s="306"/>
      <c r="DN37" s="306"/>
      <c r="DO37" s="306"/>
      <c r="DP37" s="306"/>
      <c r="DQ37" s="306"/>
      <c r="DR37" s="306"/>
      <c r="DS37" s="306"/>
      <c r="DT37" s="306"/>
      <c r="DU37" s="306"/>
      <c r="DV37" s="306"/>
      <c r="DW37" s="306"/>
      <c r="DX37" s="306"/>
      <c r="DY37" s="306"/>
      <c r="DZ37" s="306"/>
      <c r="EA37" s="306"/>
      <c r="EB37" s="306"/>
      <c r="EC37" s="306"/>
      <c r="ED37" s="306"/>
      <c r="EE37" s="306"/>
      <c r="EF37" s="306"/>
      <c r="EG37" s="306"/>
      <c r="EH37" s="306"/>
      <c r="EI37" s="306"/>
      <c r="EJ37" s="306"/>
      <c r="EK37" s="306"/>
      <c r="EL37" s="306"/>
      <c r="EM37" s="306"/>
      <c r="EN37" s="306"/>
      <c r="EO37" s="306"/>
      <c r="EP37" s="306"/>
      <c r="EQ37" s="306"/>
      <c r="ER37" s="306"/>
      <c r="ES37" s="306"/>
      <c r="ET37" s="306"/>
      <c r="EU37" s="306"/>
      <c r="EV37" s="306"/>
      <c r="EW37" s="306"/>
      <c r="EX37" s="306"/>
      <c r="EY37" s="306"/>
      <c r="EZ37" s="306"/>
      <c r="FA37" s="306"/>
      <c r="FB37" s="306"/>
      <c r="FC37" s="306"/>
      <c r="FD37" s="306"/>
      <c r="FE37" s="306"/>
      <c r="FF37" s="306"/>
      <c r="FG37" s="306"/>
      <c r="FH37" s="306"/>
      <c r="FI37" s="306"/>
      <c r="FJ37" s="306"/>
      <c r="FK37" s="306"/>
      <c r="FL37" s="306"/>
      <c r="FM37" s="306"/>
      <c r="FN37" s="306"/>
      <c r="FO37" s="306"/>
      <c r="FP37" s="306"/>
      <c r="FQ37" s="306"/>
      <c r="FR37" s="306"/>
      <c r="FS37" s="306"/>
      <c r="FT37" s="306"/>
      <c r="FU37" s="306"/>
      <c r="FV37" s="306"/>
      <c r="FW37" s="306"/>
      <c r="FX37" s="306"/>
      <c r="FY37" s="306"/>
      <c r="FZ37" s="306"/>
      <c r="GA37" s="306"/>
      <c r="GB37" s="306"/>
      <c r="GC37" s="306"/>
      <c r="GD37" s="306"/>
      <c r="GE37" s="306"/>
      <c r="GF37" s="306"/>
      <c r="GG37" s="306"/>
      <c r="GH37" s="306"/>
      <c r="GI37" s="306"/>
      <c r="GJ37" s="306"/>
      <c r="GK37" s="306"/>
      <c r="GL37" s="306"/>
      <c r="GM37" s="306"/>
      <c r="GN37" s="306"/>
      <c r="GO37" s="306"/>
      <c r="GP37" s="306"/>
      <c r="GQ37" s="306"/>
      <c r="GR37" s="306"/>
      <c r="GS37" s="306"/>
      <c r="GT37" s="306"/>
      <c r="GU37" s="306"/>
      <c r="GV37" s="306"/>
      <c r="GW37" s="306"/>
      <c r="GX37" s="306"/>
      <c r="GY37" s="306"/>
      <c r="GZ37" s="306"/>
      <c r="HA37" s="306"/>
      <c r="HB37" s="306"/>
      <c r="HC37" s="306"/>
      <c r="HD37" s="306"/>
      <c r="HE37" s="306"/>
      <c r="HF37" s="306"/>
      <c r="HG37" s="306"/>
      <c r="HH37" s="306"/>
      <c r="HI37" s="306"/>
      <c r="HJ37" s="306"/>
      <c r="HK37" s="306"/>
      <c r="HL37" s="306"/>
      <c r="HM37" s="307"/>
      <c r="HN37" s="307"/>
      <c r="HO37" s="307"/>
      <c r="HP37" s="307"/>
      <c r="HQ37" s="307"/>
      <c r="HR37" s="307"/>
      <c r="HS37" s="307"/>
      <c r="HT37" s="307"/>
      <c r="HU37" s="303"/>
      <c r="HV37" s="303"/>
      <c r="HW37" s="303"/>
      <c r="HX37" s="303"/>
      <c r="HY37" s="303"/>
      <c r="HZ37" s="303"/>
      <c r="IA37" s="303"/>
      <c r="IB37" s="303"/>
      <c r="IC37" s="303"/>
      <c r="ID37" s="303"/>
      <c r="IE37" s="303"/>
      <c r="IF37" s="303"/>
      <c r="IG37" s="303"/>
      <c r="IH37" s="303"/>
      <c r="II37" s="303"/>
      <c r="IJ37" s="303"/>
      <c r="IK37" s="303"/>
      <c r="IL37" s="303"/>
      <c r="IM37" s="303"/>
      <c r="IN37" s="303"/>
      <c r="IO37" s="303"/>
      <c r="IP37" s="303"/>
      <c r="IQ37" s="303"/>
      <c r="IR37" s="303"/>
      <c r="IS37" s="303"/>
      <c r="IT37" s="303"/>
      <c r="IU37" s="303"/>
      <c r="IV37" s="303"/>
      <c r="IW37" s="303"/>
      <c r="IX37" s="303"/>
      <c r="IY37" s="303"/>
      <c r="IZ37" s="303"/>
      <c r="JA37" s="303"/>
      <c r="JB37" s="303"/>
      <c r="JC37" s="303"/>
      <c r="JD37" s="303"/>
      <c r="JE37" s="303"/>
      <c r="JF37" s="303"/>
      <c r="JG37" s="303"/>
      <c r="JH37" s="303"/>
      <c r="JI37" s="303"/>
      <c r="JJ37" s="303"/>
      <c r="JK37" s="303"/>
      <c r="JL37" s="303"/>
      <c r="JM37" s="303"/>
      <c r="JN37" s="303"/>
      <c r="JO37" s="303"/>
      <c r="JP37" s="303"/>
      <c r="JQ37" s="303"/>
      <c r="JR37" s="303"/>
      <c r="JS37" s="303"/>
      <c r="JT37" s="303"/>
      <c r="JU37" s="303"/>
      <c r="JV37" s="303"/>
      <c r="JW37" s="303"/>
      <c r="JX37" s="303"/>
      <c r="JY37" s="303"/>
      <c r="JZ37" s="303"/>
      <c r="KA37" s="303"/>
      <c r="KB37" s="303"/>
      <c r="KC37" s="303"/>
      <c r="KD37" s="303"/>
      <c r="KE37" s="303"/>
      <c r="KF37" s="303"/>
      <c r="KG37" s="303"/>
      <c r="KH37" s="303"/>
      <c r="KI37" s="303"/>
      <c r="KJ37" s="303"/>
      <c r="KK37" s="303"/>
      <c r="KL37" s="303"/>
      <c r="KM37" s="303"/>
      <c r="KN37" s="303"/>
      <c r="KO37" s="303"/>
      <c r="KP37" s="303"/>
      <c r="KQ37" s="303"/>
      <c r="KR37" s="303"/>
      <c r="KS37" s="303"/>
      <c r="KT37" s="303"/>
      <c r="KU37" s="303"/>
      <c r="KV37" s="303"/>
      <c r="KW37" s="303"/>
      <c r="KX37" s="303"/>
      <c r="KY37" s="303"/>
      <c r="KZ37" s="303"/>
      <c r="LA37" s="303"/>
      <c r="LB37" s="303"/>
      <c r="LC37" s="303"/>
      <c r="LD37" s="303"/>
      <c r="LE37" s="303"/>
      <c r="LF37" s="303"/>
      <c r="LG37" s="303"/>
      <c r="LH37" s="303"/>
      <c r="LI37" s="303"/>
      <c r="LJ37" s="303"/>
      <c r="LK37" s="303"/>
      <c r="LL37" s="303"/>
      <c r="LM37" s="303"/>
      <c r="LN37" s="303"/>
      <c r="LO37" s="303"/>
      <c r="LP37" s="303"/>
      <c r="LQ37" s="303"/>
      <c r="LR37" s="303"/>
      <c r="LS37" s="303"/>
      <c r="LT37" s="303"/>
      <c r="LU37" s="303"/>
      <c r="LV37" s="303"/>
      <c r="LW37" s="303"/>
      <c r="LX37" s="303"/>
      <c r="LY37" s="303"/>
      <c r="LZ37" s="303"/>
      <c r="MA37" s="303"/>
      <c r="MB37" s="303"/>
      <c r="MC37" s="303"/>
      <c r="MD37" s="303"/>
      <c r="ME37" s="303"/>
      <c r="MF37" s="303"/>
      <c r="MG37" s="303"/>
      <c r="MH37" s="303"/>
      <c r="MI37" s="303"/>
      <c r="MJ37" s="303"/>
      <c r="MK37" s="303"/>
      <c r="ML37" s="303"/>
      <c r="MM37" s="303"/>
      <c r="MN37" s="303"/>
      <c r="MO37" s="303"/>
      <c r="MP37" s="303"/>
      <c r="MQ37" s="303"/>
      <c r="MR37" s="303"/>
      <c r="MS37" s="303"/>
      <c r="MT37" s="303"/>
      <c r="MU37" s="303"/>
      <c r="MV37" s="303"/>
      <c r="MW37" s="303"/>
      <c r="MX37" s="303"/>
      <c r="MY37" s="303"/>
      <c r="MZ37" s="303"/>
      <c r="NA37" s="303"/>
      <c r="NB37" s="303"/>
      <c r="NC37" s="303"/>
      <c r="ND37" s="303"/>
      <c r="NE37" s="303"/>
      <c r="NF37" s="303"/>
      <c r="NG37" s="303"/>
      <c r="NH37" s="303"/>
      <c r="NI37" s="303"/>
      <c r="NJ37" s="303"/>
      <c r="NK37" s="303"/>
      <c r="NL37" s="303"/>
      <c r="NM37" s="303"/>
      <c r="NN37" s="303"/>
      <c r="NO37" s="303"/>
      <c r="NP37" s="303"/>
      <c r="NQ37" s="303"/>
      <c r="NR37" s="303"/>
      <c r="NS37" s="303"/>
      <c r="NT37" s="303"/>
      <c r="NU37" s="303"/>
      <c r="NV37" s="303"/>
      <c r="NW37" s="303"/>
      <c r="NX37" s="303"/>
      <c r="NY37" s="303"/>
      <c r="NZ37" s="303"/>
      <c r="OA37" s="303"/>
      <c r="OB37" s="303"/>
      <c r="OC37" s="303"/>
      <c r="OD37" s="303"/>
      <c r="OE37" s="303"/>
      <c r="OF37" s="303"/>
      <c r="OG37" s="303"/>
      <c r="OH37" s="303"/>
      <c r="OI37" s="303"/>
      <c r="OJ37" s="303"/>
      <c r="OK37" s="303"/>
      <c r="OL37" s="303"/>
      <c r="OM37" s="303"/>
      <c r="ON37" s="303"/>
      <c r="OO37" s="303"/>
      <c r="OP37" s="303"/>
      <c r="OQ37" s="303"/>
      <c r="OR37" s="303"/>
      <c r="OS37" s="303"/>
      <c r="OT37" s="303"/>
      <c r="OU37" s="303"/>
      <c r="OV37" s="303"/>
      <c r="OW37" s="303"/>
      <c r="OX37" s="303"/>
      <c r="OY37" s="303"/>
      <c r="OZ37" s="303"/>
      <c r="PA37" s="303"/>
      <c r="PB37" s="303"/>
      <c r="PC37" s="303"/>
      <c r="PD37" s="303"/>
      <c r="PE37" s="303"/>
      <c r="PF37" s="303"/>
      <c r="PG37" s="303"/>
      <c r="PH37" s="303"/>
      <c r="PI37" s="303"/>
      <c r="PJ37" s="303"/>
      <c r="PK37" s="303"/>
      <c r="PL37" s="303"/>
      <c r="PM37" s="303"/>
      <c r="PN37" s="303"/>
      <c r="PO37" s="303"/>
      <c r="PP37" s="303"/>
      <c r="PQ37" s="303"/>
      <c r="PR37" s="303"/>
      <c r="PS37" s="303"/>
      <c r="PT37" s="303"/>
      <c r="PU37" s="303"/>
      <c r="PV37" s="303"/>
      <c r="PW37" s="303"/>
      <c r="PX37" s="303"/>
      <c r="PY37" s="303"/>
      <c r="PZ37" s="303"/>
      <c r="QA37" s="303"/>
      <c r="QB37" s="303"/>
      <c r="QC37" s="303"/>
      <c r="QD37" s="303"/>
      <c r="QE37" s="303"/>
      <c r="QF37" s="303"/>
      <c r="QG37" s="303"/>
      <c r="QH37" s="303"/>
      <c r="QI37" s="303"/>
      <c r="QJ37" s="303"/>
      <c r="QK37" s="303"/>
      <c r="QL37" s="303"/>
      <c r="QM37" s="303"/>
      <c r="QN37" s="303"/>
      <c r="QO37" s="303"/>
      <c r="QP37" s="303"/>
      <c r="QQ37" s="303"/>
      <c r="QR37" s="303"/>
      <c r="QS37" s="303"/>
      <c r="QT37" s="303"/>
      <c r="QU37" s="303"/>
      <c r="QV37" s="303"/>
      <c r="QW37" s="303"/>
      <c r="QX37" s="303"/>
      <c r="QY37" s="303"/>
      <c r="QZ37" s="303"/>
      <c r="RA37" s="303"/>
      <c r="RB37" s="303"/>
      <c r="RC37" s="303"/>
      <c r="RD37" s="303"/>
      <c r="RE37" s="303"/>
      <c r="RF37" s="303"/>
      <c r="RG37" s="303"/>
      <c r="RH37" s="303"/>
      <c r="RI37" s="303"/>
      <c r="RJ37" s="303"/>
      <c r="RK37" s="303"/>
      <c r="RL37" s="303"/>
      <c r="RM37" s="303"/>
      <c r="RN37" s="303"/>
      <c r="RO37" s="303"/>
      <c r="RP37" s="303"/>
      <c r="RQ37" s="303"/>
      <c r="RR37" s="303"/>
      <c r="RS37" s="303"/>
      <c r="RT37" s="303"/>
      <c r="RU37" s="303"/>
      <c r="RV37" s="303"/>
      <c r="RW37" s="303"/>
      <c r="RX37" s="303"/>
      <c r="RY37" s="303"/>
      <c r="RZ37" s="303"/>
      <c r="SA37" s="303"/>
      <c r="SB37" s="303"/>
      <c r="SC37" s="303"/>
      <c r="SD37" s="303"/>
      <c r="SE37" s="303"/>
      <c r="SF37" s="303"/>
      <c r="SG37" s="303"/>
      <c r="SH37" s="303"/>
      <c r="SI37" s="303"/>
      <c r="SJ37" s="303"/>
      <c r="SK37" s="303"/>
      <c r="SL37" s="303"/>
      <c r="SM37" s="303"/>
      <c r="SN37" s="303"/>
      <c r="SO37" s="303"/>
    </row>
    <row r="38" spans="1:509" s="312" customFormat="1" ht="12.95" customHeight="1" x14ac:dyDescent="0.15">
      <c r="A38" s="310"/>
      <c r="B38" s="311"/>
      <c r="C38" s="325">
        <v>25</v>
      </c>
      <c r="D38" s="999"/>
      <c r="E38" s="1000"/>
      <c r="F38" s="1000"/>
      <c r="G38" s="1000"/>
      <c r="H38" s="1000"/>
      <c r="I38" s="1000"/>
      <c r="J38" s="1001"/>
      <c r="K38" s="322"/>
      <c r="L38" s="363"/>
      <c r="M38" s="330"/>
      <c r="N38" s="331"/>
      <c r="O38" s="338"/>
      <c r="P38" s="339"/>
      <c r="Q38" s="346"/>
      <c r="R38" s="347"/>
      <c r="S38" s="354"/>
      <c r="T38" s="355"/>
      <c r="U38" s="311"/>
      <c r="V38" s="310"/>
      <c r="W38" s="310"/>
      <c r="X38" s="310"/>
      <c r="Y38" s="310"/>
      <c r="Z38" s="310"/>
      <c r="AA38" s="310"/>
      <c r="AB38" s="310"/>
      <c r="AC38" s="310"/>
      <c r="AD38" s="310"/>
      <c r="AE38" s="310"/>
      <c r="AF38" s="310"/>
      <c r="AG38" s="310"/>
      <c r="AH38" s="310"/>
      <c r="AI38" s="310"/>
      <c r="AJ38" s="310"/>
      <c r="AK38" s="310"/>
      <c r="AL38" s="310"/>
      <c r="AM38" s="310"/>
      <c r="AN38" s="310"/>
      <c r="AO38" s="310"/>
      <c r="AP38" s="310"/>
      <c r="AQ38" s="310"/>
      <c r="AR38" s="310"/>
      <c r="AS38" s="310"/>
      <c r="AT38" s="310"/>
      <c r="AU38" s="310"/>
      <c r="AV38" s="310"/>
      <c r="AW38" s="310"/>
      <c r="AX38" s="310"/>
      <c r="AY38" s="310"/>
      <c r="AZ38" s="310"/>
      <c r="BA38" s="310"/>
      <c r="BB38" s="310"/>
      <c r="BC38" s="310"/>
      <c r="BD38" s="310"/>
      <c r="BE38" s="310"/>
      <c r="BF38" s="310"/>
      <c r="BG38" s="310"/>
      <c r="BH38" s="310"/>
      <c r="BI38" s="310"/>
      <c r="BJ38" s="310"/>
      <c r="BK38" s="310"/>
      <c r="BL38" s="310"/>
      <c r="BM38" s="310"/>
      <c r="BN38" s="310"/>
      <c r="BO38" s="310"/>
      <c r="BP38" s="310"/>
      <c r="BQ38" s="310"/>
      <c r="BR38" s="310"/>
      <c r="BS38" s="310"/>
      <c r="BT38" s="310"/>
      <c r="BU38" s="310"/>
      <c r="BV38" s="310"/>
      <c r="BW38" s="310"/>
      <c r="BX38" s="310"/>
      <c r="BY38" s="310"/>
      <c r="BZ38" s="310"/>
      <c r="CA38" s="310"/>
      <c r="CB38" s="310"/>
      <c r="CC38" s="310"/>
      <c r="CD38" s="310"/>
      <c r="CE38" s="310"/>
      <c r="CF38" s="310"/>
      <c r="CG38" s="310"/>
      <c r="CH38" s="310"/>
      <c r="CI38" s="310"/>
      <c r="CJ38" s="310"/>
      <c r="CK38" s="310"/>
      <c r="CL38" s="310"/>
      <c r="CM38" s="310"/>
      <c r="CN38" s="310"/>
      <c r="CO38" s="310"/>
      <c r="CP38" s="310"/>
      <c r="CQ38" s="310"/>
      <c r="CR38" s="310"/>
      <c r="CS38" s="310"/>
      <c r="CT38" s="310"/>
      <c r="CU38" s="310"/>
      <c r="CV38" s="310"/>
      <c r="CW38" s="310"/>
      <c r="CX38" s="310"/>
      <c r="CY38" s="310"/>
      <c r="CZ38" s="310"/>
      <c r="DA38" s="310"/>
      <c r="DB38" s="310"/>
      <c r="DC38" s="310"/>
      <c r="DD38" s="310"/>
      <c r="DE38" s="310"/>
      <c r="DF38" s="310"/>
      <c r="DG38" s="310"/>
      <c r="DH38" s="310"/>
      <c r="DI38" s="310"/>
      <c r="DJ38" s="310"/>
      <c r="DK38" s="310"/>
      <c r="DL38" s="310"/>
      <c r="DM38" s="310"/>
      <c r="DN38" s="310"/>
      <c r="DO38" s="310"/>
      <c r="DP38" s="310"/>
      <c r="DQ38" s="310"/>
      <c r="DR38" s="310"/>
      <c r="DS38" s="310"/>
      <c r="DT38" s="310"/>
      <c r="DU38" s="310"/>
      <c r="DV38" s="310"/>
      <c r="DW38" s="310"/>
      <c r="DX38" s="310"/>
      <c r="DY38" s="310"/>
      <c r="DZ38" s="310"/>
      <c r="EA38" s="310"/>
      <c r="EB38" s="310"/>
      <c r="EC38" s="310"/>
      <c r="ED38" s="310"/>
      <c r="EE38" s="310"/>
      <c r="EF38" s="310"/>
      <c r="EG38" s="310"/>
      <c r="EH38" s="310"/>
      <c r="EI38" s="310"/>
      <c r="EJ38" s="310"/>
      <c r="EK38" s="310"/>
      <c r="EL38" s="310"/>
      <c r="EM38" s="310"/>
      <c r="EN38" s="310"/>
      <c r="EO38" s="310"/>
      <c r="EP38" s="310"/>
      <c r="EQ38" s="310"/>
      <c r="ER38" s="310"/>
      <c r="ES38" s="310"/>
      <c r="ET38" s="310"/>
      <c r="EU38" s="310"/>
      <c r="EV38" s="310"/>
      <c r="EW38" s="310"/>
      <c r="EX38" s="310"/>
      <c r="EY38" s="310"/>
      <c r="EZ38" s="310"/>
      <c r="FA38" s="310"/>
      <c r="FB38" s="310"/>
      <c r="FC38" s="310"/>
      <c r="FD38" s="310"/>
      <c r="FE38" s="310"/>
      <c r="FF38" s="310"/>
      <c r="FG38" s="310"/>
      <c r="FH38" s="310"/>
      <c r="FI38" s="310"/>
      <c r="FJ38" s="310"/>
      <c r="FK38" s="310"/>
      <c r="FL38" s="310"/>
      <c r="FM38" s="310"/>
      <c r="FN38" s="310"/>
      <c r="FO38" s="310"/>
      <c r="FP38" s="310"/>
      <c r="FQ38" s="310"/>
      <c r="FR38" s="310"/>
      <c r="FS38" s="310"/>
      <c r="FT38" s="310"/>
      <c r="FU38" s="310"/>
      <c r="FV38" s="310"/>
      <c r="FW38" s="310"/>
      <c r="FX38" s="310"/>
      <c r="FY38" s="310"/>
      <c r="FZ38" s="310"/>
      <c r="GA38" s="310"/>
      <c r="GB38" s="310"/>
      <c r="GC38" s="310"/>
      <c r="GD38" s="310"/>
      <c r="GE38" s="310"/>
      <c r="GF38" s="310"/>
      <c r="GG38" s="310"/>
      <c r="GH38" s="310"/>
      <c r="GI38" s="310"/>
      <c r="GJ38" s="310"/>
      <c r="GK38" s="310"/>
      <c r="GL38" s="310"/>
      <c r="GM38" s="310"/>
      <c r="GN38" s="310"/>
      <c r="GO38" s="310"/>
      <c r="GP38" s="310"/>
      <c r="GQ38" s="310"/>
      <c r="GR38" s="310"/>
      <c r="GS38" s="310"/>
      <c r="GT38" s="310"/>
      <c r="GU38" s="310"/>
      <c r="GV38" s="310"/>
      <c r="GW38" s="310"/>
      <c r="GX38" s="310"/>
      <c r="GY38" s="310"/>
      <c r="GZ38" s="310"/>
      <c r="HA38" s="310"/>
      <c r="HB38" s="310"/>
      <c r="HC38" s="310"/>
      <c r="HD38" s="310"/>
      <c r="HE38" s="310"/>
      <c r="HF38" s="310"/>
      <c r="HG38" s="310"/>
      <c r="HH38" s="310"/>
      <c r="HI38" s="310"/>
      <c r="HJ38" s="310"/>
      <c r="HK38" s="310"/>
      <c r="HL38" s="310"/>
      <c r="HM38" s="307"/>
      <c r="HN38" s="307"/>
      <c r="HO38" s="307"/>
      <c r="HP38" s="307"/>
      <c r="HQ38" s="307"/>
      <c r="HR38" s="307"/>
      <c r="HS38" s="307"/>
      <c r="HT38" s="307"/>
      <c r="HU38" s="310"/>
      <c r="HV38" s="310"/>
      <c r="HW38" s="310"/>
      <c r="HX38" s="310"/>
      <c r="HY38" s="310"/>
      <c r="HZ38" s="310"/>
      <c r="IA38" s="310"/>
      <c r="IB38" s="310"/>
      <c r="IC38" s="310"/>
      <c r="ID38" s="310"/>
      <c r="IE38" s="310"/>
      <c r="IF38" s="310"/>
      <c r="IG38" s="310"/>
      <c r="IH38" s="310"/>
      <c r="II38" s="310"/>
      <c r="IJ38" s="310"/>
      <c r="IK38" s="310"/>
      <c r="IL38" s="310"/>
      <c r="IM38" s="310"/>
      <c r="IN38" s="310"/>
      <c r="IO38" s="310"/>
      <c r="IP38" s="310"/>
      <c r="IQ38" s="310"/>
      <c r="IR38" s="310"/>
      <c r="IS38" s="310"/>
      <c r="IT38" s="310"/>
      <c r="IU38" s="310"/>
      <c r="IV38" s="310"/>
      <c r="IW38" s="310"/>
      <c r="IX38" s="310"/>
      <c r="IY38" s="310"/>
      <c r="IZ38" s="310"/>
      <c r="JA38" s="310"/>
      <c r="JB38" s="310"/>
      <c r="JC38" s="310"/>
      <c r="JD38" s="310"/>
      <c r="JE38" s="310"/>
      <c r="JF38" s="310"/>
      <c r="JG38" s="310"/>
      <c r="JH38" s="310"/>
      <c r="JI38" s="310"/>
      <c r="JJ38" s="310"/>
      <c r="JK38" s="310"/>
      <c r="JL38" s="310"/>
      <c r="JM38" s="310"/>
      <c r="JN38" s="310"/>
      <c r="JO38" s="310"/>
      <c r="JP38" s="310"/>
      <c r="JQ38" s="310"/>
      <c r="JR38" s="310"/>
      <c r="JS38" s="310"/>
      <c r="JT38" s="310"/>
      <c r="JU38" s="310"/>
      <c r="JV38" s="310"/>
      <c r="JW38" s="310"/>
      <c r="JX38" s="310"/>
      <c r="JY38" s="310"/>
      <c r="JZ38" s="310"/>
      <c r="KA38" s="310"/>
      <c r="KB38" s="310"/>
      <c r="KC38" s="310"/>
      <c r="KD38" s="310"/>
      <c r="KE38" s="310"/>
      <c r="KF38" s="310"/>
      <c r="KG38" s="310"/>
      <c r="KH38" s="310"/>
      <c r="KI38" s="310"/>
      <c r="KJ38" s="310"/>
      <c r="KK38" s="310"/>
      <c r="KL38" s="310"/>
      <c r="KM38" s="310"/>
      <c r="KN38" s="310"/>
      <c r="KO38" s="310"/>
      <c r="KP38" s="310"/>
      <c r="KQ38" s="310"/>
      <c r="KR38" s="310"/>
      <c r="KS38" s="310"/>
      <c r="KT38" s="310"/>
      <c r="KU38" s="310"/>
      <c r="KV38" s="310"/>
      <c r="KW38" s="310"/>
      <c r="KX38" s="310"/>
      <c r="KY38" s="310"/>
      <c r="KZ38" s="310"/>
      <c r="LA38" s="310"/>
      <c r="LB38" s="310"/>
      <c r="LC38" s="310"/>
      <c r="LD38" s="310"/>
      <c r="LE38" s="310"/>
      <c r="LF38" s="310"/>
      <c r="LG38" s="310"/>
      <c r="LH38" s="310"/>
      <c r="LI38" s="310"/>
      <c r="LJ38" s="310"/>
      <c r="LK38" s="310"/>
      <c r="LL38" s="310"/>
      <c r="LM38" s="310"/>
      <c r="LN38" s="310"/>
      <c r="LO38" s="310"/>
      <c r="LP38" s="310"/>
      <c r="LQ38" s="310"/>
      <c r="LR38" s="310"/>
      <c r="LS38" s="310"/>
      <c r="LT38" s="310"/>
      <c r="LU38" s="310"/>
      <c r="LV38" s="310"/>
      <c r="LW38" s="310"/>
      <c r="LX38" s="310"/>
      <c r="LY38" s="310"/>
      <c r="LZ38" s="310"/>
      <c r="MA38" s="310"/>
      <c r="MB38" s="310"/>
      <c r="MC38" s="310"/>
      <c r="MD38" s="310"/>
      <c r="ME38" s="310"/>
      <c r="MF38" s="310"/>
      <c r="MG38" s="310"/>
      <c r="MH38" s="310"/>
      <c r="MI38" s="310"/>
      <c r="MJ38" s="310"/>
      <c r="MK38" s="310"/>
      <c r="ML38" s="310"/>
      <c r="MM38" s="310"/>
      <c r="MN38" s="310"/>
      <c r="MO38" s="310"/>
      <c r="MP38" s="310"/>
      <c r="MQ38" s="310"/>
      <c r="MR38" s="310"/>
      <c r="MS38" s="310"/>
      <c r="MT38" s="310"/>
      <c r="MU38" s="310"/>
      <c r="MV38" s="310"/>
      <c r="MW38" s="310"/>
      <c r="MX38" s="310"/>
      <c r="MY38" s="310"/>
      <c r="MZ38" s="310"/>
      <c r="NA38" s="310"/>
      <c r="NB38" s="310"/>
      <c r="NC38" s="310"/>
      <c r="ND38" s="310"/>
      <c r="NE38" s="310"/>
      <c r="NF38" s="310"/>
      <c r="NG38" s="310"/>
      <c r="NH38" s="310"/>
      <c r="NI38" s="310"/>
      <c r="NJ38" s="310"/>
      <c r="NK38" s="310"/>
      <c r="NL38" s="310"/>
      <c r="NM38" s="310"/>
      <c r="NN38" s="310"/>
      <c r="NO38" s="310"/>
      <c r="NP38" s="310"/>
      <c r="NQ38" s="310"/>
      <c r="NR38" s="310"/>
      <c r="NS38" s="310"/>
      <c r="NT38" s="310"/>
      <c r="NU38" s="310"/>
      <c r="NV38" s="310"/>
      <c r="NW38" s="310"/>
      <c r="NX38" s="310"/>
      <c r="NY38" s="310"/>
      <c r="NZ38" s="310"/>
      <c r="OA38" s="310"/>
      <c r="OB38" s="310"/>
      <c r="OC38" s="310"/>
      <c r="OD38" s="310"/>
      <c r="OE38" s="310"/>
      <c r="OF38" s="310"/>
      <c r="OG38" s="310"/>
      <c r="OH38" s="310"/>
      <c r="OI38" s="310"/>
      <c r="OJ38" s="310"/>
      <c r="OK38" s="310"/>
      <c r="OL38" s="310"/>
      <c r="OM38" s="310"/>
      <c r="ON38" s="310"/>
      <c r="OO38" s="310"/>
      <c r="OP38" s="310"/>
      <c r="OQ38" s="310"/>
      <c r="OR38" s="310"/>
      <c r="OS38" s="310"/>
      <c r="OT38" s="310"/>
      <c r="OU38" s="310"/>
      <c r="OV38" s="310"/>
      <c r="OW38" s="310"/>
      <c r="OX38" s="310"/>
      <c r="OY38" s="310"/>
      <c r="OZ38" s="310"/>
      <c r="PA38" s="310"/>
      <c r="PB38" s="310"/>
      <c r="PC38" s="310"/>
      <c r="PD38" s="310"/>
      <c r="PE38" s="310"/>
      <c r="PF38" s="310"/>
      <c r="PG38" s="310"/>
      <c r="PH38" s="310"/>
      <c r="PI38" s="310"/>
      <c r="PJ38" s="310"/>
      <c r="PK38" s="310"/>
      <c r="PL38" s="310"/>
      <c r="PM38" s="310"/>
      <c r="PN38" s="310"/>
      <c r="PO38" s="310"/>
      <c r="PP38" s="310"/>
      <c r="PQ38" s="310"/>
      <c r="PR38" s="310"/>
      <c r="PS38" s="310"/>
      <c r="PT38" s="310"/>
      <c r="PU38" s="310"/>
      <c r="PV38" s="310"/>
      <c r="PW38" s="310"/>
      <c r="PX38" s="310"/>
      <c r="PY38" s="310"/>
      <c r="PZ38" s="310"/>
      <c r="QA38" s="310"/>
      <c r="QB38" s="310"/>
      <c r="QC38" s="310"/>
      <c r="QD38" s="310"/>
      <c r="QE38" s="310"/>
      <c r="QF38" s="310"/>
      <c r="QG38" s="310"/>
      <c r="QH38" s="310"/>
      <c r="QI38" s="310"/>
      <c r="QJ38" s="310"/>
      <c r="QK38" s="310"/>
      <c r="QL38" s="310"/>
      <c r="QM38" s="310"/>
      <c r="QN38" s="310"/>
      <c r="QO38" s="310"/>
      <c r="QP38" s="310"/>
      <c r="QQ38" s="310"/>
      <c r="QR38" s="310"/>
      <c r="QS38" s="310"/>
      <c r="QT38" s="310"/>
      <c r="QU38" s="310"/>
      <c r="QV38" s="310"/>
      <c r="QW38" s="310"/>
      <c r="QX38" s="310"/>
      <c r="QY38" s="310"/>
      <c r="QZ38" s="310"/>
      <c r="RA38" s="310"/>
      <c r="RB38" s="310"/>
      <c r="RC38" s="310"/>
      <c r="RD38" s="310"/>
      <c r="RE38" s="310"/>
      <c r="RF38" s="310"/>
      <c r="RG38" s="310"/>
      <c r="RH38" s="310"/>
      <c r="RI38" s="310"/>
      <c r="RJ38" s="310"/>
      <c r="RK38" s="310"/>
      <c r="RL38" s="310"/>
      <c r="RM38" s="310"/>
      <c r="RN38" s="310"/>
      <c r="RO38" s="310"/>
      <c r="RP38" s="310"/>
      <c r="RQ38" s="310"/>
      <c r="RR38" s="310"/>
      <c r="RS38" s="310"/>
      <c r="RT38" s="310"/>
      <c r="RU38" s="310"/>
      <c r="RV38" s="310"/>
      <c r="RW38" s="310"/>
      <c r="RX38" s="310"/>
      <c r="RY38" s="310"/>
      <c r="RZ38" s="310"/>
      <c r="SA38" s="310"/>
      <c r="SB38" s="310"/>
      <c r="SC38" s="310"/>
      <c r="SD38" s="310"/>
      <c r="SE38" s="310"/>
      <c r="SF38" s="310"/>
      <c r="SG38" s="310"/>
      <c r="SH38" s="310"/>
      <c r="SI38" s="310"/>
      <c r="SJ38" s="310"/>
      <c r="SK38" s="310"/>
      <c r="SL38" s="310"/>
      <c r="SM38" s="310"/>
      <c r="SN38" s="310"/>
      <c r="SO38" s="310"/>
    </row>
    <row r="39" spans="1:509" s="307" customFormat="1" ht="12" customHeight="1" x14ac:dyDescent="0.15">
      <c r="B39" s="320"/>
      <c r="C39" s="325">
        <v>26</v>
      </c>
      <c r="D39" s="999"/>
      <c r="E39" s="1000"/>
      <c r="F39" s="1000"/>
      <c r="G39" s="1000"/>
      <c r="H39" s="1000"/>
      <c r="I39" s="1000"/>
      <c r="J39" s="1001"/>
      <c r="K39" s="320"/>
      <c r="L39" s="363"/>
      <c r="M39" s="330"/>
      <c r="N39" s="331"/>
      <c r="O39" s="338"/>
      <c r="P39" s="339"/>
      <c r="Q39" s="346"/>
      <c r="R39" s="347"/>
      <c r="S39" s="354"/>
      <c r="T39" s="355"/>
      <c r="U39" s="320"/>
    </row>
    <row r="40" spans="1:509" ht="14.1" customHeight="1" thickBot="1" x14ac:dyDescent="0.2">
      <c r="B40" s="302"/>
      <c r="C40" s="325">
        <v>27</v>
      </c>
      <c r="D40" s="999"/>
      <c r="E40" s="1000"/>
      <c r="F40" s="1000"/>
      <c r="G40" s="1000"/>
      <c r="H40" s="1000"/>
      <c r="I40" s="1000"/>
      <c r="J40" s="1001"/>
      <c r="K40" s="302"/>
      <c r="L40" s="363"/>
      <c r="M40" s="330"/>
      <c r="N40" s="331"/>
      <c r="O40" s="338"/>
      <c r="P40" s="339"/>
      <c r="Q40" s="346"/>
      <c r="R40" s="347"/>
      <c r="S40" s="354"/>
      <c r="T40" s="355"/>
      <c r="U40" s="302"/>
    </row>
    <row r="41" spans="1:509" s="308" customFormat="1" ht="12.95" customHeight="1" thickBot="1" x14ac:dyDescent="0.2">
      <c r="A41" s="303"/>
      <c r="B41" s="304"/>
      <c r="C41" s="325">
        <v>28</v>
      </c>
      <c r="D41" s="999"/>
      <c r="E41" s="1000"/>
      <c r="F41" s="1000"/>
      <c r="G41" s="1000"/>
      <c r="H41" s="1000"/>
      <c r="I41" s="1000"/>
      <c r="J41" s="1001"/>
      <c r="K41" s="304"/>
      <c r="L41" s="363"/>
      <c r="M41" s="330"/>
      <c r="N41" s="331"/>
      <c r="O41" s="338"/>
      <c r="P41" s="339"/>
      <c r="Q41" s="346"/>
      <c r="R41" s="347"/>
      <c r="S41" s="354"/>
      <c r="T41" s="355"/>
      <c r="U41" s="305"/>
      <c r="V41" s="306"/>
      <c r="W41" s="306"/>
      <c r="X41" s="306"/>
      <c r="Y41" s="306"/>
      <c r="Z41" s="306"/>
      <c r="AA41" s="306"/>
      <c r="AB41" s="306"/>
      <c r="AC41" s="306"/>
      <c r="AD41" s="306"/>
      <c r="AE41" s="306"/>
      <c r="AF41" s="306"/>
      <c r="AG41" s="306"/>
      <c r="AH41" s="306"/>
      <c r="AI41" s="306"/>
      <c r="AJ41" s="306"/>
      <c r="AK41" s="306"/>
      <c r="AL41" s="306"/>
      <c r="AM41" s="306"/>
      <c r="AN41" s="306"/>
      <c r="AO41" s="306"/>
      <c r="AP41" s="306"/>
      <c r="AQ41" s="306"/>
      <c r="AR41" s="306"/>
      <c r="AS41" s="306"/>
      <c r="AT41" s="306"/>
      <c r="AU41" s="306"/>
      <c r="AV41" s="306"/>
      <c r="AW41" s="306"/>
      <c r="AX41" s="306"/>
      <c r="AY41" s="306"/>
      <c r="AZ41" s="306"/>
      <c r="BA41" s="306"/>
      <c r="BB41" s="306"/>
      <c r="BC41" s="306"/>
      <c r="BD41" s="306"/>
      <c r="BE41" s="306"/>
      <c r="BF41" s="306"/>
      <c r="BG41" s="306"/>
      <c r="BH41" s="306"/>
      <c r="BI41" s="306"/>
      <c r="BJ41" s="306"/>
      <c r="BK41" s="306"/>
      <c r="BL41" s="306"/>
      <c r="BM41" s="306"/>
      <c r="BN41" s="306"/>
      <c r="BO41" s="306"/>
      <c r="BP41" s="306"/>
      <c r="BQ41" s="306"/>
      <c r="BR41" s="306"/>
      <c r="BS41" s="306"/>
      <c r="BT41" s="306"/>
      <c r="BU41" s="306"/>
      <c r="BV41" s="306"/>
      <c r="BW41" s="306"/>
      <c r="BX41" s="306"/>
      <c r="BY41" s="306"/>
      <c r="BZ41" s="306"/>
      <c r="CA41" s="306"/>
      <c r="CB41" s="306"/>
      <c r="CC41" s="306"/>
      <c r="CD41" s="306"/>
      <c r="CE41" s="306"/>
      <c r="CF41" s="306"/>
      <c r="CG41" s="306"/>
      <c r="CH41" s="306"/>
      <c r="CI41" s="306"/>
      <c r="CJ41" s="306"/>
      <c r="CK41" s="306"/>
      <c r="CL41" s="306"/>
      <c r="CM41" s="306"/>
      <c r="CN41" s="306"/>
      <c r="CO41" s="306"/>
      <c r="CP41" s="306"/>
      <c r="CQ41" s="306"/>
      <c r="CR41" s="306"/>
      <c r="CS41" s="306"/>
      <c r="CT41" s="306"/>
      <c r="CU41" s="306"/>
      <c r="CV41" s="306"/>
      <c r="CW41" s="306"/>
      <c r="CX41" s="306"/>
      <c r="CY41" s="306"/>
      <c r="CZ41" s="306"/>
      <c r="DA41" s="306"/>
      <c r="DB41" s="306"/>
      <c r="DC41" s="306"/>
      <c r="DD41" s="306"/>
      <c r="DE41" s="306"/>
      <c r="DF41" s="306"/>
      <c r="DG41" s="306"/>
      <c r="DH41" s="306"/>
      <c r="DI41" s="306"/>
      <c r="DJ41" s="306"/>
      <c r="DK41" s="306"/>
      <c r="DL41" s="306"/>
      <c r="DM41" s="306"/>
      <c r="DN41" s="306"/>
      <c r="DO41" s="306"/>
      <c r="DP41" s="306"/>
      <c r="DQ41" s="306"/>
      <c r="DR41" s="306"/>
      <c r="DS41" s="306"/>
      <c r="DT41" s="306"/>
      <c r="DU41" s="306"/>
      <c r="DV41" s="306"/>
      <c r="DW41" s="306"/>
      <c r="DX41" s="306"/>
      <c r="DY41" s="306"/>
      <c r="DZ41" s="306"/>
      <c r="EA41" s="306"/>
      <c r="EB41" s="306"/>
      <c r="EC41" s="306"/>
      <c r="ED41" s="306"/>
      <c r="EE41" s="306"/>
      <c r="EF41" s="306"/>
      <c r="EG41" s="306"/>
      <c r="EH41" s="306"/>
      <c r="EI41" s="306"/>
      <c r="EJ41" s="306"/>
      <c r="EK41" s="306"/>
      <c r="EL41" s="306"/>
      <c r="EM41" s="306"/>
      <c r="EN41" s="306"/>
      <c r="EO41" s="306"/>
      <c r="EP41" s="306"/>
      <c r="EQ41" s="306"/>
      <c r="ER41" s="306"/>
      <c r="ES41" s="306"/>
      <c r="ET41" s="306"/>
      <c r="EU41" s="306"/>
      <c r="EV41" s="306"/>
      <c r="EW41" s="306"/>
      <c r="EX41" s="306"/>
      <c r="EY41" s="306"/>
      <c r="EZ41" s="306"/>
      <c r="FA41" s="306"/>
      <c r="FB41" s="306"/>
      <c r="FC41" s="306"/>
      <c r="FD41" s="306"/>
      <c r="FE41" s="306"/>
      <c r="FF41" s="306"/>
      <c r="FG41" s="306"/>
      <c r="FH41" s="306"/>
      <c r="FI41" s="306"/>
      <c r="FJ41" s="306"/>
      <c r="FK41" s="306"/>
      <c r="FL41" s="306"/>
      <c r="FM41" s="306"/>
      <c r="FN41" s="306"/>
      <c r="FO41" s="306"/>
      <c r="FP41" s="306"/>
      <c r="FQ41" s="306"/>
      <c r="FR41" s="306"/>
      <c r="FS41" s="306"/>
      <c r="FT41" s="306"/>
      <c r="FU41" s="306"/>
      <c r="FV41" s="306"/>
      <c r="FW41" s="306"/>
      <c r="FX41" s="306"/>
      <c r="FY41" s="306"/>
      <c r="FZ41" s="306"/>
      <c r="GA41" s="306"/>
      <c r="GB41" s="306"/>
      <c r="GC41" s="306"/>
      <c r="GD41" s="306"/>
      <c r="GE41" s="306"/>
      <c r="GF41" s="306"/>
      <c r="GG41" s="306"/>
      <c r="GH41" s="306"/>
      <c r="GI41" s="306"/>
      <c r="GJ41" s="306"/>
      <c r="GK41" s="306"/>
      <c r="GL41" s="306"/>
      <c r="GM41" s="306"/>
      <c r="GN41" s="306"/>
      <c r="GO41" s="306"/>
      <c r="GP41" s="306"/>
      <c r="GQ41" s="306"/>
      <c r="GR41" s="306"/>
      <c r="GS41" s="306"/>
      <c r="GT41" s="306"/>
      <c r="GU41" s="306"/>
      <c r="GV41" s="306"/>
      <c r="GW41" s="306"/>
      <c r="GX41" s="306"/>
      <c r="GY41" s="306"/>
      <c r="GZ41" s="306"/>
      <c r="HA41" s="306"/>
      <c r="HB41" s="306"/>
      <c r="HC41" s="306"/>
      <c r="HD41" s="306"/>
      <c r="HE41" s="306"/>
      <c r="HF41" s="306"/>
      <c r="HG41" s="306"/>
      <c r="HH41" s="306"/>
      <c r="HI41" s="306"/>
      <c r="HJ41" s="306"/>
      <c r="HK41" s="306"/>
      <c r="HL41" s="306"/>
      <c r="HM41" s="307"/>
      <c r="HN41" s="307"/>
      <c r="HO41" s="307"/>
      <c r="HP41" s="307"/>
      <c r="HQ41" s="307"/>
      <c r="HR41" s="307"/>
      <c r="HS41" s="307"/>
      <c r="HT41" s="307"/>
      <c r="HU41" s="303"/>
      <c r="HV41" s="303"/>
      <c r="HW41" s="303"/>
      <c r="HX41" s="303"/>
      <c r="HY41" s="303"/>
      <c r="HZ41" s="303"/>
      <c r="IA41" s="303"/>
      <c r="IB41" s="303"/>
      <c r="IC41" s="303"/>
      <c r="ID41" s="303"/>
      <c r="IE41" s="303"/>
      <c r="IF41" s="303"/>
      <c r="IG41" s="303"/>
      <c r="IH41" s="303"/>
      <c r="II41" s="303"/>
      <c r="IJ41" s="303"/>
      <c r="IK41" s="303"/>
      <c r="IL41" s="303"/>
      <c r="IM41" s="303"/>
      <c r="IN41" s="303"/>
      <c r="IO41" s="303"/>
      <c r="IP41" s="303"/>
      <c r="IQ41" s="303"/>
      <c r="IR41" s="303"/>
      <c r="IS41" s="303"/>
      <c r="IT41" s="303"/>
      <c r="IU41" s="303"/>
      <c r="IV41" s="303"/>
      <c r="IW41" s="303"/>
      <c r="IX41" s="303"/>
      <c r="IY41" s="303"/>
      <c r="IZ41" s="303"/>
      <c r="JA41" s="303"/>
      <c r="JB41" s="303"/>
      <c r="JC41" s="303"/>
      <c r="JD41" s="303"/>
      <c r="JE41" s="303"/>
      <c r="JF41" s="303"/>
      <c r="JG41" s="303"/>
      <c r="JH41" s="303"/>
      <c r="JI41" s="303"/>
      <c r="JJ41" s="303"/>
      <c r="JK41" s="303"/>
      <c r="JL41" s="303"/>
      <c r="JM41" s="303"/>
      <c r="JN41" s="303"/>
      <c r="JO41" s="303"/>
      <c r="JP41" s="303"/>
      <c r="JQ41" s="303"/>
      <c r="JR41" s="303"/>
      <c r="JS41" s="303"/>
      <c r="JT41" s="303"/>
      <c r="JU41" s="303"/>
      <c r="JV41" s="303"/>
      <c r="JW41" s="303"/>
      <c r="JX41" s="303"/>
      <c r="JY41" s="303"/>
      <c r="JZ41" s="303"/>
      <c r="KA41" s="303"/>
      <c r="KB41" s="303"/>
      <c r="KC41" s="303"/>
      <c r="KD41" s="303"/>
      <c r="KE41" s="303"/>
      <c r="KF41" s="303"/>
      <c r="KG41" s="303"/>
      <c r="KH41" s="303"/>
      <c r="KI41" s="303"/>
      <c r="KJ41" s="303"/>
      <c r="KK41" s="303"/>
      <c r="KL41" s="303"/>
      <c r="KM41" s="303"/>
      <c r="KN41" s="303"/>
      <c r="KO41" s="303"/>
      <c r="KP41" s="303"/>
      <c r="KQ41" s="303"/>
      <c r="KR41" s="303"/>
      <c r="KS41" s="303"/>
      <c r="KT41" s="303"/>
      <c r="KU41" s="303"/>
      <c r="KV41" s="303"/>
      <c r="KW41" s="303"/>
      <c r="KX41" s="303"/>
      <c r="KY41" s="303"/>
      <c r="KZ41" s="303"/>
      <c r="LA41" s="303"/>
      <c r="LB41" s="303"/>
      <c r="LC41" s="303"/>
      <c r="LD41" s="303"/>
      <c r="LE41" s="303"/>
      <c r="LF41" s="303"/>
      <c r="LG41" s="303"/>
      <c r="LH41" s="303"/>
      <c r="LI41" s="303"/>
      <c r="LJ41" s="303"/>
      <c r="LK41" s="303"/>
      <c r="LL41" s="303"/>
      <c r="LM41" s="303"/>
      <c r="LN41" s="303"/>
      <c r="LO41" s="303"/>
      <c r="LP41" s="303"/>
      <c r="LQ41" s="303"/>
      <c r="LR41" s="303"/>
      <c r="LS41" s="303"/>
      <c r="LT41" s="303"/>
      <c r="LU41" s="303"/>
      <c r="LV41" s="303"/>
      <c r="LW41" s="303"/>
      <c r="LX41" s="303"/>
      <c r="LY41" s="303"/>
      <c r="LZ41" s="303"/>
      <c r="MA41" s="303"/>
      <c r="MB41" s="303"/>
      <c r="MC41" s="303"/>
      <c r="MD41" s="303"/>
      <c r="ME41" s="303"/>
      <c r="MF41" s="303"/>
      <c r="MG41" s="303"/>
      <c r="MH41" s="303"/>
      <c r="MI41" s="303"/>
      <c r="MJ41" s="303"/>
      <c r="MK41" s="303"/>
      <c r="ML41" s="303"/>
      <c r="MM41" s="303"/>
      <c r="MN41" s="303"/>
      <c r="MO41" s="303"/>
      <c r="MP41" s="303"/>
      <c r="MQ41" s="303"/>
      <c r="MR41" s="303"/>
      <c r="MS41" s="303"/>
      <c r="MT41" s="303"/>
      <c r="MU41" s="303"/>
      <c r="MV41" s="303"/>
      <c r="MW41" s="303"/>
      <c r="MX41" s="303"/>
      <c r="MY41" s="303"/>
      <c r="MZ41" s="303"/>
      <c r="NA41" s="303"/>
      <c r="NB41" s="303"/>
      <c r="NC41" s="303"/>
      <c r="ND41" s="303"/>
      <c r="NE41" s="303"/>
      <c r="NF41" s="303"/>
      <c r="NG41" s="303"/>
      <c r="NH41" s="303"/>
      <c r="NI41" s="303"/>
      <c r="NJ41" s="303"/>
      <c r="NK41" s="303"/>
      <c r="NL41" s="303"/>
      <c r="NM41" s="303"/>
      <c r="NN41" s="303"/>
      <c r="NO41" s="303"/>
      <c r="NP41" s="303"/>
      <c r="NQ41" s="303"/>
      <c r="NR41" s="303"/>
      <c r="NS41" s="303"/>
      <c r="NT41" s="303"/>
      <c r="NU41" s="303"/>
      <c r="NV41" s="303"/>
      <c r="NW41" s="303"/>
      <c r="NX41" s="303"/>
      <c r="NY41" s="303"/>
      <c r="NZ41" s="303"/>
      <c r="OA41" s="303"/>
      <c r="OB41" s="303"/>
      <c r="OC41" s="303"/>
      <c r="OD41" s="303"/>
      <c r="OE41" s="303"/>
      <c r="OF41" s="303"/>
      <c r="OG41" s="303"/>
      <c r="OH41" s="303"/>
      <c r="OI41" s="303"/>
      <c r="OJ41" s="303"/>
      <c r="OK41" s="303"/>
      <c r="OL41" s="303"/>
      <c r="OM41" s="303"/>
      <c r="ON41" s="303"/>
      <c r="OO41" s="303"/>
      <c r="OP41" s="303"/>
      <c r="OQ41" s="303"/>
      <c r="OR41" s="303"/>
      <c r="OS41" s="303"/>
      <c r="OT41" s="303"/>
      <c r="OU41" s="303"/>
      <c r="OV41" s="303"/>
      <c r="OW41" s="303"/>
      <c r="OX41" s="303"/>
      <c r="OY41" s="303"/>
      <c r="OZ41" s="303"/>
      <c r="PA41" s="303"/>
      <c r="PB41" s="303"/>
      <c r="PC41" s="303"/>
      <c r="PD41" s="303"/>
      <c r="PE41" s="303"/>
      <c r="PF41" s="303"/>
      <c r="PG41" s="303"/>
      <c r="PH41" s="303"/>
      <c r="PI41" s="303"/>
      <c r="PJ41" s="303"/>
      <c r="PK41" s="303"/>
      <c r="PL41" s="303"/>
      <c r="PM41" s="303"/>
      <c r="PN41" s="303"/>
      <c r="PO41" s="303"/>
      <c r="PP41" s="303"/>
      <c r="PQ41" s="303"/>
      <c r="PR41" s="303"/>
      <c r="PS41" s="303"/>
      <c r="PT41" s="303"/>
      <c r="PU41" s="303"/>
      <c r="PV41" s="303"/>
      <c r="PW41" s="303"/>
      <c r="PX41" s="303"/>
      <c r="PY41" s="303"/>
      <c r="PZ41" s="303"/>
      <c r="QA41" s="303"/>
      <c r="QB41" s="303"/>
      <c r="QC41" s="303"/>
      <c r="QD41" s="303"/>
      <c r="QE41" s="303"/>
      <c r="QF41" s="303"/>
      <c r="QG41" s="303"/>
      <c r="QH41" s="303"/>
      <c r="QI41" s="303"/>
      <c r="QJ41" s="303"/>
      <c r="QK41" s="303"/>
      <c r="QL41" s="303"/>
      <c r="QM41" s="303"/>
      <c r="QN41" s="303"/>
      <c r="QO41" s="303"/>
      <c r="QP41" s="303"/>
      <c r="QQ41" s="303"/>
      <c r="QR41" s="303"/>
      <c r="QS41" s="303"/>
      <c r="QT41" s="303"/>
      <c r="QU41" s="303"/>
      <c r="QV41" s="303"/>
      <c r="QW41" s="303"/>
      <c r="QX41" s="303"/>
      <c r="QY41" s="303"/>
      <c r="QZ41" s="303"/>
      <c r="RA41" s="303"/>
      <c r="RB41" s="303"/>
      <c r="RC41" s="303"/>
      <c r="RD41" s="303"/>
      <c r="RE41" s="303"/>
      <c r="RF41" s="303"/>
      <c r="RG41" s="303"/>
      <c r="RH41" s="303"/>
      <c r="RI41" s="303"/>
      <c r="RJ41" s="303"/>
      <c r="RK41" s="303"/>
      <c r="RL41" s="303"/>
      <c r="RM41" s="303"/>
      <c r="RN41" s="303"/>
      <c r="RO41" s="303"/>
      <c r="RP41" s="303"/>
      <c r="RQ41" s="303"/>
      <c r="RR41" s="303"/>
      <c r="RS41" s="303"/>
      <c r="RT41" s="303"/>
      <c r="RU41" s="303"/>
      <c r="RV41" s="303"/>
      <c r="RW41" s="303"/>
      <c r="RX41" s="303"/>
      <c r="RY41" s="303"/>
      <c r="RZ41" s="303"/>
      <c r="SA41" s="303"/>
      <c r="SB41" s="303"/>
      <c r="SC41" s="303"/>
      <c r="SD41" s="303"/>
      <c r="SE41" s="303"/>
      <c r="SF41" s="303"/>
      <c r="SG41" s="303"/>
      <c r="SH41" s="303"/>
      <c r="SI41" s="303"/>
      <c r="SJ41" s="303"/>
      <c r="SK41" s="303"/>
      <c r="SL41" s="303"/>
      <c r="SM41" s="303"/>
      <c r="SN41" s="303"/>
      <c r="SO41" s="303"/>
    </row>
    <row r="42" spans="1:509" s="308" customFormat="1" ht="12.95" customHeight="1" thickBot="1" x14ac:dyDescent="0.2">
      <c r="A42" s="303"/>
      <c r="B42" s="304"/>
      <c r="C42" s="325">
        <v>29</v>
      </c>
      <c r="D42" s="999"/>
      <c r="E42" s="1000"/>
      <c r="F42" s="1000"/>
      <c r="G42" s="1000"/>
      <c r="H42" s="1000"/>
      <c r="I42" s="1000"/>
      <c r="J42" s="1001"/>
      <c r="K42" s="304"/>
      <c r="L42" s="363"/>
      <c r="M42" s="330"/>
      <c r="N42" s="331"/>
      <c r="O42" s="338"/>
      <c r="P42" s="339"/>
      <c r="Q42" s="346"/>
      <c r="R42" s="347"/>
      <c r="S42" s="354"/>
      <c r="T42" s="355"/>
      <c r="U42" s="305"/>
      <c r="V42" s="306"/>
      <c r="W42" s="306"/>
      <c r="X42" s="306"/>
      <c r="Y42" s="306"/>
      <c r="Z42" s="306"/>
      <c r="AA42" s="306"/>
      <c r="AB42" s="306"/>
      <c r="AC42" s="306"/>
      <c r="AD42" s="306"/>
      <c r="AE42" s="306"/>
      <c r="AF42" s="306"/>
      <c r="AG42" s="306"/>
      <c r="AH42" s="306"/>
      <c r="AI42" s="306"/>
      <c r="AJ42" s="306"/>
      <c r="AK42" s="306"/>
      <c r="AL42" s="306"/>
      <c r="AM42" s="306"/>
      <c r="AN42" s="306"/>
      <c r="AO42" s="306"/>
      <c r="AP42" s="306"/>
      <c r="AQ42" s="306"/>
      <c r="AR42" s="306"/>
      <c r="AS42" s="306"/>
      <c r="AT42" s="306"/>
      <c r="AU42" s="306"/>
      <c r="AV42" s="306"/>
      <c r="AW42" s="306"/>
      <c r="AX42" s="306"/>
      <c r="AY42" s="306"/>
      <c r="AZ42" s="306"/>
      <c r="BA42" s="306"/>
      <c r="BB42" s="306"/>
      <c r="BC42" s="306"/>
      <c r="BD42" s="306"/>
      <c r="BE42" s="306"/>
      <c r="BF42" s="306"/>
      <c r="BG42" s="306"/>
      <c r="BH42" s="306"/>
      <c r="BI42" s="306"/>
      <c r="BJ42" s="306"/>
      <c r="BK42" s="306"/>
      <c r="BL42" s="306"/>
      <c r="BM42" s="306"/>
      <c r="BN42" s="306"/>
      <c r="BO42" s="306"/>
      <c r="BP42" s="306"/>
      <c r="BQ42" s="306"/>
      <c r="BR42" s="306"/>
      <c r="BS42" s="306"/>
      <c r="BT42" s="306"/>
      <c r="BU42" s="306"/>
      <c r="BV42" s="306"/>
      <c r="BW42" s="306"/>
      <c r="BX42" s="306"/>
      <c r="BY42" s="306"/>
      <c r="BZ42" s="306"/>
      <c r="CA42" s="306"/>
      <c r="CB42" s="306"/>
      <c r="CC42" s="306"/>
      <c r="CD42" s="306"/>
      <c r="CE42" s="306"/>
      <c r="CF42" s="306"/>
      <c r="CG42" s="306"/>
      <c r="CH42" s="306"/>
      <c r="CI42" s="306"/>
      <c r="CJ42" s="306"/>
      <c r="CK42" s="306"/>
      <c r="CL42" s="306"/>
      <c r="CM42" s="306"/>
      <c r="CN42" s="306"/>
      <c r="CO42" s="306"/>
      <c r="CP42" s="306"/>
      <c r="CQ42" s="306"/>
      <c r="CR42" s="306"/>
      <c r="CS42" s="306"/>
      <c r="CT42" s="306"/>
      <c r="CU42" s="306"/>
      <c r="CV42" s="306"/>
      <c r="CW42" s="306"/>
      <c r="CX42" s="306"/>
      <c r="CY42" s="306"/>
      <c r="CZ42" s="306"/>
      <c r="DA42" s="306"/>
      <c r="DB42" s="306"/>
      <c r="DC42" s="306"/>
      <c r="DD42" s="306"/>
      <c r="DE42" s="306"/>
      <c r="DF42" s="306"/>
      <c r="DG42" s="306"/>
      <c r="DH42" s="306"/>
      <c r="DI42" s="306"/>
      <c r="DJ42" s="306"/>
      <c r="DK42" s="306"/>
      <c r="DL42" s="306"/>
      <c r="DM42" s="306"/>
      <c r="DN42" s="306"/>
      <c r="DO42" s="306"/>
      <c r="DP42" s="306"/>
      <c r="DQ42" s="306"/>
      <c r="DR42" s="306"/>
      <c r="DS42" s="306"/>
      <c r="DT42" s="306"/>
      <c r="DU42" s="306"/>
      <c r="DV42" s="306"/>
      <c r="DW42" s="306"/>
      <c r="DX42" s="306"/>
      <c r="DY42" s="306"/>
      <c r="DZ42" s="306"/>
      <c r="EA42" s="306"/>
      <c r="EB42" s="306"/>
      <c r="EC42" s="306"/>
      <c r="ED42" s="306"/>
      <c r="EE42" s="306"/>
      <c r="EF42" s="306"/>
      <c r="EG42" s="306"/>
      <c r="EH42" s="306"/>
      <c r="EI42" s="306"/>
      <c r="EJ42" s="306"/>
      <c r="EK42" s="306"/>
      <c r="EL42" s="306"/>
      <c r="EM42" s="306"/>
      <c r="EN42" s="306"/>
      <c r="EO42" s="306"/>
      <c r="EP42" s="306"/>
      <c r="EQ42" s="306"/>
      <c r="ER42" s="306"/>
      <c r="ES42" s="306"/>
      <c r="ET42" s="306"/>
      <c r="EU42" s="306"/>
      <c r="EV42" s="306"/>
      <c r="EW42" s="306"/>
      <c r="EX42" s="306"/>
      <c r="EY42" s="306"/>
      <c r="EZ42" s="306"/>
      <c r="FA42" s="306"/>
      <c r="FB42" s="306"/>
      <c r="FC42" s="306"/>
      <c r="FD42" s="306"/>
      <c r="FE42" s="306"/>
      <c r="FF42" s="306"/>
      <c r="FG42" s="306"/>
      <c r="FH42" s="306"/>
      <c r="FI42" s="306"/>
      <c r="FJ42" s="306"/>
      <c r="FK42" s="306"/>
      <c r="FL42" s="306"/>
      <c r="FM42" s="306"/>
      <c r="FN42" s="306"/>
      <c r="FO42" s="306"/>
      <c r="FP42" s="306"/>
      <c r="FQ42" s="306"/>
      <c r="FR42" s="306"/>
      <c r="FS42" s="306"/>
      <c r="FT42" s="306"/>
      <c r="FU42" s="306"/>
      <c r="FV42" s="306"/>
      <c r="FW42" s="306"/>
      <c r="FX42" s="306"/>
      <c r="FY42" s="306"/>
      <c r="FZ42" s="306"/>
      <c r="GA42" s="306"/>
      <c r="GB42" s="306"/>
      <c r="GC42" s="306"/>
      <c r="GD42" s="306"/>
      <c r="GE42" s="306"/>
      <c r="GF42" s="306"/>
      <c r="GG42" s="306"/>
      <c r="GH42" s="306"/>
      <c r="GI42" s="306"/>
      <c r="GJ42" s="306"/>
      <c r="GK42" s="306"/>
      <c r="GL42" s="306"/>
      <c r="GM42" s="306"/>
      <c r="GN42" s="306"/>
      <c r="GO42" s="306"/>
      <c r="GP42" s="306"/>
      <c r="GQ42" s="306"/>
      <c r="GR42" s="306"/>
      <c r="GS42" s="306"/>
      <c r="GT42" s="306"/>
      <c r="GU42" s="306"/>
      <c r="GV42" s="306"/>
      <c r="GW42" s="306"/>
      <c r="GX42" s="306"/>
      <c r="GY42" s="306"/>
      <c r="GZ42" s="306"/>
      <c r="HA42" s="306"/>
      <c r="HB42" s="306"/>
      <c r="HC42" s="306"/>
      <c r="HD42" s="306"/>
      <c r="HE42" s="306"/>
      <c r="HF42" s="306"/>
      <c r="HG42" s="306"/>
      <c r="HH42" s="306"/>
      <c r="HI42" s="306"/>
      <c r="HJ42" s="306"/>
      <c r="HK42" s="306"/>
      <c r="HL42" s="306"/>
      <c r="HM42" s="307"/>
      <c r="HN42" s="307"/>
      <c r="HO42" s="307"/>
      <c r="HP42" s="307"/>
      <c r="HQ42" s="307"/>
      <c r="HR42" s="307"/>
      <c r="HS42" s="307"/>
      <c r="HT42" s="307"/>
      <c r="HU42" s="303"/>
      <c r="HV42" s="303"/>
      <c r="HW42" s="303"/>
      <c r="HX42" s="303"/>
      <c r="HY42" s="303"/>
      <c r="HZ42" s="303"/>
      <c r="IA42" s="303"/>
      <c r="IB42" s="303"/>
      <c r="IC42" s="303"/>
      <c r="ID42" s="303"/>
      <c r="IE42" s="303"/>
      <c r="IF42" s="303"/>
      <c r="IG42" s="303"/>
      <c r="IH42" s="303"/>
      <c r="II42" s="303"/>
      <c r="IJ42" s="303"/>
      <c r="IK42" s="303"/>
      <c r="IL42" s="303"/>
      <c r="IM42" s="303"/>
      <c r="IN42" s="303"/>
      <c r="IO42" s="303"/>
      <c r="IP42" s="303"/>
      <c r="IQ42" s="303"/>
      <c r="IR42" s="303"/>
      <c r="IS42" s="303"/>
      <c r="IT42" s="303"/>
      <c r="IU42" s="303"/>
      <c r="IV42" s="303"/>
      <c r="IW42" s="303"/>
      <c r="IX42" s="303"/>
      <c r="IY42" s="303"/>
      <c r="IZ42" s="303"/>
      <c r="JA42" s="303"/>
      <c r="JB42" s="303"/>
      <c r="JC42" s="303"/>
      <c r="JD42" s="303"/>
      <c r="JE42" s="303"/>
      <c r="JF42" s="303"/>
      <c r="JG42" s="303"/>
      <c r="JH42" s="303"/>
      <c r="JI42" s="303"/>
      <c r="JJ42" s="303"/>
      <c r="JK42" s="303"/>
      <c r="JL42" s="303"/>
      <c r="JM42" s="303"/>
      <c r="JN42" s="303"/>
      <c r="JO42" s="303"/>
      <c r="JP42" s="303"/>
      <c r="JQ42" s="303"/>
      <c r="JR42" s="303"/>
      <c r="JS42" s="303"/>
      <c r="JT42" s="303"/>
      <c r="JU42" s="303"/>
      <c r="JV42" s="303"/>
      <c r="JW42" s="303"/>
      <c r="JX42" s="303"/>
      <c r="JY42" s="303"/>
      <c r="JZ42" s="303"/>
      <c r="KA42" s="303"/>
      <c r="KB42" s="303"/>
      <c r="KC42" s="303"/>
      <c r="KD42" s="303"/>
      <c r="KE42" s="303"/>
      <c r="KF42" s="303"/>
      <c r="KG42" s="303"/>
      <c r="KH42" s="303"/>
      <c r="KI42" s="303"/>
      <c r="KJ42" s="303"/>
      <c r="KK42" s="303"/>
      <c r="KL42" s="303"/>
      <c r="KM42" s="303"/>
      <c r="KN42" s="303"/>
      <c r="KO42" s="303"/>
      <c r="KP42" s="303"/>
      <c r="KQ42" s="303"/>
      <c r="KR42" s="303"/>
      <c r="KS42" s="303"/>
      <c r="KT42" s="303"/>
      <c r="KU42" s="303"/>
      <c r="KV42" s="303"/>
      <c r="KW42" s="303"/>
      <c r="KX42" s="303"/>
      <c r="KY42" s="303"/>
      <c r="KZ42" s="303"/>
      <c r="LA42" s="303"/>
      <c r="LB42" s="303"/>
      <c r="LC42" s="303"/>
      <c r="LD42" s="303"/>
      <c r="LE42" s="303"/>
      <c r="LF42" s="303"/>
      <c r="LG42" s="303"/>
      <c r="LH42" s="303"/>
      <c r="LI42" s="303"/>
      <c r="LJ42" s="303"/>
      <c r="LK42" s="303"/>
      <c r="LL42" s="303"/>
      <c r="LM42" s="303"/>
      <c r="LN42" s="303"/>
      <c r="LO42" s="303"/>
      <c r="LP42" s="303"/>
      <c r="LQ42" s="303"/>
      <c r="LR42" s="303"/>
      <c r="LS42" s="303"/>
      <c r="LT42" s="303"/>
      <c r="LU42" s="303"/>
      <c r="LV42" s="303"/>
      <c r="LW42" s="303"/>
      <c r="LX42" s="303"/>
      <c r="LY42" s="303"/>
      <c r="LZ42" s="303"/>
      <c r="MA42" s="303"/>
      <c r="MB42" s="303"/>
      <c r="MC42" s="303"/>
      <c r="MD42" s="303"/>
      <c r="ME42" s="303"/>
      <c r="MF42" s="303"/>
      <c r="MG42" s="303"/>
      <c r="MH42" s="303"/>
      <c r="MI42" s="303"/>
      <c r="MJ42" s="303"/>
      <c r="MK42" s="303"/>
      <c r="ML42" s="303"/>
      <c r="MM42" s="303"/>
      <c r="MN42" s="303"/>
      <c r="MO42" s="303"/>
      <c r="MP42" s="303"/>
      <c r="MQ42" s="303"/>
      <c r="MR42" s="303"/>
      <c r="MS42" s="303"/>
      <c r="MT42" s="303"/>
      <c r="MU42" s="303"/>
      <c r="MV42" s="303"/>
      <c r="MW42" s="303"/>
      <c r="MX42" s="303"/>
      <c r="MY42" s="303"/>
      <c r="MZ42" s="303"/>
      <c r="NA42" s="303"/>
      <c r="NB42" s="303"/>
      <c r="NC42" s="303"/>
      <c r="ND42" s="303"/>
      <c r="NE42" s="303"/>
      <c r="NF42" s="303"/>
      <c r="NG42" s="303"/>
      <c r="NH42" s="303"/>
      <c r="NI42" s="303"/>
      <c r="NJ42" s="303"/>
      <c r="NK42" s="303"/>
      <c r="NL42" s="303"/>
      <c r="NM42" s="303"/>
      <c r="NN42" s="303"/>
      <c r="NO42" s="303"/>
      <c r="NP42" s="303"/>
      <c r="NQ42" s="303"/>
      <c r="NR42" s="303"/>
      <c r="NS42" s="303"/>
      <c r="NT42" s="303"/>
      <c r="NU42" s="303"/>
      <c r="NV42" s="303"/>
      <c r="NW42" s="303"/>
      <c r="NX42" s="303"/>
      <c r="NY42" s="303"/>
      <c r="NZ42" s="303"/>
      <c r="OA42" s="303"/>
      <c r="OB42" s="303"/>
      <c r="OC42" s="303"/>
      <c r="OD42" s="303"/>
      <c r="OE42" s="303"/>
      <c r="OF42" s="303"/>
      <c r="OG42" s="303"/>
      <c r="OH42" s="303"/>
      <c r="OI42" s="303"/>
      <c r="OJ42" s="303"/>
      <c r="OK42" s="303"/>
      <c r="OL42" s="303"/>
      <c r="OM42" s="303"/>
      <c r="ON42" s="303"/>
      <c r="OO42" s="303"/>
      <c r="OP42" s="303"/>
      <c r="OQ42" s="303"/>
      <c r="OR42" s="303"/>
      <c r="OS42" s="303"/>
      <c r="OT42" s="303"/>
      <c r="OU42" s="303"/>
      <c r="OV42" s="303"/>
      <c r="OW42" s="303"/>
      <c r="OX42" s="303"/>
      <c r="OY42" s="303"/>
      <c r="OZ42" s="303"/>
      <c r="PA42" s="303"/>
      <c r="PB42" s="303"/>
      <c r="PC42" s="303"/>
      <c r="PD42" s="303"/>
      <c r="PE42" s="303"/>
      <c r="PF42" s="303"/>
      <c r="PG42" s="303"/>
      <c r="PH42" s="303"/>
      <c r="PI42" s="303"/>
      <c r="PJ42" s="303"/>
      <c r="PK42" s="303"/>
      <c r="PL42" s="303"/>
      <c r="PM42" s="303"/>
      <c r="PN42" s="303"/>
      <c r="PO42" s="303"/>
      <c r="PP42" s="303"/>
      <c r="PQ42" s="303"/>
      <c r="PR42" s="303"/>
      <c r="PS42" s="303"/>
      <c r="PT42" s="303"/>
      <c r="PU42" s="303"/>
      <c r="PV42" s="303"/>
      <c r="PW42" s="303"/>
      <c r="PX42" s="303"/>
      <c r="PY42" s="303"/>
      <c r="PZ42" s="303"/>
      <c r="QA42" s="303"/>
      <c r="QB42" s="303"/>
      <c r="QC42" s="303"/>
      <c r="QD42" s="303"/>
      <c r="QE42" s="303"/>
      <c r="QF42" s="303"/>
      <c r="QG42" s="303"/>
      <c r="QH42" s="303"/>
      <c r="QI42" s="303"/>
      <c r="QJ42" s="303"/>
      <c r="QK42" s="303"/>
      <c r="QL42" s="303"/>
      <c r="QM42" s="303"/>
      <c r="QN42" s="303"/>
      <c r="QO42" s="303"/>
      <c r="QP42" s="303"/>
      <c r="QQ42" s="303"/>
      <c r="QR42" s="303"/>
      <c r="QS42" s="303"/>
      <c r="QT42" s="303"/>
      <c r="QU42" s="303"/>
      <c r="QV42" s="303"/>
      <c r="QW42" s="303"/>
      <c r="QX42" s="303"/>
      <c r="QY42" s="303"/>
      <c r="QZ42" s="303"/>
      <c r="RA42" s="303"/>
      <c r="RB42" s="303"/>
      <c r="RC42" s="303"/>
      <c r="RD42" s="303"/>
      <c r="RE42" s="303"/>
      <c r="RF42" s="303"/>
      <c r="RG42" s="303"/>
      <c r="RH42" s="303"/>
      <c r="RI42" s="303"/>
      <c r="RJ42" s="303"/>
      <c r="RK42" s="303"/>
      <c r="RL42" s="303"/>
      <c r="RM42" s="303"/>
      <c r="RN42" s="303"/>
      <c r="RO42" s="303"/>
      <c r="RP42" s="303"/>
      <c r="RQ42" s="303"/>
      <c r="RR42" s="303"/>
      <c r="RS42" s="303"/>
      <c r="RT42" s="303"/>
      <c r="RU42" s="303"/>
      <c r="RV42" s="303"/>
      <c r="RW42" s="303"/>
      <c r="RX42" s="303"/>
      <c r="RY42" s="303"/>
      <c r="RZ42" s="303"/>
      <c r="SA42" s="303"/>
      <c r="SB42" s="303"/>
      <c r="SC42" s="303"/>
      <c r="SD42" s="303"/>
      <c r="SE42" s="303"/>
      <c r="SF42" s="303"/>
      <c r="SG42" s="303"/>
      <c r="SH42" s="303"/>
      <c r="SI42" s="303"/>
      <c r="SJ42" s="303"/>
      <c r="SK42" s="303"/>
      <c r="SL42" s="303"/>
      <c r="SM42" s="303"/>
      <c r="SN42" s="303"/>
      <c r="SO42" s="303"/>
    </row>
    <row r="43" spans="1:509" s="308" customFormat="1" ht="12.95" customHeight="1" thickBot="1" x14ac:dyDescent="0.2">
      <c r="A43" s="303"/>
      <c r="B43" s="304"/>
      <c r="C43" s="325">
        <v>30</v>
      </c>
      <c r="D43" s="999"/>
      <c r="E43" s="1000"/>
      <c r="F43" s="1000"/>
      <c r="G43" s="1000"/>
      <c r="H43" s="1000"/>
      <c r="I43" s="1000"/>
      <c r="J43" s="1001"/>
      <c r="K43" s="304"/>
      <c r="L43" s="363"/>
      <c r="M43" s="330"/>
      <c r="N43" s="331"/>
      <c r="O43" s="338"/>
      <c r="P43" s="339"/>
      <c r="Q43" s="346"/>
      <c r="R43" s="347"/>
      <c r="S43" s="354"/>
      <c r="T43" s="355"/>
      <c r="U43" s="305"/>
      <c r="V43" s="306"/>
      <c r="W43" s="306"/>
      <c r="X43" s="306"/>
      <c r="Y43" s="306"/>
      <c r="Z43" s="306"/>
      <c r="AA43" s="306"/>
      <c r="AB43" s="306"/>
      <c r="AC43" s="306"/>
      <c r="AD43" s="306"/>
      <c r="AE43" s="306"/>
      <c r="AF43" s="306"/>
      <c r="AG43" s="306"/>
      <c r="AH43" s="306"/>
      <c r="AI43" s="306"/>
      <c r="AJ43" s="306"/>
      <c r="AK43" s="306"/>
      <c r="AL43" s="306"/>
      <c r="AM43" s="306"/>
      <c r="AN43" s="306"/>
      <c r="AO43" s="306"/>
      <c r="AP43" s="306"/>
      <c r="AQ43" s="306"/>
      <c r="AR43" s="306"/>
      <c r="AS43" s="306"/>
      <c r="AT43" s="306"/>
      <c r="AU43" s="306"/>
      <c r="AV43" s="306"/>
      <c r="AW43" s="306"/>
      <c r="AX43" s="306"/>
      <c r="AY43" s="306"/>
      <c r="AZ43" s="306"/>
      <c r="BA43" s="306"/>
      <c r="BB43" s="306"/>
      <c r="BC43" s="306"/>
      <c r="BD43" s="306"/>
      <c r="BE43" s="306"/>
      <c r="BF43" s="306"/>
      <c r="BG43" s="306"/>
      <c r="BH43" s="306"/>
      <c r="BI43" s="306"/>
      <c r="BJ43" s="306"/>
      <c r="BK43" s="306"/>
      <c r="BL43" s="306"/>
      <c r="BM43" s="306"/>
      <c r="BN43" s="306"/>
      <c r="BO43" s="306"/>
      <c r="BP43" s="306"/>
      <c r="BQ43" s="306"/>
      <c r="BR43" s="306"/>
      <c r="BS43" s="306"/>
      <c r="BT43" s="306"/>
      <c r="BU43" s="306"/>
      <c r="BV43" s="306"/>
      <c r="BW43" s="306"/>
      <c r="BX43" s="306"/>
      <c r="BY43" s="306"/>
      <c r="BZ43" s="306"/>
      <c r="CA43" s="306"/>
      <c r="CB43" s="306"/>
      <c r="CC43" s="306"/>
      <c r="CD43" s="306"/>
      <c r="CE43" s="306"/>
      <c r="CF43" s="306"/>
      <c r="CG43" s="306"/>
      <c r="CH43" s="306"/>
      <c r="CI43" s="306"/>
      <c r="CJ43" s="306"/>
      <c r="CK43" s="306"/>
      <c r="CL43" s="306"/>
      <c r="CM43" s="306"/>
      <c r="CN43" s="306"/>
      <c r="CO43" s="306"/>
      <c r="CP43" s="306"/>
      <c r="CQ43" s="306"/>
      <c r="CR43" s="306"/>
      <c r="CS43" s="306"/>
      <c r="CT43" s="306"/>
      <c r="CU43" s="306"/>
      <c r="CV43" s="306"/>
      <c r="CW43" s="306"/>
      <c r="CX43" s="306"/>
      <c r="CY43" s="306"/>
      <c r="CZ43" s="306"/>
      <c r="DA43" s="306"/>
      <c r="DB43" s="306"/>
      <c r="DC43" s="306"/>
      <c r="DD43" s="306"/>
      <c r="DE43" s="306"/>
      <c r="DF43" s="306"/>
      <c r="DG43" s="306"/>
      <c r="DH43" s="306"/>
      <c r="DI43" s="306"/>
      <c r="DJ43" s="306"/>
      <c r="DK43" s="306"/>
      <c r="DL43" s="306"/>
      <c r="DM43" s="306"/>
      <c r="DN43" s="306"/>
      <c r="DO43" s="306"/>
      <c r="DP43" s="306"/>
      <c r="DQ43" s="306"/>
      <c r="DR43" s="306"/>
      <c r="DS43" s="306"/>
      <c r="DT43" s="306"/>
      <c r="DU43" s="306"/>
      <c r="DV43" s="306"/>
      <c r="DW43" s="306"/>
      <c r="DX43" s="306"/>
      <c r="DY43" s="306"/>
      <c r="DZ43" s="306"/>
      <c r="EA43" s="306"/>
      <c r="EB43" s="306"/>
      <c r="EC43" s="306"/>
      <c r="ED43" s="306"/>
      <c r="EE43" s="306"/>
      <c r="EF43" s="306"/>
      <c r="EG43" s="306"/>
      <c r="EH43" s="306"/>
      <c r="EI43" s="306"/>
      <c r="EJ43" s="306"/>
      <c r="EK43" s="306"/>
      <c r="EL43" s="306"/>
      <c r="EM43" s="306"/>
      <c r="EN43" s="306"/>
      <c r="EO43" s="306"/>
      <c r="EP43" s="306"/>
      <c r="EQ43" s="306"/>
      <c r="ER43" s="306"/>
      <c r="ES43" s="306"/>
      <c r="ET43" s="306"/>
      <c r="EU43" s="306"/>
      <c r="EV43" s="306"/>
      <c r="EW43" s="306"/>
      <c r="EX43" s="306"/>
      <c r="EY43" s="306"/>
      <c r="EZ43" s="306"/>
      <c r="FA43" s="306"/>
      <c r="FB43" s="306"/>
      <c r="FC43" s="306"/>
      <c r="FD43" s="306"/>
      <c r="FE43" s="306"/>
      <c r="FF43" s="306"/>
      <c r="FG43" s="306"/>
      <c r="FH43" s="306"/>
      <c r="FI43" s="306"/>
      <c r="FJ43" s="306"/>
      <c r="FK43" s="306"/>
      <c r="FL43" s="306"/>
      <c r="FM43" s="306"/>
      <c r="FN43" s="306"/>
      <c r="FO43" s="306"/>
      <c r="FP43" s="306"/>
      <c r="FQ43" s="306"/>
      <c r="FR43" s="306"/>
      <c r="FS43" s="306"/>
      <c r="FT43" s="306"/>
      <c r="FU43" s="306"/>
      <c r="FV43" s="306"/>
      <c r="FW43" s="306"/>
      <c r="FX43" s="306"/>
      <c r="FY43" s="306"/>
      <c r="FZ43" s="306"/>
      <c r="GA43" s="306"/>
      <c r="GB43" s="306"/>
      <c r="GC43" s="306"/>
      <c r="GD43" s="306"/>
      <c r="GE43" s="306"/>
      <c r="GF43" s="306"/>
      <c r="GG43" s="306"/>
      <c r="GH43" s="306"/>
      <c r="GI43" s="306"/>
      <c r="GJ43" s="306"/>
      <c r="GK43" s="306"/>
      <c r="GL43" s="306"/>
      <c r="GM43" s="306"/>
      <c r="GN43" s="306"/>
      <c r="GO43" s="306"/>
      <c r="GP43" s="306"/>
      <c r="GQ43" s="306"/>
      <c r="GR43" s="306"/>
      <c r="GS43" s="306"/>
      <c r="GT43" s="306"/>
      <c r="GU43" s="306"/>
      <c r="GV43" s="306"/>
      <c r="GW43" s="306"/>
      <c r="GX43" s="306"/>
      <c r="GY43" s="306"/>
      <c r="GZ43" s="306"/>
      <c r="HA43" s="306"/>
      <c r="HB43" s="306"/>
      <c r="HC43" s="306"/>
      <c r="HD43" s="306"/>
      <c r="HE43" s="306"/>
      <c r="HF43" s="306"/>
      <c r="HG43" s="306"/>
      <c r="HH43" s="306"/>
      <c r="HI43" s="306"/>
      <c r="HJ43" s="306"/>
      <c r="HK43" s="306"/>
      <c r="HL43" s="306"/>
      <c r="HM43" s="307"/>
      <c r="HN43" s="307"/>
      <c r="HO43" s="307"/>
      <c r="HP43" s="307"/>
      <c r="HQ43" s="307"/>
      <c r="HR43" s="307"/>
      <c r="HS43" s="307"/>
      <c r="HT43" s="307"/>
      <c r="HU43" s="303"/>
      <c r="HV43" s="303"/>
      <c r="HW43" s="303"/>
      <c r="HX43" s="303"/>
      <c r="HY43" s="303"/>
      <c r="HZ43" s="303"/>
      <c r="IA43" s="303"/>
      <c r="IB43" s="303"/>
      <c r="IC43" s="303"/>
      <c r="ID43" s="303"/>
      <c r="IE43" s="303"/>
      <c r="IF43" s="303"/>
      <c r="IG43" s="303"/>
      <c r="IH43" s="303"/>
      <c r="II43" s="303"/>
      <c r="IJ43" s="303"/>
      <c r="IK43" s="303"/>
      <c r="IL43" s="303"/>
      <c r="IM43" s="303"/>
      <c r="IN43" s="303"/>
      <c r="IO43" s="303"/>
      <c r="IP43" s="303"/>
      <c r="IQ43" s="303"/>
      <c r="IR43" s="303"/>
      <c r="IS43" s="303"/>
      <c r="IT43" s="303"/>
      <c r="IU43" s="303"/>
      <c r="IV43" s="303"/>
      <c r="IW43" s="303"/>
      <c r="IX43" s="303"/>
      <c r="IY43" s="303"/>
      <c r="IZ43" s="303"/>
      <c r="JA43" s="303"/>
      <c r="JB43" s="303"/>
      <c r="JC43" s="303"/>
      <c r="JD43" s="303"/>
      <c r="JE43" s="303"/>
      <c r="JF43" s="303"/>
      <c r="JG43" s="303"/>
      <c r="JH43" s="303"/>
      <c r="JI43" s="303"/>
      <c r="JJ43" s="303"/>
      <c r="JK43" s="303"/>
      <c r="JL43" s="303"/>
      <c r="JM43" s="303"/>
      <c r="JN43" s="303"/>
      <c r="JO43" s="303"/>
      <c r="JP43" s="303"/>
      <c r="JQ43" s="303"/>
      <c r="JR43" s="303"/>
      <c r="JS43" s="303"/>
      <c r="JT43" s="303"/>
      <c r="JU43" s="303"/>
      <c r="JV43" s="303"/>
      <c r="JW43" s="303"/>
      <c r="JX43" s="303"/>
      <c r="JY43" s="303"/>
      <c r="JZ43" s="303"/>
      <c r="KA43" s="303"/>
      <c r="KB43" s="303"/>
      <c r="KC43" s="303"/>
      <c r="KD43" s="303"/>
      <c r="KE43" s="303"/>
      <c r="KF43" s="303"/>
      <c r="KG43" s="303"/>
      <c r="KH43" s="303"/>
      <c r="KI43" s="303"/>
      <c r="KJ43" s="303"/>
      <c r="KK43" s="303"/>
      <c r="KL43" s="303"/>
      <c r="KM43" s="303"/>
      <c r="KN43" s="303"/>
      <c r="KO43" s="303"/>
      <c r="KP43" s="303"/>
      <c r="KQ43" s="303"/>
      <c r="KR43" s="303"/>
      <c r="KS43" s="303"/>
      <c r="KT43" s="303"/>
      <c r="KU43" s="303"/>
      <c r="KV43" s="303"/>
      <c r="KW43" s="303"/>
      <c r="KX43" s="303"/>
      <c r="KY43" s="303"/>
      <c r="KZ43" s="303"/>
      <c r="LA43" s="303"/>
      <c r="LB43" s="303"/>
      <c r="LC43" s="303"/>
      <c r="LD43" s="303"/>
      <c r="LE43" s="303"/>
      <c r="LF43" s="303"/>
      <c r="LG43" s="303"/>
      <c r="LH43" s="303"/>
      <c r="LI43" s="303"/>
      <c r="LJ43" s="303"/>
      <c r="LK43" s="303"/>
      <c r="LL43" s="303"/>
      <c r="LM43" s="303"/>
      <c r="LN43" s="303"/>
      <c r="LO43" s="303"/>
      <c r="LP43" s="303"/>
      <c r="LQ43" s="303"/>
      <c r="LR43" s="303"/>
      <c r="LS43" s="303"/>
      <c r="LT43" s="303"/>
      <c r="LU43" s="303"/>
      <c r="LV43" s="303"/>
      <c r="LW43" s="303"/>
      <c r="LX43" s="303"/>
      <c r="LY43" s="303"/>
      <c r="LZ43" s="303"/>
      <c r="MA43" s="303"/>
      <c r="MB43" s="303"/>
      <c r="MC43" s="303"/>
      <c r="MD43" s="303"/>
      <c r="ME43" s="303"/>
      <c r="MF43" s="303"/>
      <c r="MG43" s="303"/>
      <c r="MH43" s="303"/>
      <c r="MI43" s="303"/>
      <c r="MJ43" s="303"/>
      <c r="MK43" s="303"/>
      <c r="ML43" s="303"/>
      <c r="MM43" s="303"/>
      <c r="MN43" s="303"/>
      <c r="MO43" s="303"/>
      <c r="MP43" s="303"/>
      <c r="MQ43" s="303"/>
      <c r="MR43" s="303"/>
      <c r="MS43" s="303"/>
      <c r="MT43" s="303"/>
      <c r="MU43" s="303"/>
      <c r="MV43" s="303"/>
      <c r="MW43" s="303"/>
      <c r="MX43" s="303"/>
      <c r="MY43" s="303"/>
      <c r="MZ43" s="303"/>
      <c r="NA43" s="303"/>
      <c r="NB43" s="303"/>
      <c r="NC43" s="303"/>
      <c r="ND43" s="303"/>
      <c r="NE43" s="303"/>
      <c r="NF43" s="303"/>
      <c r="NG43" s="303"/>
      <c r="NH43" s="303"/>
      <c r="NI43" s="303"/>
      <c r="NJ43" s="303"/>
      <c r="NK43" s="303"/>
      <c r="NL43" s="303"/>
      <c r="NM43" s="303"/>
      <c r="NN43" s="303"/>
      <c r="NO43" s="303"/>
      <c r="NP43" s="303"/>
      <c r="NQ43" s="303"/>
      <c r="NR43" s="303"/>
      <c r="NS43" s="303"/>
      <c r="NT43" s="303"/>
      <c r="NU43" s="303"/>
      <c r="NV43" s="303"/>
      <c r="NW43" s="303"/>
      <c r="NX43" s="303"/>
      <c r="NY43" s="303"/>
      <c r="NZ43" s="303"/>
      <c r="OA43" s="303"/>
      <c r="OB43" s="303"/>
      <c r="OC43" s="303"/>
      <c r="OD43" s="303"/>
      <c r="OE43" s="303"/>
      <c r="OF43" s="303"/>
      <c r="OG43" s="303"/>
      <c r="OH43" s="303"/>
      <c r="OI43" s="303"/>
      <c r="OJ43" s="303"/>
      <c r="OK43" s="303"/>
      <c r="OL43" s="303"/>
      <c r="OM43" s="303"/>
      <c r="ON43" s="303"/>
      <c r="OO43" s="303"/>
      <c r="OP43" s="303"/>
      <c r="OQ43" s="303"/>
      <c r="OR43" s="303"/>
      <c r="OS43" s="303"/>
      <c r="OT43" s="303"/>
      <c r="OU43" s="303"/>
      <c r="OV43" s="303"/>
      <c r="OW43" s="303"/>
      <c r="OX43" s="303"/>
      <c r="OY43" s="303"/>
      <c r="OZ43" s="303"/>
      <c r="PA43" s="303"/>
      <c r="PB43" s="303"/>
      <c r="PC43" s="303"/>
      <c r="PD43" s="303"/>
      <c r="PE43" s="303"/>
      <c r="PF43" s="303"/>
      <c r="PG43" s="303"/>
      <c r="PH43" s="303"/>
      <c r="PI43" s="303"/>
      <c r="PJ43" s="303"/>
      <c r="PK43" s="303"/>
      <c r="PL43" s="303"/>
      <c r="PM43" s="303"/>
      <c r="PN43" s="303"/>
      <c r="PO43" s="303"/>
      <c r="PP43" s="303"/>
      <c r="PQ43" s="303"/>
      <c r="PR43" s="303"/>
      <c r="PS43" s="303"/>
      <c r="PT43" s="303"/>
      <c r="PU43" s="303"/>
      <c r="PV43" s="303"/>
      <c r="PW43" s="303"/>
      <c r="PX43" s="303"/>
      <c r="PY43" s="303"/>
      <c r="PZ43" s="303"/>
      <c r="QA43" s="303"/>
      <c r="QB43" s="303"/>
      <c r="QC43" s="303"/>
      <c r="QD43" s="303"/>
      <c r="QE43" s="303"/>
      <c r="QF43" s="303"/>
      <c r="QG43" s="303"/>
      <c r="QH43" s="303"/>
      <c r="QI43" s="303"/>
      <c r="QJ43" s="303"/>
      <c r="QK43" s="303"/>
      <c r="QL43" s="303"/>
      <c r="QM43" s="303"/>
      <c r="QN43" s="303"/>
      <c r="QO43" s="303"/>
      <c r="QP43" s="303"/>
      <c r="QQ43" s="303"/>
      <c r="QR43" s="303"/>
      <c r="QS43" s="303"/>
      <c r="QT43" s="303"/>
      <c r="QU43" s="303"/>
      <c r="QV43" s="303"/>
      <c r="QW43" s="303"/>
      <c r="QX43" s="303"/>
      <c r="QY43" s="303"/>
      <c r="QZ43" s="303"/>
      <c r="RA43" s="303"/>
      <c r="RB43" s="303"/>
      <c r="RC43" s="303"/>
      <c r="RD43" s="303"/>
      <c r="RE43" s="303"/>
      <c r="RF43" s="303"/>
      <c r="RG43" s="303"/>
      <c r="RH43" s="303"/>
      <c r="RI43" s="303"/>
      <c r="RJ43" s="303"/>
      <c r="RK43" s="303"/>
      <c r="RL43" s="303"/>
      <c r="RM43" s="303"/>
      <c r="RN43" s="303"/>
      <c r="RO43" s="303"/>
      <c r="RP43" s="303"/>
      <c r="RQ43" s="303"/>
      <c r="RR43" s="303"/>
      <c r="RS43" s="303"/>
      <c r="RT43" s="303"/>
      <c r="RU43" s="303"/>
      <c r="RV43" s="303"/>
      <c r="RW43" s="303"/>
      <c r="RX43" s="303"/>
      <c r="RY43" s="303"/>
      <c r="RZ43" s="303"/>
      <c r="SA43" s="303"/>
      <c r="SB43" s="303"/>
      <c r="SC43" s="303"/>
      <c r="SD43" s="303"/>
      <c r="SE43" s="303"/>
      <c r="SF43" s="303"/>
      <c r="SG43" s="303"/>
      <c r="SH43" s="303"/>
      <c r="SI43" s="303"/>
      <c r="SJ43" s="303"/>
      <c r="SK43" s="303"/>
      <c r="SL43" s="303"/>
      <c r="SM43" s="303"/>
      <c r="SN43" s="303"/>
      <c r="SO43" s="303"/>
    </row>
    <row r="44" spans="1:509" s="308" customFormat="1" ht="12.95" customHeight="1" thickBot="1" x14ac:dyDescent="0.2">
      <c r="A44" s="303"/>
      <c r="B44" s="304"/>
      <c r="C44" s="325">
        <v>31</v>
      </c>
      <c r="D44" s="999"/>
      <c r="E44" s="1000"/>
      <c r="F44" s="1000"/>
      <c r="G44" s="1000"/>
      <c r="H44" s="1000"/>
      <c r="I44" s="1000"/>
      <c r="J44" s="1001"/>
      <c r="K44" s="304"/>
      <c r="L44" s="363"/>
      <c r="M44" s="330"/>
      <c r="N44" s="331"/>
      <c r="O44" s="338"/>
      <c r="P44" s="339"/>
      <c r="Q44" s="346"/>
      <c r="R44" s="347"/>
      <c r="S44" s="354"/>
      <c r="T44" s="355"/>
      <c r="U44" s="305"/>
      <c r="V44" s="306"/>
      <c r="W44" s="306"/>
      <c r="X44" s="306"/>
      <c r="Y44" s="306"/>
      <c r="Z44" s="306"/>
      <c r="AA44" s="306"/>
      <c r="AB44" s="306"/>
      <c r="AC44" s="306"/>
      <c r="AD44" s="306"/>
      <c r="AE44" s="306"/>
      <c r="AF44" s="306"/>
      <c r="AG44" s="306"/>
      <c r="AH44" s="306"/>
      <c r="AI44" s="306"/>
      <c r="AJ44" s="306"/>
      <c r="AK44" s="306"/>
      <c r="AL44" s="306"/>
      <c r="AM44" s="306"/>
      <c r="AN44" s="306"/>
      <c r="AO44" s="306"/>
      <c r="AP44" s="306"/>
      <c r="AQ44" s="306"/>
      <c r="AR44" s="306"/>
      <c r="AS44" s="306"/>
      <c r="AT44" s="306"/>
      <c r="AU44" s="306"/>
      <c r="AV44" s="306"/>
      <c r="AW44" s="306"/>
      <c r="AX44" s="306"/>
      <c r="AY44" s="306"/>
      <c r="AZ44" s="306"/>
      <c r="BA44" s="306"/>
      <c r="BB44" s="306"/>
      <c r="BC44" s="306"/>
      <c r="BD44" s="306"/>
      <c r="BE44" s="306"/>
      <c r="BF44" s="306"/>
      <c r="BG44" s="306"/>
      <c r="BH44" s="306"/>
      <c r="BI44" s="306"/>
      <c r="BJ44" s="306"/>
      <c r="BK44" s="306"/>
      <c r="BL44" s="306"/>
      <c r="BM44" s="306"/>
      <c r="BN44" s="306"/>
      <c r="BO44" s="306"/>
      <c r="BP44" s="306"/>
      <c r="BQ44" s="306"/>
      <c r="BR44" s="306"/>
      <c r="BS44" s="306"/>
      <c r="BT44" s="306"/>
      <c r="BU44" s="306"/>
      <c r="BV44" s="306"/>
      <c r="BW44" s="306"/>
      <c r="BX44" s="306"/>
      <c r="BY44" s="306"/>
      <c r="BZ44" s="306"/>
      <c r="CA44" s="306"/>
      <c r="CB44" s="306"/>
      <c r="CC44" s="306"/>
      <c r="CD44" s="306"/>
      <c r="CE44" s="306"/>
      <c r="CF44" s="306"/>
      <c r="CG44" s="306"/>
      <c r="CH44" s="306"/>
      <c r="CI44" s="306"/>
      <c r="CJ44" s="306"/>
      <c r="CK44" s="306"/>
      <c r="CL44" s="306"/>
      <c r="CM44" s="306"/>
      <c r="CN44" s="306"/>
      <c r="CO44" s="306"/>
      <c r="CP44" s="306"/>
      <c r="CQ44" s="306"/>
      <c r="CR44" s="306"/>
      <c r="CS44" s="306"/>
      <c r="CT44" s="306"/>
      <c r="CU44" s="306"/>
      <c r="CV44" s="306"/>
      <c r="CW44" s="306"/>
      <c r="CX44" s="306"/>
      <c r="CY44" s="306"/>
      <c r="CZ44" s="306"/>
      <c r="DA44" s="306"/>
      <c r="DB44" s="306"/>
      <c r="DC44" s="306"/>
      <c r="DD44" s="306"/>
      <c r="DE44" s="306"/>
      <c r="DF44" s="306"/>
      <c r="DG44" s="306"/>
      <c r="DH44" s="306"/>
      <c r="DI44" s="306"/>
      <c r="DJ44" s="306"/>
      <c r="DK44" s="306"/>
      <c r="DL44" s="306"/>
      <c r="DM44" s="306"/>
      <c r="DN44" s="306"/>
      <c r="DO44" s="306"/>
      <c r="DP44" s="306"/>
      <c r="DQ44" s="306"/>
      <c r="DR44" s="306"/>
      <c r="DS44" s="306"/>
      <c r="DT44" s="306"/>
      <c r="DU44" s="306"/>
      <c r="DV44" s="306"/>
      <c r="DW44" s="306"/>
      <c r="DX44" s="306"/>
      <c r="DY44" s="306"/>
      <c r="DZ44" s="306"/>
      <c r="EA44" s="306"/>
      <c r="EB44" s="306"/>
      <c r="EC44" s="306"/>
      <c r="ED44" s="306"/>
      <c r="EE44" s="306"/>
      <c r="EF44" s="306"/>
      <c r="EG44" s="306"/>
      <c r="EH44" s="306"/>
      <c r="EI44" s="306"/>
      <c r="EJ44" s="306"/>
      <c r="EK44" s="306"/>
      <c r="EL44" s="306"/>
      <c r="EM44" s="306"/>
      <c r="EN44" s="306"/>
      <c r="EO44" s="306"/>
      <c r="EP44" s="306"/>
      <c r="EQ44" s="306"/>
      <c r="ER44" s="306"/>
      <c r="ES44" s="306"/>
      <c r="ET44" s="306"/>
      <c r="EU44" s="306"/>
      <c r="EV44" s="306"/>
      <c r="EW44" s="306"/>
      <c r="EX44" s="306"/>
      <c r="EY44" s="306"/>
      <c r="EZ44" s="306"/>
      <c r="FA44" s="306"/>
      <c r="FB44" s="306"/>
      <c r="FC44" s="306"/>
      <c r="FD44" s="306"/>
      <c r="FE44" s="306"/>
      <c r="FF44" s="306"/>
      <c r="FG44" s="306"/>
      <c r="FH44" s="306"/>
      <c r="FI44" s="306"/>
      <c r="FJ44" s="306"/>
      <c r="FK44" s="306"/>
      <c r="FL44" s="306"/>
      <c r="FM44" s="306"/>
      <c r="FN44" s="306"/>
      <c r="FO44" s="306"/>
      <c r="FP44" s="306"/>
      <c r="FQ44" s="306"/>
      <c r="FR44" s="306"/>
      <c r="FS44" s="306"/>
      <c r="FT44" s="306"/>
      <c r="FU44" s="306"/>
      <c r="FV44" s="306"/>
      <c r="FW44" s="306"/>
      <c r="FX44" s="306"/>
      <c r="FY44" s="306"/>
      <c r="FZ44" s="306"/>
      <c r="GA44" s="306"/>
      <c r="GB44" s="306"/>
      <c r="GC44" s="306"/>
      <c r="GD44" s="306"/>
      <c r="GE44" s="306"/>
      <c r="GF44" s="306"/>
      <c r="GG44" s="306"/>
      <c r="GH44" s="306"/>
      <c r="GI44" s="306"/>
      <c r="GJ44" s="306"/>
      <c r="GK44" s="306"/>
      <c r="GL44" s="306"/>
      <c r="GM44" s="306"/>
      <c r="GN44" s="306"/>
      <c r="GO44" s="306"/>
      <c r="GP44" s="306"/>
      <c r="GQ44" s="306"/>
      <c r="GR44" s="306"/>
      <c r="GS44" s="306"/>
      <c r="GT44" s="306"/>
      <c r="GU44" s="306"/>
      <c r="GV44" s="306"/>
      <c r="GW44" s="306"/>
      <c r="GX44" s="306"/>
      <c r="GY44" s="306"/>
      <c r="GZ44" s="306"/>
      <c r="HA44" s="306"/>
      <c r="HB44" s="306"/>
      <c r="HC44" s="306"/>
      <c r="HD44" s="306"/>
      <c r="HE44" s="306"/>
      <c r="HF44" s="306"/>
      <c r="HG44" s="306"/>
      <c r="HH44" s="306"/>
      <c r="HI44" s="306"/>
      <c r="HJ44" s="306"/>
      <c r="HK44" s="306"/>
      <c r="HL44" s="306"/>
      <c r="HM44" s="307"/>
      <c r="HN44" s="307"/>
      <c r="HO44" s="307"/>
      <c r="HP44" s="307"/>
      <c r="HQ44" s="307"/>
      <c r="HR44" s="307"/>
      <c r="HS44" s="307"/>
      <c r="HT44" s="307"/>
      <c r="HU44" s="303"/>
      <c r="HV44" s="303"/>
      <c r="HW44" s="303"/>
      <c r="HX44" s="303"/>
      <c r="HY44" s="303"/>
      <c r="HZ44" s="303"/>
      <c r="IA44" s="303"/>
      <c r="IB44" s="303"/>
      <c r="IC44" s="303"/>
      <c r="ID44" s="303"/>
      <c r="IE44" s="303"/>
      <c r="IF44" s="303"/>
      <c r="IG44" s="303"/>
      <c r="IH44" s="303"/>
      <c r="II44" s="303"/>
      <c r="IJ44" s="303"/>
      <c r="IK44" s="303"/>
      <c r="IL44" s="303"/>
      <c r="IM44" s="303"/>
      <c r="IN44" s="303"/>
      <c r="IO44" s="303"/>
      <c r="IP44" s="303"/>
      <c r="IQ44" s="303"/>
      <c r="IR44" s="303"/>
      <c r="IS44" s="303"/>
      <c r="IT44" s="303"/>
      <c r="IU44" s="303"/>
      <c r="IV44" s="303"/>
      <c r="IW44" s="303"/>
      <c r="IX44" s="303"/>
      <c r="IY44" s="303"/>
      <c r="IZ44" s="303"/>
      <c r="JA44" s="303"/>
      <c r="JB44" s="303"/>
      <c r="JC44" s="303"/>
      <c r="JD44" s="303"/>
      <c r="JE44" s="303"/>
      <c r="JF44" s="303"/>
      <c r="JG44" s="303"/>
      <c r="JH44" s="303"/>
      <c r="JI44" s="303"/>
      <c r="JJ44" s="303"/>
      <c r="JK44" s="303"/>
      <c r="JL44" s="303"/>
      <c r="JM44" s="303"/>
      <c r="JN44" s="303"/>
      <c r="JO44" s="303"/>
      <c r="JP44" s="303"/>
      <c r="JQ44" s="303"/>
      <c r="JR44" s="303"/>
      <c r="JS44" s="303"/>
      <c r="JT44" s="303"/>
      <c r="JU44" s="303"/>
      <c r="JV44" s="303"/>
      <c r="JW44" s="303"/>
      <c r="JX44" s="303"/>
      <c r="JY44" s="303"/>
      <c r="JZ44" s="303"/>
      <c r="KA44" s="303"/>
      <c r="KB44" s="303"/>
      <c r="KC44" s="303"/>
      <c r="KD44" s="303"/>
      <c r="KE44" s="303"/>
      <c r="KF44" s="303"/>
      <c r="KG44" s="303"/>
      <c r="KH44" s="303"/>
      <c r="KI44" s="303"/>
      <c r="KJ44" s="303"/>
      <c r="KK44" s="303"/>
      <c r="KL44" s="303"/>
      <c r="KM44" s="303"/>
      <c r="KN44" s="303"/>
      <c r="KO44" s="303"/>
      <c r="KP44" s="303"/>
      <c r="KQ44" s="303"/>
      <c r="KR44" s="303"/>
      <c r="KS44" s="303"/>
      <c r="KT44" s="303"/>
      <c r="KU44" s="303"/>
      <c r="KV44" s="303"/>
      <c r="KW44" s="303"/>
      <c r="KX44" s="303"/>
      <c r="KY44" s="303"/>
      <c r="KZ44" s="303"/>
      <c r="LA44" s="303"/>
      <c r="LB44" s="303"/>
      <c r="LC44" s="303"/>
      <c r="LD44" s="303"/>
      <c r="LE44" s="303"/>
      <c r="LF44" s="303"/>
      <c r="LG44" s="303"/>
      <c r="LH44" s="303"/>
      <c r="LI44" s="303"/>
      <c r="LJ44" s="303"/>
      <c r="LK44" s="303"/>
      <c r="LL44" s="303"/>
      <c r="LM44" s="303"/>
      <c r="LN44" s="303"/>
      <c r="LO44" s="303"/>
      <c r="LP44" s="303"/>
      <c r="LQ44" s="303"/>
      <c r="LR44" s="303"/>
      <c r="LS44" s="303"/>
      <c r="LT44" s="303"/>
      <c r="LU44" s="303"/>
      <c r="LV44" s="303"/>
      <c r="LW44" s="303"/>
      <c r="LX44" s="303"/>
      <c r="LY44" s="303"/>
      <c r="LZ44" s="303"/>
      <c r="MA44" s="303"/>
      <c r="MB44" s="303"/>
      <c r="MC44" s="303"/>
      <c r="MD44" s="303"/>
      <c r="ME44" s="303"/>
      <c r="MF44" s="303"/>
      <c r="MG44" s="303"/>
      <c r="MH44" s="303"/>
      <c r="MI44" s="303"/>
      <c r="MJ44" s="303"/>
      <c r="MK44" s="303"/>
      <c r="ML44" s="303"/>
      <c r="MM44" s="303"/>
      <c r="MN44" s="303"/>
      <c r="MO44" s="303"/>
      <c r="MP44" s="303"/>
      <c r="MQ44" s="303"/>
      <c r="MR44" s="303"/>
      <c r="MS44" s="303"/>
      <c r="MT44" s="303"/>
      <c r="MU44" s="303"/>
      <c r="MV44" s="303"/>
      <c r="MW44" s="303"/>
      <c r="MX44" s="303"/>
      <c r="MY44" s="303"/>
      <c r="MZ44" s="303"/>
      <c r="NA44" s="303"/>
      <c r="NB44" s="303"/>
      <c r="NC44" s="303"/>
      <c r="ND44" s="303"/>
      <c r="NE44" s="303"/>
      <c r="NF44" s="303"/>
      <c r="NG44" s="303"/>
      <c r="NH44" s="303"/>
      <c r="NI44" s="303"/>
      <c r="NJ44" s="303"/>
      <c r="NK44" s="303"/>
      <c r="NL44" s="303"/>
      <c r="NM44" s="303"/>
      <c r="NN44" s="303"/>
      <c r="NO44" s="303"/>
      <c r="NP44" s="303"/>
      <c r="NQ44" s="303"/>
      <c r="NR44" s="303"/>
      <c r="NS44" s="303"/>
      <c r="NT44" s="303"/>
      <c r="NU44" s="303"/>
      <c r="NV44" s="303"/>
      <c r="NW44" s="303"/>
      <c r="NX44" s="303"/>
      <c r="NY44" s="303"/>
      <c r="NZ44" s="303"/>
      <c r="OA44" s="303"/>
      <c r="OB44" s="303"/>
      <c r="OC44" s="303"/>
      <c r="OD44" s="303"/>
      <c r="OE44" s="303"/>
      <c r="OF44" s="303"/>
      <c r="OG44" s="303"/>
      <c r="OH44" s="303"/>
      <c r="OI44" s="303"/>
      <c r="OJ44" s="303"/>
      <c r="OK44" s="303"/>
      <c r="OL44" s="303"/>
      <c r="OM44" s="303"/>
      <c r="ON44" s="303"/>
      <c r="OO44" s="303"/>
      <c r="OP44" s="303"/>
      <c r="OQ44" s="303"/>
      <c r="OR44" s="303"/>
      <c r="OS44" s="303"/>
      <c r="OT44" s="303"/>
      <c r="OU44" s="303"/>
      <c r="OV44" s="303"/>
      <c r="OW44" s="303"/>
      <c r="OX44" s="303"/>
      <c r="OY44" s="303"/>
      <c r="OZ44" s="303"/>
      <c r="PA44" s="303"/>
      <c r="PB44" s="303"/>
      <c r="PC44" s="303"/>
      <c r="PD44" s="303"/>
      <c r="PE44" s="303"/>
      <c r="PF44" s="303"/>
      <c r="PG44" s="303"/>
      <c r="PH44" s="303"/>
      <c r="PI44" s="303"/>
      <c r="PJ44" s="303"/>
      <c r="PK44" s="303"/>
      <c r="PL44" s="303"/>
      <c r="PM44" s="303"/>
      <c r="PN44" s="303"/>
      <c r="PO44" s="303"/>
      <c r="PP44" s="303"/>
      <c r="PQ44" s="303"/>
      <c r="PR44" s="303"/>
      <c r="PS44" s="303"/>
      <c r="PT44" s="303"/>
      <c r="PU44" s="303"/>
      <c r="PV44" s="303"/>
      <c r="PW44" s="303"/>
      <c r="PX44" s="303"/>
      <c r="PY44" s="303"/>
      <c r="PZ44" s="303"/>
      <c r="QA44" s="303"/>
      <c r="QB44" s="303"/>
      <c r="QC44" s="303"/>
      <c r="QD44" s="303"/>
      <c r="QE44" s="303"/>
      <c r="QF44" s="303"/>
      <c r="QG44" s="303"/>
      <c r="QH44" s="303"/>
      <c r="QI44" s="303"/>
      <c r="QJ44" s="303"/>
      <c r="QK44" s="303"/>
      <c r="QL44" s="303"/>
      <c r="QM44" s="303"/>
      <c r="QN44" s="303"/>
      <c r="QO44" s="303"/>
      <c r="QP44" s="303"/>
      <c r="QQ44" s="303"/>
      <c r="QR44" s="303"/>
      <c r="QS44" s="303"/>
      <c r="QT44" s="303"/>
      <c r="QU44" s="303"/>
      <c r="QV44" s="303"/>
      <c r="QW44" s="303"/>
      <c r="QX44" s="303"/>
      <c r="QY44" s="303"/>
      <c r="QZ44" s="303"/>
      <c r="RA44" s="303"/>
      <c r="RB44" s="303"/>
      <c r="RC44" s="303"/>
      <c r="RD44" s="303"/>
      <c r="RE44" s="303"/>
      <c r="RF44" s="303"/>
      <c r="RG44" s="303"/>
      <c r="RH44" s="303"/>
      <c r="RI44" s="303"/>
      <c r="RJ44" s="303"/>
      <c r="RK44" s="303"/>
      <c r="RL44" s="303"/>
      <c r="RM44" s="303"/>
      <c r="RN44" s="303"/>
      <c r="RO44" s="303"/>
      <c r="RP44" s="303"/>
      <c r="RQ44" s="303"/>
      <c r="RR44" s="303"/>
      <c r="RS44" s="303"/>
      <c r="RT44" s="303"/>
      <c r="RU44" s="303"/>
      <c r="RV44" s="303"/>
      <c r="RW44" s="303"/>
      <c r="RX44" s="303"/>
      <c r="RY44" s="303"/>
      <c r="RZ44" s="303"/>
      <c r="SA44" s="303"/>
      <c r="SB44" s="303"/>
      <c r="SC44" s="303"/>
      <c r="SD44" s="303"/>
      <c r="SE44" s="303"/>
      <c r="SF44" s="303"/>
      <c r="SG44" s="303"/>
      <c r="SH44" s="303"/>
      <c r="SI44" s="303"/>
      <c r="SJ44" s="303"/>
      <c r="SK44" s="303"/>
      <c r="SL44" s="303"/>
      <c r="SM44" s="303"/>
      <c r="SN44" s="303"/>
      <c r="SO44" s="303"/>
    </row>
    <row r="45" spans="1:509" s="308" customFormat="1" ht="12" customHeight="1" thickBot="1" x14ac:dyDescent="0.2">
      <c r="A45" s="303"/>
      <c r="B45" s="304"/>
      <c r="C45" s="325">
        <v>32</v>
      </c>
      <c r="D45" s="999"/>
      <c r="E45" s="1000"/>
      <c r="F45" s="1000"/>
      <c r="G45" s="1000"/>
      <c r="H45" s="1000"/>
      <c r="I45" s="1000"/>
      <c r="J45" s="1001"/>
      <c r="K45" s="304"/>
      <c r="L45" s="363"/>
      <c r="M45" s="330"/>
      <c r="N45" s="331"/>
      <c r="O45" s="338"/>
      <c r="P45" s="339"/>
      <c r="Q45" s="346"/>
      <c r="R45" s="347"/>
      <c r="S45" s="354"/>
      <c r="T45" s="355"/>
      <c r="U45" s="305"/>
      <c r="V45" s="306"/>
      <c r="W45" s="306"/>
      <c r="X45" s="306"/>
      <c r="Y45" s="306"/>
      <c r="Z45" s="306"/>
      <c r="AA45" s="306"/>
      <c r="AB45" s="306"/>
      <c r="AC45" s="306"/>
      <c r="AD45" s="306"/>
      <c r="AE45" s="306"/>
      <c r="AF45" s="306"/>
      <c r="AG45" s="306"/>
      <c r="AH45" s="306"/>
      <c r="AI45" s="306"/>
      <c r="AJ45" s="306"/>
      <c r="AK45" s="306"/>
      <c r="AL45" s="306"/>
      <c r="AM45" s="306"/>
      <c r="AN45" s="306"/>
      <c r="AO45" s="306"/>
      <c r="AP45" s="306"/>
      <c r="AQ45" s="306"/>
      <c r="AR45" s="306"/>
      <c r="AS45" s="306"/>
      <c r="AT45" s="306"/>
      <c r="AU45" s="306"/>
      <c r="AV45" s="306"/>
      <c r="AW45" s="306"/>
      <c r="AX45" s="306"/>
      <c r="AY45" s="306"/>
      <c r="AZ45" s="306"/>
      <c r="BA45" s="306"/>
      <c r="BB45" s="306"/>
      <c r="BC45" s="306"/>
      <c r="BD45" s="306"/>
      <c r="BE45" s="306"/>
      <c r="BF45" s="306"/>
      <c r="BG45" s="306"/>
      <c r="BH45" s="306"/>
      <c r="BI45" s="306"/>
      <c r="BJ45" s="306"/>
      <c r="BK45" s="306"/>
      <c r="BL45" s="306"/>
      <c r="BM45" s="306"/>
      <c r="BN45" s="306"/>
      <c r="BO45" s="306"/>
      <c r="BP45" s="306"/>
      <c r="BQ45" s="306"/>
      <c r="BR45" s="306"/>
      <c r="BS45" s="306"/>
      <c r="BT45" s="306"/>
      <c r="BU45" s="306"/>
      <c r="BV45" s="306"/>
      <c r="BW45" s="306"/>
      <c r="BX45" s="306"/>
      <c r="BY45" s="306"/>
      <c r="BZ45" s="306"/>
      <c r="CA45" s="306"/>
      <c r="CB45" s="306"/>
      <c r="CC45" s="306"/>
      <c r="CD45" s="306"/>
      <c r="CE45" s="306"/>
      <c r="CF45" s="306"/>
      <c r="CG45" s="306"/>
      <c r="CH45" s="306"/>
      <c r="CI45" s="306"/>
      <c r="CJ45" s="306"/>
      <c r="CK45" s="306"/>
      <c r="CL45" s="306"/>
      <c r="CM45" s="306"/>
      <c r="CN45" s="306"/>
      <c r="CO45" s="306"/>
      <c r="CP45" s="306"/>
      <c r="CQ45" s="306"/>
      <c r="CR45" s="306"/>
      <c r="CS45" s="306"/>
      <c r="CT45" s="306"/>
      <c r="CU45" s="306"/>
      <c r="CV45" s="306"/>
      <c r="CW45" s="306"/>
      <c r="CX45" s="306"/>
      <c r="CY45" s="306"/>
      <c r="CZ45" s="306"/>
      <c r="DA45" s="306"/>
      <c r="DB45" s="306"/>
      <c r="DC45" s="306"/>
      <c r="DD45" s="306"/>
      <c r="DE45" s="306"/>
      <c r="DF45" s="306"/>
      <c r="DG45" s="306"/>
      <c r="DH45" s="306"/>
      <c r="DI45" s="306"/>
      <c r="DJ45" s="306"/>
      <c r="DK45" s="306"/>
      <c r="DL45" s="306"/>
      <c r="DM45" s="306"/>
      <c r="DN45" s="306"/>
      <c r="DO45" s="306"/>
      <c r="DP45" s="306"/>
      <c r="DQ45" s="306"/>
      <c r="DR45" s="306"/>
      <c r="DS45" s="306"/>
      <c r="DT45" s="306"/>
      <c r="DU45" s="306"/>
      <c r="DV45" s="306"/>
      <c r="DW45" s="306"/>
      <c r="DX45" s="306"/>
      <c r="DY45" s="306"/>
      <c r="DZ45" s="306"/>
      <c r="EA45" s="306"/>
      <c r="EB45" s="306"/>
      <c r="EC45" s="306"/>
      <c r="ED45" s="306"/>
      <c r="EE45" s="306"/>
      <c r="EF45" s="306"/>
      <c r="EG45" s="306"/>
      <c r="EH45" s="306"/>
      <c r="EI45" s="306"/>
      <c r="EJ45" s="306"/>
      <c r="EK45" s="306"/>
      <c r="EL45" s="306"/>
      <c r="EM45" s="306"/>
      <c r="EN45" s="306"/>
      <c r="EO45" s="306"/>
      <c r="EP45" s="306"/>
      <c r="EQ45" s="306"/>
      <c r="ER45" s="306"/>
      <c r="ES45" s="306"/>
      <c r="ET45" s="306"/>
      <c r="EU45" s="306"/>
      <c r="EV45" s="306"/>
      <c r="EW45" s="306"/>
      <c r="EX45" s="306"/>
      <c r="EY45" s="306"/>
      <c r="EZ45" s="306"/>
      <c r="FA45" s="306"/>
      <c r="FB45" s="306"/>
      <c r="FC45" s="306"/>
      <c r="FD45" s="306"/>
      <c r="FE45" s="306"/>
      <c r="FF45" s="306"/>
      <c r="FG45" s="306"/>
      <c r="FH45" s="306"/>
      <c r="FI45" s="306"/>
      <c r="FJ45" s="306"/>
      <c r="FK45" s="306"/>
      <c r="FL45" s="306"/>
      <c r="FM45" s="306"/>
      <c r="FN45" s="306"/>
      <c r="FO45" s="306"/>
      <c r="FP45" s="306"/>
      <c r="FQ45" s="306"/>
      <c r="FR45" s="306"/>
      <c r="FS45" s="306"/>
      <c r="FT45" s="306"/>
      <c r="FU45" s="306"/>
      <c r="FV45" s="306"/>
      <c r="FW45" s="306"/>
      <c r="FX45" s="306"/>
      <c r="FY45" s="306"/>
      <c r="FZ45" s="306"/>
      <c r="GA45" s="306"/>
      <c r="GB45" s="306"/>
      <c r="GC45" s="306"/>
      <c r="GD45" s="306"/>
      <c r="GE45" s="306"/>
      <c r="GF45" s="306"/>
      <c r="GG45" s="306"/>
      <c r="GH45" s="306"/>
      <c r="GI45" s="306"/>
      <c r="GJ45" s="306"/>
      <c r="GK45" s="306"/>
      <c r="GL45" s="306"/>
      <c r="GM45" s="306"/>
      <c r="GN45" s="306"/>
      <c r="GO45" s="306"/>
      <c r="GP45" s="306"/>
      <c r="GQ45" s="306"/>
      <c r="GR45" s="306"/>
      <c r="GS45" s="306"/>
      <c r="GT45" s="306"/>
      <c r="GU45" s="306"/>
      <c r="GV45" s="306"/>
      <c r="GW45" s="306"/>
      <c r="GX45" s="306"/>
      <c r="GY45" s="306"/>
      <c r="GZ45" s="306"/>
      <c r="HA45" s="306"/>
      <c r="HB45" s="306"/>
      <c r="HC45" s="306"/>
      <c r="HD45" s="306"/>
      <c r="HE45" s="306"/>
      <c r="HF45" s="306"/>
      <c r="HG45" s="306"/>
      <c r="HH45" s="306"/>
      <c r="HI45" s="306"/>
      <c r="HJ45" s="306"/>
      <c r="HK45" s="306"/>
      <c r="HL45" s="306"/>
      <c r="HM45" s="307"/>
      <c r="HN45" s="307"/>
      <c r="HO45" s="307"/>
      <c r="HP45" s="307"/>
      <c r="HQ45" s="307"/>
      <c r="HR45" s="307"/>
      <c r="HS45" s="307"/>
      <c r="HT45" s="307"/>
      <c r="HU45" s="303"/>
      <c r="HV45" s="303"/>
      <c r="HW45" s="303"/>
      <c r="HX45" s="303"/>
      <c r="HY45" s="303"/>
      <c r="HZ45" s="303"/>
      <c r="IA45" s="303"/>
      <c r="IB45" s="303"/>
      <c r="IC45" s="303"/>
      <c r="ID45" s="303"/>
      <c r="IE45" s="303"/>
      <c r="IF45" s="303"/>
      <c r="IG45" s="303"/>
      <c r="IH45" s="303"/>
      <c r="II45" s="303"/>
      <c r="IJ45" s="303"/>
      <c r="IK45" s="303"/>
      <c r="IL45" s="303"/>
      <c r="IM45" s="303"/>
      <c r="IN45" s="303"/>
      <c r="IO45" s="303"/>
      <c r="IP45" s="303"/>
      <c r="IQ45" s="303"/>
      <c r="IR45" s="303"/>
      <c r="IS45" s="303"/>
      <c r="IT45" s="303"/>
      <c r="IU45" s="303"/>
      <c r="IV45" s="303"/>
      <c r="IW45" s="303"/>
      <c r="IX45" s="303"/>
      <c r="IY45" s="303"/>
      <c r="IZ45" s="303"/>
      <c r="JA45" s="303"/>
      <c r="JB45" s="303"/>
      <c r="JC45" s="303"/>
      <c r="JD45" s="303"/>
      <c r="JE45" s="303"/>
      <c r="JF45" s="303"/>
      <c r="JG45" s="303"/>
      <c r="JH45" s="303"/>
      <c r="JI45" s="303"/>
      <c r="JJ45" s="303"/>
      <c r="JK45" s="303"/>
      <c r="JL45" s="303"/>
      <c r="JM45" s="303"/>
      <c r="JN45" s="303"/>
      <c r="JO45" s="303"/>
      <c r="JP45" s="303"/>
      <c r="JQ45" s="303"/>
      <c r="JR45" s="303"/>
      <c r="JS45" s="303"/>
      <c r="JT45" s="303"/>
      <c r="JU45" s="303"/>
      <c r="JV45" s="303"/>
      <c r="JW45" s="303"/>
      <c r="JX45" s="303"/>
      <c r="JY45" s="303"/>
      <c r="JZ45" s="303"/>
      <c r="KA45" s="303"/>
      <c r="KB45" s="303"/>
      <c r="KC45" s="303"/>
      <c r="KD45" s="303"/>
      <c r="KE45" s="303"/>
      <c r="KF45" s="303"/>
      <c r="KG45" s="303"/>
      <c r="KH45" s="303"/>
      <c r="KI45" s="303"/>
      <c r="KJ45" s="303"/>
      <c r="KK45" s="303"/>
      <c r="KL45" s="303"/>
      <c r="KM45" s="303"/>
      <c r="KN45" s="303"/>
      <c r="KO45" s="303"/>
      <c r="KP45" s="303"/>
      <c r="KQ45" s="303"/>
      <c r="KR45" s="303"/>
      <c r="KS45" s="303"/>
      <c r="KT45" s="303"/>
      <c r="KU45" s="303"/>
      <c r="KV45" s="303"/>
      <c r="KW45" s="303"/>
      <c r="KX45" s="303"/>
      <c r="KY45" s="303"/>
      <c r="KZ45" s="303"/>
      <c r="LA45" s="303"/>
      <c r="LB45" s="303"/>
      <c r="LC45" s="303"/>
      <c r="LD45" s="303"/>
      <c r="LE45" s="303"/>
      <c r="LF45" s="303"/>
      <c r="LG45" s="303"/>
      <c r="LH45" s="303"/>
      <c r="LI45" s="303"/>
      <c r="LJ45" s="303"/>
      <c r="LK45" s="303"/>
      <c r="LL45" s="303"/>
      <c r="LM45" s="303"/>
      <c r="LN45" s="303"/>
      <c r="LO45" s="303"/>
      <c r="LP45" s="303"/>
      <c r="LQ45" s="303"/>
      <c r="LR45" s="303"/>
      <c r="LS45" s="303"/>
      <c r="LT45" s="303"/>
      <c r="LU45" s="303"/>
      <c r="LV45" s="303"/>
      <c r="LW45" s="303"/>
      <c r="LX45" s="303"/>
      <c r="LY45" s="303"/>
      <c r="LZ45" s="303"/>
      <c r="MA45" s="303"/>
      <c r="MB45" s="303"/>
      <c r="MC45" s="303"/>
      <c r="MD45" s="303"/>
      <c r="ME45" s="303"/>
      <c r="MF45" s="303"/>
      <c r="MG45" s="303"/>
      <c r="MH45" s="303"/>
      <c r="MI45" s="303"/>
      <c r="MJ45" s="303"/>
      <c r="MK45" s="303"/>
      <c r="ML45" s="303"/>
      <c r="MM45" s="303"/>
      <c r="MN45" s="303"/>
      <c r="MO45" s="303"/>
      <c r="MP45" s="303"/>
      <c r="MQ45" s="303"/>
      <c r="MR45" s="303"/>
      <c r="MS45" s="303"/>
      <c r="MT45" s="303"/>
      <c r="MU45" s="303"/>
      <c r="MV45" s="303"/>
      <c r="MW45" s="303"/>
      <c r="MX45" s="303"/>
      <c r="MY45" s="303"/>
      <c r="MZ45" s="303"/>
      <c r="NA45" s="303"/>
      <c r="NB45" s="303"/>
      <c r="NC45" s="303"/>
      <c r="ND45" s="303"/>
      <c r="NE45" s="303"/>
      <c r="NF45" s="303"/>
      <c r="NG45" s="303"/>
      <c r="NH45" s="303"/>
      <c r="NI45" s="303"/>
      <c r="NJ45" s="303"/>
      <c r="NK45" s="303"/>
      <c r="NL45" s="303"/>
      <c r="NM45" s="303"/>
      <c r="NN45" s="303"/>
      <c r="NO45" s="303"/>
      <c r="NP45" s="303"/>
      <c r="NQ45" s="303"/>
      <c r="NR45" s="303"/>
      <c r="NS45" s="303"/>
      <c r="NT45" s="303"/>
      <c r="NU45" s="303"/>
      <c r="NV45" s="303"/>
      <c r="NW45" s="303"/>
      <c r="NX45" s="303"/>
      <c r="NY45" s="303"/>
      <c r="NZ45" s="303"/>
      <c r="OA45" s="303"/>
      <c r="OB45" s="303"/>
      <c r="OC45" s="303"/>
      <c r="OD45" s="303"/>
      <c r="OE45" s="303"/>
      <c r="OF45" s="303"/>
      <c r="OG45" s="303"/>
      <c r="OH45" s="303"/>
      <c r="OI45" s="303"/>
      <c r="OJ45" s="303"/>
      <c r="OK45" s="303"/>
      <c r="OL45" s="303"/>
      <c r="OM45" s="303"/>
      <c r="ON45" s="303"/>
      <c r="OO45" s="303"/>
      <c r="OP45" s="303"/>
      <c r="OQ45" s="303"/>
      <c r="OR45" s="303"/>
      <c r="OS45" s="303"/>
      <c r="OT45" s="303"/>
      <c r="OU45" s="303"/>
      <c r="OV45" s="303"/>
      <c r="OW45" s="303"/>
      <c r="OX45" s="303"/>
      <c r="OY45" s="303"/>
      <c r="OZ45" s="303"/>
      <c r="PA45" s="303"/>
      <c r="PB45" s="303"/>
      <c r="PC45" s="303"/>
      <c r="PD45" s="303"/>
      <c r="PE45" s="303"/>
      <c r="PF45" s="303"/>
      <c r="PG45" s="303"/>
      <c r="PH45" s="303"/>
      <c r="PI45" s="303"/>
      <c r="PJ45" s="303"/>
      <c r="PK45" s="303"/>
      <c r="PL45" s="303"/>
      <c r="PM45" s="303"/>
      <c r="PN45" s="303"/>
      <c r="PO45" s="303"/>
      <c r="PP45" s="303"/>
      <c r="PQ45" s="303"/>
      <c r="PR45" s="303"/>
      <c r="PS45" s="303"/>
      <c r="PT45" s="303"/>
      <c r="PU45" s="303"/>
      <c r="PV45" s="303"/>
      <c r="PW45" s="303"/>
      <c r="PX45" s="303"/>
      <c r="PY45" s="303"/>
      <c r="PZ45" s="303"/>
      <c r="QA45" s="303"/>
      <c r="QB45" s="303"/>
      <c r="QC45" s="303"/>
      <c r="QD45" s="303"/>
      <c r="QE45" s="303"/>
      <c r="QF45" s="303"/>
      <c r="QG45" s="303"/>
      <c r="QH45" s="303"/>
      <c r="QI45" s="303"/>
      <c r="QJ45" s="303"/>
      <c r="QK45" s="303"/>
      <c r="QL45" s="303"/>
      <c r="QM45" s="303"/>
      <c r="QN45" s="303"/>
      <c r="QO45" s="303"/>
      <c r="QP45" s="303"/>
      <c r="QQ45" s="303"/>
      <c r="QR45" s="303"/>
      <c r="QS45" s="303"/>
      <c r="QT45" s="303"/>
      <c r="QU45" s="303"/>
      <c r="QV45" s="303"/>
      <c r="QW45" s="303"/>
      <c r="QX45" s="303"/>
      <c r="QY45" s="303"/>
      <c r="QZ45" s="303"/>
      <c r="RA45" s="303"/>
      <c r="RB45" s="303"/>
      <c r="RC45" s="303"/>
      <c r="RD45" s="303"/>
      <c r="RE45" s="303"/>
      <c r="RF45" s="303"/>
      <c r="RG45" s="303"/>
      <c r="RH45" s="303"/>
      <c r="RI45" s="303"/>
      <c r="RJ45" s="303"/>
      <c r="RK45" s="303"/>
      <c r="RL45" s="303"/>
      <c r="RM45" s="303"/>
      <c r="RN45" s="303"/>
      <c r="RO45" s="303"/>
      <c r="RP45" s="303"/>
      <c r="RQ45" s="303"/>
      <c r="RR45" s="303"/>
      <c r="RS45" s="303"/>
      <c r="RT45" s="303"/>
      <c r="RU45" s="303"/>
      <c r="RV45" s="303"/>
      <c r="RW45" s="303"/>
      <c r="RX45" s="303"/>
      <c r="RY45" s="303"/>
      <c r="RZ45" s="303"/>
      <c r="SA45" s="303"/>
      <c r="SB45" s="303"/>
      <c r="SC45" s="303"/>
      <c r="SD45" s="303"/>
      <c r="SE45" s="303"/>
      <c r="SF45" s="303"/>
      <c r="SG45" s="303"/>
      <c r="SH45" s="303"/>
      <c r="SI45" s="303"/>
      <c r="SJ45" s="303"/>
      <c r="SK45" s="303"/>
      <c r="SL45" s="303"/>
      <c r="SM45" s="303"/>
      <c r="SN45" s="303"/>
      <c r="SO45" s="303"/>
    </row>
    <row r="46" spans="1:509" s="308" customFormat="1" ht="12.95" customHeight="1" thickBot="1" x14ac:dyDescent="0.2">
      <c r="A46" s="303"/>
      <c r="B46" s="304"/>
      <c r="C46" s="325">
        <v>33</v>
      </c>
      <c r="D46" s="999"/>
      <c r="E46" s="1000"/>
      <c r="F46" s="1000"/>
      <c r="G46" s="1000"/>
      <c r="H46" s="1000"/>
      <c r="I46" s="1000"/>
      <c r="J46" s="1001"/>
      <c r="K46" s="304"/>
      <c r="L46" s="363"/>
      <c r="M46" s="330"/>
      <c r="N46" s="331"/>
      <c r="O46" s="338"/>
      <c r="P46" s="339"/>
      <c r="Q46" s="346"/>
      <c r="R46" s="347"/>
      <c r="S46" s="354"/>
      <c r="T46" s="355"/>
      <c r="U46" s="305"/>
      <c r="V46" s="306"/>
      <c r="W46" s="306"/>
      <c r="X46" s="306"/>
      <c r="Y46" s="306"/>
      <c r="Z46" s="306"/>
      <c r="AA46" s="306"/>
      <c r="AB46" s="306"/>
      <c r="AC46" s="306"/>
      <c r="AD46" s="306"/>
      <c r="AE46" s="306"/>
      <c r="AF46" s="306"/>
      <c r="AG46" s="306"/>
      <c r="AH46" s="306"/>
      <c r="AI46" s="306"/>
      <c r="AJ46" s="306"/>
      <c r="AK46" s="306"/>
      <c r="AL46" s="306"/>
      <c r="AM46" s="306"/>
      <c r="AN46" s="306"/>
      <c r="AO46" s="306"/>
      <c r="AP46" s="306"/>
      <c r="AQ46" s="306"/>
      <c r="AR46" s="306"/>
      <c r="AS46" s="306"/>
      <c r="AT46" s="306"/>
      <c r="AU46" s="306"/>
      <c r="AV46" s="306"/>
      <c r="AW46" s="306"/>
      <c r="AX46" s="306"/>
      <c r="AY46" s="306"/>
      <c r="AZ46" s="306"/>
      <c r="BA46" s="306"/>
      <c r="BB46" s="306"/>
      <c r="BC46" s="306"/>
      <c r="BD46" s="306"/>
      <c r="BE46" s="306"/>
      <c r="BF46" s="306"/>
      <c r="BG46" s="306"/>
      <c r="BH46" s="306"/>
      <c r="BI46" s="306"/>
      <c r="BJ46" s="306"/>
      <c r="BK46" s="306"/>
      <c r="BL46" s="306"/>
      <c r="BM46" s="306"/>
      <c r="BN46" s="306"/>
      <c r="BO46" s="306"/>
      <c r="BP46" s="306"/>
      <c r="BQ46" s="306"/>
      <c r="BR46" s="306"/>
      <c r="BS46" s="306"/>
      <c r="BT46" s="306"/>
      <c r="BU46" s="306"/>
      <c r="BV46" s="306"/>
      <c r="BW46" s="306"/>
      <c r="BX46" s="306"/>
      <c r="BY46" s="306"/>
      <c r="BZ46" s="306"/>
      <c r="CA46" s="306"/>
      <c r="CB46" s="306"/>
      <c r="CC46" s="306"/>
      <c r="CD46" s="306"/>
      <c r="CE46" s="306"/>
      <c r="CF46" s="306"/>
      <c r="CG46" s="306"/>
      <c r="CH46" s="306"/>
      <c r="CI46" s="306"/>
      <c r="CJ46" s="306"/>
      <c r="CK46" s="306"/>
      <c r="CL46" s="306"/>
      <c r="CM46" s="306"/>
      <c r="CN46" s="306"/>
      <c r="CO46" s="306"/>
      <c r="CP46" s="306"/>
      <c r="CQ46" s="306"/>
      <c r="CR46" s="306"/>
      <c r="CS46" s="306"/>
      <c r="CT46" s="306"/>
      <c r="CU46" s="306"/>
      <c r="CV46" s="306"/>
      <c r="CW46" s="306"/>
      <c r="CX46" s="306"/>
      <c r="CY46" s="306"/>
      <c r="CZ46" s="306"/>
      <c r="DA46" s="306"/>
      <c r="DB46" s="306"/>
      <c r="DC46" s="306"/>
      <c r="DD46" s="306"/>
      <c r="DE46" s="306"/>
      <c r="DF46" s="306"/>
      <c r="DG46" s="306"/>
      <c r="DH46" s="306"/>
      <c r="DI46" s="306"/>
      <c r="DJ46" s="306"/>
      <c r="DK46" s="306"/>
      <c r="DL46" s="306"/>
      <c r="DM46" s="306"/>
      <c r="DN46" s="306"/>
      <c r="DO46" s="306"/>
      <c r="DP46" s="306"/>
      <c r="DQ46" s="306"/>
      <c r="DR46" s="306"/>
      <c r="DS46" s="306"/>
      <c r="DT46" s="306"/>
      <c r="DU46" s="306"/>
      <c r="DV46" s="306"/>
      <c r="DW46" s="306"/>
      <c r="DX46" s="306"/>
      <c r="DY46" s="306"/>
      <c r="DZ46" s="306"/>
      <c r="EA46" s="306"/>
      <c r="EB46" s="306"/>
      <c r="EC46" s="306"/>
      <c r="ED46" s="306"/>
      <c r="EE46" s="306"/>
      <c r="EF46" s="306"/>
      <c r="EG46" s="306"/>
      <c r="EH46" s="306"/>
      <c r="EI46" s="306"/>
      <c r="EJ46" s="306"/>
      <c r="EK46" s="306"/>
      <c r="EL46" s="306"/>
      <c r="EM46" s="306"/>
      <c r="EN46" s="306"/>
      <c r="EO46" s="306"/>
      <c r="EP46" s="306"/>
      <c r="EQ46" s="306"/>
      <c r="ER46" s="306"/>
      <c r="ES46" s="306"/>
      <c r="ET46" s="306"/>
      <c r="EU46" s="306"/>
      <c r="EV46" s="306"/>
      <c r="EW46" s="306"/>
      <c r="EX46" s="306"/>
      <c r="EY46" s="306"/>
      <c r="EZ46" s="306"/>
      <c r="FA46" s="306"/>
      <c r="FB46" s="306"/>
      <c r="FC46" s="306"/>
      <c r="FD46" s="306"/>
      <c r="FE46" s="306"/>
      <c r="FF46" s="306"/>
      <c r="FG46" s="306"/>
      <c r="FH46" s="306"/>
      <c r="FI46" s="306"/>
      <c r="FJ46" s="306"/>
      <c r="FK46" s="306"/>
      <c r="FL46" s="306"/>
      <c r="FM46" s="306"/>
      <c r="FN46" s="306"/>
      <c r="FO46" s="306"/>
      <c r="FP46" s="306"/>
      <c r="FQ46" s="306"/>
      <c r="FR46" s="306"/>
      <c r="FS46" s="306"/>
      <c r="FT46" s="306"/>
      <c r="FU46" s="306"/>
      <c r="FV46" s="306"/>
      <c r="FW46" s="306"/>
      <c r="FX46" s="306"/>
      <c r="FY46" s="306"/>
      <c r="FZ46" s="306"/>
      <c r="GA46" s="306"/>
      <c r="GB46" s="306"/>
      <c r="GC46" s="306"/>
      <c r="GD46" s="306"/>
      <c r="GE46" s="306"/>
      <c r="GF46" s="306"/>
      <c r="GG46" s="306"/>
      <c r="GH46" s="306"/>
      <c r="GI46" s="306"/>
      <c r="GJ46" s="306"/>
      <c r="GK46" s="306"/>
      <c r="GL46" s="306"/>
      <c r="GM46" s="306"/>
      <c r="GN46" s="306"/>
      <c r="GO46" s="306"/>
      <c r="GP46" s="306"/>
      <c r="GQ46" s="306"/>
      <c r="GR46" s="306"/>
      <c r="GS46" s="306"/>
      <c r="GT46" s="306"/>
      <c r="GU46" s="306"/>
      <c r="GV46" s="306"/>
      <c r="GW46" s="306"/>
      <c r="GX46" s="306"/>
      <c r="GY46" s="306"/>
      <c r="GZ46" s="306"/>
      <c r="HA46" s="306"/>
      <c r="HB46" s="306"/>
      <c r="HC46" s="306"/>
      <c r="HD46" s="306"/>
      <c r="HE46" s="306"/>
      <c r="HF46" s="306"/>
      <c r="HG46" s="306"/>
      <c r="HH46" s="306"/>
      <c r="HI46" s="306"/>
      <c r="HJ46" s="306"/>
      <c r="HK46" s="306"/>
      <c r="HL46" s="306"/>
      <c r="HM46" s="307"/>
      <c r="HN46" s="307"/>
      <c r="HO46" s="307"/>
      <c r="HP46" s="307"/>
      <c r="HQ46" s="307"/>
      <c r="HR46" s="307"/>
      <c r="HS46" s="307"/>
      <c r="HT46" s="307"/>
      <c r="HU46" s="303"/>
      <c r="HV46" s="303"/>
      <c r="HW46" s="303"/>
      <c r="HX46" s="303"/>
      <c r="HY46" s="303"/>
      <c r="HZ46" s="303"/>
      <c r="IA46" s="303"/>
      <c r="IB46" s="303"/>
      <c r="IC46" s="303"/>
      <c r="ID46" s="303"/>
      <c r="IE46" s="303"/>
      <c r="IF46" s="303"/>
      <c r="IG46" s="303"/>
      <c r="IH46" s="303"/>
      <c r="II46" s="303"/>
      <c r="IJ46" s="303"/>
      <c r="IK46" s="303"/>
      <c r="IL46" s="303"/>
      <c r="IM46" s="303"/>
      <c r="IN46" s="303"/>
      <c r="IO46" s="303"/>
      <c r="IP46" s="303"/>
      <c r="IQ46" s="303"/>
      <c r="IR46" s="303"/>
      <c r="IS46" s="303"/>
      <c r="IT46" s="303"/>
      <c r="IU46" s="303"/>
      <c r="IV46" s="303"/>
      <c r="IW46" s="303"/>
      <c r="IX46" s="303"/>
      <c r="IY46" s="303"/>
      <c r="IZ46" s="303"/>
      <c r="JA46" s="303"/>
      <c r="JB46" s="303"/>
      <c r="JC46" s="303"/>
      <c r="JD46" s="303"/>
      <c r="JE46" s="303"/>
      <c r="JF46" s="303"/>
      <c r="JG46" s="303"/>
      <c r="JH46" s="303"/>
      <c r="JI46" s="303"/>
      <c r="JJ46" s="303"/>
      <c r="JK46" s="303"/>
      <c r="JL46" s="303"/>
      <c r="JM46" s="303"/>
      <c r="JN46" s="303"/>
      <c r="JO46" s="303"/>
      <c r="JP46" s="303"/>
      <c r="JQ46" s="303"/>
      <c r="JR46" s="303"/>
      <c r="JS46" s="303"/>
      <c r="JT46" s="303"/>
      <c r="JU46" s="303"/>
      <c r="JV46" s="303"/>
      <c r="JW46" s="303"/>
      <c r="JX46" s="303"/>
      <c r="JY46" s="303"/>
      <c r="JZ46" s="303"/>
      <c r="KA46" s="303"/>
      <c r="KB46" s="303"/>
      <c r="KC46" s="303"/>
      <c r="KD46" s="303"/>
      <c r="KE46" s="303"/>
      <c r="KF46" s="303"/>
      <c r="KG46" s="303"/>
      <c r="KH46" s="303"/>
      <c r="KI46" s="303"/>
      <c r="KJ46" s="303"/>
      <c r="KK46" s="303"/>
      <c r="KL46" s="303"/>
      <c r="KM46" s="303"/>
      <c r="KN46" s="303"/>
      <c r="KO46" s="303"/>
      <c r="KP46" s="303"/>
      <c r="KQ46" s="303"/>
      <c r="KR46" s="303"/>
      <c r="KS46" s="303"/>
      <c r="KT46" s="303"/>
      <c r="KU46" s="303"/>
      <c r="KV46" s="303"/>
      <c r="KW46" s="303"/>
      <c r="KX46" s="303"/>
      <c r="KY46" s="303"/>
      <c r="KZ46" s="303"/>
      <c r="LA46" s="303"/>
      <c r="LB46" s="303"/>
      <c r="LC46" s="303"/>
      <c r="LD46" s="303"/>
      <c r="LE46" s="303"/>
      <c r="LF46" s="303"/>
      <c r="LG46" s="303"/>
      <c r="LH46" s="303"/>
      <c r="LI46" s="303"/>
      <c r="LJ46" s="303"/>
      <c r="LK46" s="303"/>
      <c r="LL46" s="303"/>
      <c r="LM46" s="303"/>
      <c r="LN46" s="303"/>
      <c r="LO46" s="303"/>
      <c r="LP46" s="303"/>
      <c r="LQ46" s="303"/>
      <c r="LR46" s="303"/>
      <c r="LS46" s="303"/>
      <c r="LT46" s="303"/>
      <c r="LU46" s="303"/>
      <c r="LV46" s="303"/>
      <c r="LW46" s="303"/>
      <c r="LX46" s="303"/>
      <c r="LY46" s="303"/>
      <c r="LZ46" s="303"/>
      <c r="MA46" s="303"/>
      <c r="MB46" s="303"/>
      <c r="MC46" s="303"/>
      <c r="MD46" s="303"/>
      <c r="ME46" s="303"/>
      <c r="MF46" s="303"/>
      <c r="MG46" s="303"/>
      <c r="MH46" s="303"/>
      <c r="MI46" s="303"/>
      <c r="MJ46" s="303"/>
      <c r="MK46" s="303"/>
      <c r="ML46" s="303"/>
      <c r="MM46" s="303"/>
      <c r="MN46" s="303"/>
      <c r="MO46" s="303"/>
      <c r="MP46" s="303"/>
      <c r="MQ46" s="303"/>
      <c r="MR46" s="303"/>
      <c r="MS46" s="303"/>
      <c r="MT46" s="303"/>
      <c r="MU46" s="303"/>
      <c r="MV46" s="303"/>
      <c r="MW46" s="303"/>
      <c r="MX46" s="303"/>
      <c r="MY46" s="303"/>
      <c r="MZ46" s="303"/>
      <c r="NA46" s="303"/>
      <c r="NB46" s="303"/>
      <c r="NC46" s="303"/>
      <c r="ND46" s="303"/>
      <c r="NE46" s="303"/>
      <c r="NF46" s="303"/>
      <c r="NG46" s="303"/>
      <c r="NH46" s="303"/>
      <c r="NI46" s="303"/>
      <c r="NJ46" s="303"/>
      <c r="NK46" s="303"/>
      <c r="NL46" s="303"/>
      <c r="NM46" s="303"/>
      <c r="NN46" s="303"/>
      <c r="NO46" s="303"/>
      <c r="NP46" s="303"/>
      <c r="NQ46" s="303"/>
      <c r="NR46" s="303"/>
      <c r="NS46" s="303"/>
      <c r="NT46" s="303"/>
      <c r="NU46" s="303"/>
      <c r="NV46" s="303"/>
      <c r="NW46" s="303"/>
      <c r="NX46" s="303"/>
      <c r="NY46" s="303"/>
      <c r="NZ46" s="303"/>
      <c r="OA46" s="303"/>
      <c r="OB46" s="303"/>
      <c r="OC46" s="303"/>
      <c r="OD46" s="303"/>
      <c r="OE46" s="303"/>
      <c r="OF46" s="303"/>
      <c r="OG46" s="303"/>
      <c r="OH46" s="303"/>
      <c r="OI46" s="303"/>
      <c r="OJ46" s="303"/>
      <c r="OK46" s="303"/>
      <c r="OL46" s="303"/>
      <c r="OM46" s="303"/>
      <c r="ON46" s="303"/>
      <c r="OO46" s="303"/>
      <c r="OP46" s="303"/>
      <c r="OQ46" s="303"/>
      <c r="OR46" s="303"/>
      <c r="OS46" s="303"/>
      <c r="OT46" s="303"/>
      <c r="OU46" s="303"/>
      <c r="OV46" s="303"/>
      <c r="OW46" s="303"/>
      <c r="OX46" s="303"/>
      <c r="OY46" s="303"/>
      <c r="OZ46" s="303"/>
      <c r="PA46" s="303"/>
      <c r="PB46" s="303"/>
      <c r="PC46" s="303"/>
      <c r="PD46" s="303"/>
      <c r="PE46" s="303"/>
      <c r="PF46" s="303"/>
      <c r="PG46" s="303"/>
      <c r="PH46" s="303"/>
      <c r="PI46" s="303"/>
      <c r="PJ46" s="303"/>
      <c r="PK46" s="303"/>
      <c r="PL46" s="303"/>
      <c r="PM46" s="303"/>
      <c r="PN46" s="303"/>
      <c r="PO46" s="303"/>
      <c r="PP46" s="303"/>
      <c r="PQ46" s="303"/>
      <c r="PR46" s="303"/>
      <c r="PS46" s="303"/>
      <c r="PT46" s="303"/>
      <c r="PU46" s="303"/>
      <c r="PV46" s="303"/>
      <c r="PW46" s="303"/>
      <c r="PX46" s="303"/>
      <c r="PY46" s="303"/>
      <c r="PZ46" s="303"/>
      <c r="QA46" s="303"/>
      <c r="QB46" s="303"/>
      <c r="QC46" s="303"/>
      <c r="QD46" s="303"/>
      <c r="QE46" s="303"/>
      <c r="QF46" s="303"/>
      <c r="QG46" s="303"/>
      <c r="QH46" s="303"/>
      <c r="QI46" s="303"/>
      <c r="QJ46" s="303"/>
      <c r="QK46" s="303"/>
      <c r="QL46" s="303"/>
      <c r="QM46" s="303"/>
      <c r="QN46" s="303"/>
      <c r="QO46" s="303"/>
      <c r="QP46" s="303"/>
      <c r="QQ46" s="303"/>
      <c r="QR46" s="303"/>
      <c r="QS46" s="303"/>
      <c r="QT46" s="303"/>
      <c r="QU46" s="303"/>
      <c r="QV46" s="303"/>
      <c r="QW46" s="303"/>
      <c r="QX46" s="303"/>
      <c r="QY46" s="303"/>
      <c r="QZ46" s="303"/>
      <c r="RA46" s="303"/>
      <c r="RB46" s="303"/>
      <c r="RC46" s="303"/>
      <c r="RD46" s="303"/>
      <c r="RE46" s="303"/>
      <c r="RF46" s="303"/>
      <c r="RG46" s="303"/>
      <c r="RH46" s="303"/>
      <c r="RI46" s="303"/>
      <c r="RJ46" s="303"/>
      <c r="RK46" s="303"/>
      <c r="RL46" s="303"/>
      <c r="RM46" s="303"/>
      <c r="RN46" s="303"/>
      <c r="RO46" s="303"/>
      <c r="RP46" s="303"/>
      <c r="RQ46" s="303"/>
      <c r="RR46" s="303"/>
      <c r="RS46" s="303"/>
      <c r="RT46" s="303"/>
      <c r="RU46" s="303"/>
      <c r="RV46" s="303"/>
      <c r="RW46" s="303"/>
      <c r="RX46" s="303"/>
      <c r="RY46" s="303"/>
      <c r="RZ46" s="303"/>
      <c r="SA46" s="303"/>
      <c r="SB46" s="303"/>
      <c r="SC46" s="303"/>
      <c r="SD46" s="303"/>
      <c r="SE46" s="303"/>
      <c r="SF46" s="303"/>
      <c r="SG46" s="303"/>
      <c r="SH46" s="303"/>
      <c r="SI46" s="303"/>
      <c r="SJ46" s="303"/>
      <c r="SK46" s="303"/>
      <c r="SL46" s="303"/>
      <c r="SM46" s="303"/>
      <c r="SN46" s="303"/>
      <c r="SO46" s="303"/>
    </row>
    <row r="47" spans="1:509" s="312" customFormat="1" ht="12.95" customHeight="1" x14ac:dyDescent="0.15">
      <c r="A47" s="310"/>
      <c r="B47" s="311"/>
      <c r="C47" s="325">
        <v>34</v>
      </c>
      <c r="D47" s="999"/>
      <c r="E47" s="1000"/>
      <c r="F47" s="1000"/>
      <c r="G47" s="1000"/>
      <c r="H47" s="1000"/>
      <c r="I47" s="1000"/>
      <c r="J47" s="1001"/>
      <c r="K47" s="322"/>
      <c r="L47" s="363"/>
      <c r="M47" s="330"/>
      <c r="N47" s="331"/>
      <c r="O47" s="338"/>
      <c r="P47" s="339"/>
      <c r="Q47" s="346"/>
      <c r="R47" s="347"/>
      <c r="S47" s="354"/>
      <c r="T47" s="355"/>
      <c r="U47" s="311"/>
      <c r="V47" s="310"/>
      <c r="W47" s="310"/>
      <c r="X47" s="310"/>
      <c r="Y47" s="310"/>
      <c r="Z47" s="310"/>
      <c r="AA47" s="310"/>
      <c r="AB47" s="310"/>
      <c r="AC47" s="310"/>
      <c r="AD47" s="310"/>
      <c r="AE47" s="310"/>
      <c r="AF47" s="310"/>
      <c r="AG47" s="310"/>
      <c r="AH47" s="310"/>
      <c r="AI47" s="310"/>
      <c r="AJ47" s="310"/>
      <c r="AK47" s="310"/>
      <c r="AL47" s="310"/>
      <c r="AM47" s="310"/>
      <c r="AN47" s="310"/>
      <c r="AO47" s="310"/>
      <c r="AP47" s="310"/>
      <c r="AQ47" s="310"/>
      <c r="AR47" s="310"/>
      <c r="AS47" s="310"/>
      <c r="AT47" s="310"/>
      <c r="AU47" s="310"/>
      <c r="AV47" s="310"/>
      <c r="AW47" s="310"/>
      <c r="AX47" s="310"/>
      <c r="AY47" s="310"/>
      <c r="AZ47" s="310"/>
      <c r="BA47" s="310"/>
      <c r="BB47" s="310"/>
      <c r="BC47" s="310"/>
      <c r="BD47" s="310"/>
      <c r="BE47" s="310"/>
      <c r="BF47" s="310"/>
      <c r="BG47" s="310"/>
      <c r="BH47" s="310"/>
      <c r="BI47" s="310"/>
      <c r="BJ47" s="310"/>
      <c r="BK47" s="310"/>
      <c r="BL47" s="310"/>
      <c r="BM47" s="310"/>
      <c r="BN47" s="310"/>
      <c r="BO47" s="310"/>
      <c r="BP47" s="310"/>
      <c r="BQ47" s="310"/>
      <c r="BR47" s="310"/>
      <c r="BS47" s="310"/>
      <c r="BT47" s="310"/>
      <c r="BU47" s="310"/>
      <c r="BV47" s="310"/>
      <c r="BW47" s="310"/>
      <c r="BX47" s="310"/>
      <c r="BY47" s="310"/>
      <c r="BZ47" s="310"/>
      <c r="CA47" s="310"/>
      <c r="CB47" s="310"/>
      <c r="CC47" s="310"/>
      <c r="CD47" s="310"/>
      <c r="CE47" s="310"/>
      <c r="CF47" s="310"/>
      <c r="CG47" s="310"/>
      <c r="CH47" s="310"/>
      <c r="CI47" s="310"/>
      <c r="CJ47" s="310"/>
      <c r="CK47" s="310"/>
      <c r="CL47" s="310"/>
      <c r="CM47" s="310"/>
      <c r="CN47" s="310"/>
      <c r="CO47" s="310"/>
      <c r="CP47" s="310"/>
      <c r="CQ47" s="310"/>
      <c r="CR47" s="310"/>
      <c r="CS47" s="310"/>
      <c r="CT47" s="310"/>
      <c r="CU47" s="310"/>
      <c r="CV47" s="310"/>
      <c r="CW47" s="310"/>
      <c r="CX47" s="310"/>
      <c r="CY47" s="310"/>
      <c r="CZ47" s="310"/>
      <c r="DA47" s="310"/>
      <c r="DB47" s="310"/>
      <c r="DC47" s="310"/>
      <c r="DD47" s="310"/>
      <c r="DE47" s="310"/>
      <c r="DF47" s="310"/>
      <c r="DG47" s="310"/>
      <c r="DH47" s="310"/>
      <c r="DI47" s="310"/>
      <c r="DJ47" s="310"/>
      <c r="DK47" s="310"/>
      <c r="DL47" s="310"/>
      <c r="DM47" s="310"/>
      <c r="DN47" s="310"/>
      <c r="DO47" s="310"/>
      <c r="DP47" s="310"/>
      <c r="DQ47" s="310"/>
      <c r="DR47" s="310"/>
      <c r="DS47" s="310"/>
      <c r="DT47" s="310"/>
      <c r="DU47" s="310"/>
      <c r="DV47" s="310"/>
      <c r="DW47" s="310"/>
      <c r="DX47" s="310"/>
      <c r="DY47" s="310"/>
      <c r="DZ47" s="310"/>
      <c r="EA47" s="310"/>
      <c r="EB47" s="310"/>
      <c r="EC47" s="310"/>
      <c r="ED47" s="310"/>
      <c r="EE47" s="310"/>
      <c r="EF47" s="310"/>
      <c r="EG47" s="310"/>
      <c r="EH47" s="310"/>
      <c r="EI47" s="310"/>
      <c r="EJ47" s="310"/>
      <c r="EK47" s="310"/>
      <c r="EL47" s="310"/>
      <c r="EM47" s="310"/>
      <c r="EN47" s="310"/>
      <c r="EO47" s="310"/>
      <c r="EP47" s="310"/>
      <c r="EQ47" s="310"/>
      <c r="ER47" s="310"/>
      <c r="ES47" s="310"/>
      <c r="ET47" s="310"/>
      <c r="EU47" s="310"/>
      <c r="EV47" s="310"/>
      <c r="EW47" s="310"/>
      <c r="EX47" s="310"/>
      <c r="EY47" s="310"/>
      <c r="EZ47" s="310"/>
      <c r="FA47" s="310"/>
      <c r="FB47" s="310"/>
      <c r="FC47" s="310"/>
      <c r="FD47" s="310"/>
      <c r="FE47" s="310"/>
      <c r="FF47" s="310"/>
      <c r="FG47" s="310"/>
      <c r="FH47" s="310"/>
      <c r="FI47" s="310"/>
      <c r="FJ47" s="310"/>
      <c r="FK47" s="310"/>
      <c r="FL47" s="310"/>
      <c r="FM47" s="310"/>
      <c r="FN47" s="310"/>
      <c r="FO47" s="310"/>
      <c r="FP47" s="310"/>
      <c r="FQ47" s="310"/>
      <c r="FR47" s="310"/>
      <c r="FS47" s="310"/>
      <c r="FT47" s="310"/>
      <c r="FU47" s="310"/>
      <c r="FV47" s="310"/>
      <c r="FW47" s="310"/>
      <c r="FX47" s="310"/>
      <c r="FY47" s="310"/>
      <c r="FZ47" s="310"/>
      <c r="GA47" s="310"/>
      <c r="GB47" s="310"/>
      <c r="GC47" s="310"/>
      <c r="GD47" s="310"/>
      <c r="GE47" s="310"/>
      <c r="GF47" s="310"/>
      <c r="GG47" s="310"/>
      <c r="GH47" s="310"/>
      <c r="GI47" s="310"/>
      <c r="GJ47" s="310"/>
      <c r="GK47" s="310"/>
      <c r="GL47" s="310"/>
      <c r="GM47" s="310"/>
      <c r="GN47" s="310"/>
      <c r="GO47" s="310"/>
      <c r="GP47" s="310"/>
      <c r="GQ47" s="310"/>
      <c r="GR47" s="310"/>
      <c r="GS47" s="310"/>
      <c r="GT47" s="310"/>
      <c r="GU47" s="310"/>
      <c r="GV47" s="310"/>
      <c r="GW47" s="310"/>
      <c r="GX47" s="310"/>
      <c r="GY47" s="310"/>
      <c r="GZ47" s="310"/>
      <c r="HA47" s="310"/>
      <c r="HB47" s="310"/>
      <c r="HC47" s="310"/>
      <c r="HD47" s="310"/>
      <c r="HE47" s="310"/>
      <c r="HF47" s="310"/>
      <c r="HG47" s="310"/>
      <c r="HH47" s="310"/>
      <c r="HI47" s="310"/>
      <c r="HJ47" s="310"/>
      <c r="HK47" s="310"/>
      <c r="HL47" s="310"/>
      <c r="HM47" s="307"/>
      <c r="HN47" s="307"/>
      <c r="HO47" s="307"/>
      <c r="HP47" s="307"/>
      <c r="HQ47" s="307"/>
      <c r="HR47" s="307"/>
      <c r="HS47" s="307"/>
      <c r="HT47" s="307"/>
      <c r="HU47" s="310"/>
      <c r="HV47" s="310"/>
      <c r="HW47" s="310"/>
      <c r="HX47" s="310"/>
      <c r="HY47" s="310"/>
      <c r="HZ47" s="310"/>
      <c r="IA47" s="310"/>
      <c r="IB47" s="310"/>
      <c r="IC47" s="310"/>
      <c r="ID47" s="310"/>
      <c r="IE47" s="310"/>
      <c r="IF47" s="310"/>
      <c r="IG47" s="310"/>
      <c r="IH47" s="310"/>
      <c r="II47" s="310"/>
      <c r="IJ47" s="310"/>
      <c r="IK47" s="310"/>
      <c r="IL47" s="310"/>
      <c r="IM47" s="310"/>
      <c r="IN47" s="310"/>
      <c r="IO47" s="310"/>
      <c r="IP47" s="310"/>
      <c r="IQ47" s="310"/>
      <c r="IR47" s="310"/>
      <c r="IS47" s="310"/>
      <c r="IT47" s="310"/>
      <c r="IU47" s="310"/>
      <c r="IV47" s="310"/>
      <c r="IW47" s="310"/>
      <c r="IX47" s="310"/>
      <c r="IY47" s="310"/>
      <c r="IZ47" s="310"/>
      <c r="JA47" s="310"/>
      <c r="JB47" s="310"/>
      <c r="JC47" s="310"/>
      <c r="JD47" s="310"/>
      <c r="JE47" s="310"/>
      <c r="JF47" s="310"/>
      <c r="JG47" s="310"/>
      <c r="JH47" s="310"/>
      <c r="JI47" s="310"/>
      <c r="JJ47" s="310"/>
      <c r="JK47" s="310"/>
      <c r="JL47" s="310"/>
      <c r="JM47" s="310"/>
      <c r="JN47" s="310"/>
      <c r="JO47" s="310"/>
      <c r="JP47" s="310"/>
      <c r="JQ47" s="310"/>
      <c r="JR47" s="310"/>
      <c r="JS47" s="310"/>
      <c r="JT47" s="310"/>
      <c r="JU47" s="310"/>
      <c r="JV47" s="310"/>
      <c r="JW47" s="310"/>
      <c r="JX47" s="310"/>
      <c r="JY47" s="310"/>
      <c r="JZ47" s="310"/>
      <c r="KA47" s="310"/>
      <c r="KB47" s="310"/>
      <c r="KC47" s="310"/>
      <c r="KD47" s="310"/>
      <c r="KE47" s="310"/>
      <c r="KF47" s="310"/>
      <c r="KG47" s="310"/>
      <c r="KH47" s="310"/>
      <c r="KI47" s="310"/>
      <c r="KJ47" s="310"/>
      <c r="KK47" s="310"/>
      <c r="KL47" s="310"/>
      <c r="KM47" s="310"/>
      <c r="KN47" s="310"/>
      <c r="KO47" s="310"/>
      <c r="KP47" s="310"/>
      <c r="KQ47" s="310"/>
      <c r="KR47" s="310"/>
      <c r="KS47" s="310"/>
      <c r="KT47" s="310"/>
      <c r="KU47" s="310"/>
      <c r="KV47" s="310"/>
      <c r="KW47" s="310"/>
      <c r="KX47" s="310"/>
      <c r="KY47" s="310"/>
      <c r="KZ47" s="310"/>
      <c r="LA47" s="310"/>
      <c r="LB47" s="310"/>
      <c r="LC47" s="310"/>
      <c r="LD47" s="310"/>
      <c r="LE47" s="310"/>
      <c r="LF47" s="310"/>
      <c r="LG47" s="310"/>
      <c r="LH47" s="310"/>
      <c r="LI47" s="310"/>
      <c r="LJ47" s="310"/>
      <c r="LK47" s="310"/>
      <c r="LL47" s="310"/>
      <c r="LM47" s="310"/>
      <c r="LN47" s="310"/>
      <c r="LO47" s="310"/>
      <c r="LP47" s="310"/>
      <c r="LQ47" s="310"/>
      <c r="LR47" s="310"/>
      <c r="LS47" s="310"/>
      <c r="LT47" s="310"/>
      <c r="LU47" s="310"/>
      <c r="LV47" s="310"/>
      <c r="LW47" s="310"/>
      <c r="LX47" s="310"/>
      <c r="LY47" s="310"/>
      <c r="LZ47" s="310"/>
      <c r="MA47" s="310"/>
      <c r="MB47" s="310"/>
      <c r="MC47" s="310"/>
      <c r="MD47" s="310"/>
      <c r="ME47" s="310"/>
      <c r="MF47" s="310"/>
      <c r="MG47" s="310"/>
      <c r="MH47" s="310"/>
      <c r="MI47" s="310"/>
      <c r="MJ47" s="310"/>
      <c r="MK47" s="310"/>
      <c r="ML47" s="310"/>
      <c r="MM47" s="310"/>
      <c r="MN47" s="310"/>
      <c r="MO47" s="310"/>
      <c r="MP47" s="310"/>
      <c r="MQ47" s="310"/>
      <c r="MR47" s="310"/>
      <c r="MS47" s="310"/>
      <c r="MT47" s="310"/>
      <c r="MU47" s="310"/>
      <c r="MV47" s="310"/>
      <c r="MW47" s="310"/>
      <c r="MX47" s="310"/>
      <c r="MY47" s="310"/>
      <c r="MZ47" s="310"/>
      <c r="NA47" s="310"/>
      <c r="NB47" s="310"/>
      <c r="NC47" s="310"/>
      <c r="ND47" s="310"/>
      <c r="NE47" s="310"/>
      <c r="NF47" s="310"/>
      <c r="NG47" s="310"/>
      <c r="NH47" s="310"/>
      <c r="NI47" s="310"/>
      <c r="NJ47" s="310"/>
      <c r="NK47" s="310"/>
      <c r="NL47" s="310"/>
      <c r="NM47" s="310"/>
      <c r="NN47" s="310"/>
      <c r="NO47" s="310"/>
      <c r="NP47" s="310"/>
      <c r="NQ47" s="310"/>
      <c r="NR47" s="310"/>
      <c r="NS47" s="310"/>
      <c r="NT47" s="310"/>
      <c r="NU47" s="310"/>
      <c r="NV47" s="310"/>
      <c r="NW47" s="310"/>
      <c r="NX47" s="310"/>
      <c r="NY47" s="310"/>
      <c r="NZ47" s="310"/>
      <c r="OA47" s="310"/>
      <c r="OB47" s="310"/>
      <c r="OC47" s="310"/>
      <c r="OD47" s="310"/>
      <c r="OE47" s="310"/>
      <c r="OF47" s="310"/>
      <c r="OG47" s="310"/>
      <c r="OH47" s="310"/>
      <c r="OI47" s="310"/>
      <c r="OJ47" s="310"/>
      <c r="OK47" s="310"/>
      <c r="OL47" s="310"/>
      <c r="OM47" s="310"/>
      <c r="ON47" s="310"/>
      <c r="OO47" s="310"/>
      <c r="OP47" s="310"/>
      <c r="OQ47" s="310"/>
      <c r="OR47" s="310"/>
      <c r="OS47" s="310"/>
      <c r="OT47" s="310"/>
      <c r="OU47" s="310"/>
      <c r="OV47" s="310"/>
      <c r="OW47" s="310"/>
      <c r="OX47" s="310"/>
      <c r="OY47" s="310"/>
      <c r="OZ47" s="310"/>
      <c r="PA47" s="310"/>
      <c r="PB47" s="310"/>
      <c r="PC47" s="310"/>
      <c r="PD47" s="310"/>
      <c r="PE47" s="310"/>
      <c r="PF47" s="310"/>
      <c r="PG47" s="310"/>
      <c r="PH47" s="310"/>
      <c r="PI47" s="310"/>
      <c r="PJ47" s="310"/>
      <c r="PK47" s="310"/>
      <c r="PL47" s="310"/>
      <c r="PM47" s="310"/>
      <c r="PN47" s="310"/>
      <c r="PO47" s="310"/>
      <c r="PP47" s="310"/>
      <c r="PQ47" s="310"/>
      <c r="PR47" s="310"/>
      <c r="PS47" s="310"/>
      <c r="PT47" s="310"/>
      <c r="PU47" s="310"/>
      <c r="PV47" s="310"/>
      <c r="PW47" s="310"/>
      <c r="PX47" s="310"/>
      <c r="PY47" s="310"/>
      <c r="PZ47" s="310"/>
      <c r="QA47" s="310"/>
      <c r="QB47" s="310"/>
      <c r="QC47" s="310"/>
      <c r="QD47" s="310"/>
      <c r="QE47" s="310"/>
      <c r="QF47" s="310"/>
      <c r="QG47" s="310"/>
      <c r="QH47" s="310"/>
      <c r="QI47" s="310"/>
      <c r="QJ47" s="310"/>
      <c r="QK47" s="310"/>
      <c r="QL47" s="310"/>
      <c r="QM47" s="310"/>
      <c r="QN47" s="310"/>
      <c r="QO47" s="310"/>
      <c r="QP47" s="310"/>
      <c r="QQ47" s="310"/>
      <c r="QR47" s="310"/>
      <c r="QS47" s="310"/>
      <c r="QT47" s="310"/>
      <c r="QU47" s="310"/>
      <c r="QV47" s="310"/>
      <c r="QW47" s="310"/>
      <c r="QX47" s="310"/>
      <c r="QY47" s="310"/>
      <c r="QZ47" s="310"/>
      <c r="RA47" s="310"/>
      <c r="RB47" s="310"/>
      <c r="RC47" s="310"/>
      <c r="RD47" s="310"/>
      <c r="RE47" s="310"/>
      <c r="RF47" s="310"/>
      <c r="RG47" s="310"/>
      <c r="RH47" s="310"/>
      <c r="RI47" s="310"/>
      <c r="RJ47" s="310"/>
      <c r="RK47" s="310"/>
      <c r="RL47" s="310"/>
      <c r="RM47" s="310"/>
      <c r="RN47" s="310"/>
      <c r="RO47" s="310"/>
      <c r="RP47" s="310"/>
      <c r="RQ47" s="310"/>
      <c r="RR47" s="310"/>
      <c r="RS47" s="310"/>
      <c r="RT47" s="310"/>
      <c r="RU47" s="310"/>
      <c r="RV47" s="310"/>
      <c r="RW47" s="310"/>
      <c r="RX47" s="310"/>
      <c r="RY47" s="310"/>
      <c r="RZ47" s="310"/>
      <c r="SA47" s="310"/>
      <c r="SB47" s="310"/>
      <c r="SC47" s="310"/>
      <c r="SD47" s="310"/>
      <c r="SE47" s="310"/>
      <c r="SF47" s="310"/>
      <c r="SG47" s="310"/>
      <c r="SH47" s="310"/>
      <c r="SI47" s="310"/>
      <c r="SJ47" s="310"/>
      <c r="SK47" s="310"/>
      <c r="SL47" s="310"/>
      <c r="SM47" s="310"/>
      <c r="SN47" s="310"/>
      <c r="SO47" s="310"/>
    </row>
    <row r="48" spans="1:509" s="307" customFormat="1" ht="12" customHeight="1" x14ac:dyDescent="0.15">
      <c r="B48" s="320"/>
      <c r="C48" s="325">
        <v>35</v>
      </c>
      <c r="D48" s="999"/>
      <c r="E48" s="1000"/>
      <c r="F48" s="1000"/>
      <c r="G48" s="1000"/>
      <c r="H48" s="1000"/>
      <c r="I48" s="1000"/>
      <c r="J48" s="1001"/>
      <c r="K48" s="320"/>
      <c r="L48" s="363"/>
      <c r="M48" s="330"/>
      <c r="N48" s="331"/>
      <c r="O48" s="338"/>
      <c r="P48" s="339"/>
      <c r="Q48" s="346"/>
      <c r="R48" s="347"/>
      <c r="S48" s="354"/>
      <c r="T48" s="355"/>
      <c r="U48" s="320"/>
    </row>
    <row r="49" spans="1:509" ht="14.1" customHeight="1" thickBot="1" x14ac:dyDescent="0.2">
      <c r="B49" s="302"/>
      <c r="C49" s="325">
        <v>36</v>
      </c>
      <c r="D49" s="999"/>
      <c r="E49" s="1000"/>
      <c r="F49" s="1000"/>
      <c r="G49" s="1000"/>
      <c r="H49" s="1000"/>
      <c r="I49" s="1000"/>
      <c r="J49" s="1001"/>
      <c r="K49" s="302"/>
      <c r="L49" s="363"/>
      <c r="M49" s="330"/>
      <c r="N49" s="331"/>
      <c r="O49" s="338"/>
      <c r="P49" s="339"/>
      <c r="Q49" s="346"/>
      <c r="R49" s="347"/>
      <c r="S49" s="354"/>
      <c r="T49" s="355"/>
      <c r="U49" s="302"/>
    </row>
    <row r="50" spans="1:509" s="308" customFormat="1" ht="12.95" customHeight="1" thickBot="1" x14ac:dyDescent="0.2">
      <c r="A50" s="303"/>
      <c r="B50" s="304"/>
      <c r="C50" s="325">
        <v>37</v>
      </c>
      <c r="D50" s="999"/>
      <c r="E50" s="1000"/>
      <c r="F50" s="1000"/>
      <c r="G50" s="1000"/>
      <c r="H50" s="1000"/>
      <c r="I50" s="1000"/>
      <c r="J50" s="1001"/>
      <c r="K50" s="304"/>
      <c r="L50" s="363"/>
      <c r="M50" s="330"/>
      <c r="N50" s="331"/>
      <c r="O50" s="338"/>
      <c r="P50" s="339"/>
      <c r="Q50" s="346"/>
      <c r="R50" s="347"/>
      <c r="S50" s="354"/>
      <c r="T50" s="355"/>
      <c r="U50" s="305"/>
      <c r="V50" s="306"/>
      <c r="W50" s="306"/>
      <c r="X50" s="306"/>
      <c r="Y50" s="306"/>
      <c r="Z50" s="306"/>
      <c r="AA50" s="306"/>
      <c r="AB50" s="306"/>
      <c r="AC50" s="306"/>
      <c r="AD50" s="306"/>
      <c r="AE50" s="306"/>
      <c r="AF50" s="306"/>
      <c r="AG50" s="306"/>
      <c r="AH50" s="306"/>
      <c r="AI50" s="306"/>
      <c r="AJ50" s="306"/>
      <c r="AK50" s="306"/>
      <c r="AL50" s="306"/>
      <c r="AM50" s="306"/>
      <c r="AN50" s="306"/>
      <c r="AO50" s="306"/>
      <c r="AP50" s="306"/>
      <c r="AQ50" s="306"/>
      <c r="AR50" s="306"/>
      <c r="AS50" s="306"/>
      <c r="AT50" s="306"/>
      <c r="AU50" s="306"/>
      <c r="AV50" s="306"/>
      <c r="AW50" s="306"/>
      <c r="AX50" s="306"/>
      <c r="AY50" s="306"/>
      <c r="AZ50" s="306"/>
      <c r="BA50" s="306"/>
      <c r="BB50" s="306"/>
      <c r="BC50" s="306"/>
      <c r="BD50" s="306"/>
      <c r="BE50" s="306"/>
      <c r="BF50" s="306"/>
      <c r="BG50" s="306"/>
      <c r="BH50" s="306"/>
      <c r="BI50" s="306"/>
      <c r="BJ50" s="306"/>
      <c r="BK50" s="306"/>
      <c r="BL50" s="306"/>
      <c r="BM50" s="306"/>
      <c r="BN50" s="306"/>
      <c r="BO50" s="306"/>
      <c r="BP50" s="306"/>
      <c r="BQ50" s="306"/>
      <c r="BR50" s="306"/>
      <c r="BS50" s="306"/>
      <c r="BT50" s="306"/>
      <c r="BU50" s="306"/>
      <c r="BV50" s="306"/>
      <c r="BW50" s="306"/>
      <c r="BX50" s="306"/>
      <c r="BY50" s="306"/>
      <c r="BZ50" s="306"/>
      <c r="CA50" s="306"/>
      <c r="CB50" s="306"/>
      <c r="CC50" s="306"/>
      <c r="CD50" s="306"/>
      <c r="CE50" s="306"/>
      <c r="CF50" s="306"/>
      <c r="CG50" s="306"/>
      <c r="CH50" s="306"/>
      <c r="CI50" s="306"/>
      <c r="CJ50" s="306"/>
      <c r="CK50" s="306"/>
      <c r="CL50" s="306"/>
      <c r="CM50" s="306"/>
      <c r="CN50" s="306"/>
      <c r="CO50" s="306"/>
      <c r="CP50" s="306"/>
      <c r="CQ50" s="306"/>
      <c r="CR50" s="306"/>
      <c r="CS50" s="306"/>
      <c r="CT50" s="306"/>
      <c r="CU50" s="306"/>
      <c r="CV50" s="306"/>
      <c r="CW50" s="306"/>
      <c r="CX50" s="306"/>
      <c r="CY50" s="306"/>
      <c r="CZ50" s="306"/>
      <c r="DA50" s="306"/>
      <c r="DB50" s="306"/>
      <c r="DC50" s="306"/>
      <c r="DD50" s="306"/>
      <c r="DE50" s="306"/>
      <c r="DF50" s="306"/>
      <c r="DG50" s="306"/>
      <c r="DH50" s="306"/>
      <c r="DI50" s="306"/>
      <c r="DJ50" s="306"/>
      <c r="DK50" s="306"/>
      <c r="DL50" s="306"/>
      <c r="DM50" s="306"/>
      <c r="DN50" s="306"/>
      <c r="DO50" s="306"/>
      <c r="DP50" s="306"/>
      <c r="DQ50" s="306"/>
      <c r="DR50" s="306"/>
      <c r="DS50" s="306"/>
      <c r="DT50" s="306"/>
      <c r="DU50" s="306"/>
      <c r="DV50" s="306"/>
      <c r="DW50" s="306"/>
      <c r="DX50" s="306"/>
      <c r="DY50" s="306"/>
      <c r="DZ50" s="306"/>
      <c r="EA50" s="306"/>
      <c r="EB50" s="306"/>
      <c r="EC50" s="306"/>
      <c r="ED50" s="306"/>
      <c r="EE50" s="306"/>
      <c r="EF50" s="306"/>
      <c r="EG50" s="306"/>
      <c r="EH50" s="306"/>
      <c r="EI50" s="306"/>
      <c r="EJ50" s="306"/>
      <c r="EK50" s="306"/>
      <c r="EL50" s="306"/>
      <c r="EM50" s="306"/>
      <c r="EN50" s="306"/>
      <c r="EO50" s="306"/>
      <c r="EP50" s="306"/>
      <c r="EQ50" s="306"/>
      <c r="ER50" s="306"/>
      <c r="ES50" s="306"/>
      <c r="ET50" s="306"/>
      <c r="EU50" s="306"/>
      <c r="EV50" s="306"/>
      <c r="EW50" s="306"/>
      <c r="EX50" s="306"/>
      <c r="EY50" s="306"/>
      <c r="EZ50" s="306"/>
      <c r="FA50" s="306"/>
      <c r="FB50" s="306"/>
      <c r="FC50" s="306"/>
      <c r="FD50" s="306"/>
      <c r="FE50" s="306"/>
      <c r="FF50" s="306"/>
      <c r="FG50" s="306"/>
      <c r="FH50" s="306"/>
      <c r="FI50" s="306"/>
      <c r="FJ50" s="306"/>
      <c r="FK50" s="306"/>
      <c r="FL50" s="306"/>
      <c r="FM50" s="306"/>
      <c r="FN50" s="306"/>
      <c r="FO50" s="306"/>
      <c r="FP50" s="306"/>
      <c r="FQ50" s="306"/>
      <c r="FR50" s="306"/>
      <c r="FS50" s="306"/>
      <c r="FT50" s="306"/>
      <c r="FU50" s="306"/>
      <c r="FV50" s="306"/>
      <c r="FW50" s="306"/>
      <c r="FX50" s="306"/>
      <c r="FY50" s="306"/>
      <c r="FZ50" s="306"/>
      <c r="GA50" s="306"/>
      <c r="GB50" s="306"/>
      <c r="GC50" s="306"/>
      <c r="GD50" s="306"/>
      <c r="GE50" s="306"/>
      <c r="GF50" s="306"/>
      <c r="GG50" s="306"/>
      <c r="GH50" s="306"/>
      <c r="GI50" s="306"/>
      <c r="GJ50" s="306"/>
      <c r="GK50" s="306"/>
      <c r="GL50" s="306"/>
      <c r="GM50" s="306"/>
      <c r="GN50" s="306"/>
      <c r="GO50" s="306"/>
      <c r="GP50" s="306"/>
      <c r="GQ50" s="306"/>
      <c r="GR50" s="306"/>
      <c r="GS50" s="306"/>
      <c r="GT50" s="306"/>
      <c r="GU50" s="306"/>
      <c r="GV50" s="306"/>
      <c r="GW50" s="306"/>
      <c r="GX50" s="306"/>
      <c r="GY50" s="306"/>
      <c r="GZ50" s="306"/>
      <c r="HA50" s="306"/>
      <c r="HB50" s="306"/>
      <c r="HC50" s="306"/>
      <c r="HD50" s="306"/>
      <c r="HE50" s="306"/>
      <c r="HF50" s="306"/>
      <c r="HG50" s="306"/>
      <c r="HH50" s="306"/>
      <c r="HI50" s="306"/>
      <c r="HJ50" s="306"/>
      <c r="HK50" s="306"/>
      <c r="HL50" s="306"/>
      <c r="HM50" s="307"/>
      <c r="HN50" s="307"/>
      <c r="HO50" s="307"/>
      <c r="HP50" s="307"/>
      <c r="HQ50" s="307"/>
      <c r="HR50" s="307"/>
      <c r="HS50" s="307"/>
      <c r="HT50" s="307"/>
      <c r="HU50" s="303"/>
      <c r="HV50" s="303"/>
      <c r="HW50" s="303"/>
      <c r="HX50" s="303"/>
      <c r="HY50" s="303"/>
      <c r="HZ50" s="303"/>
      <c r="IA50" s="303"/>
      <c r="IB50" s="303"/>
      <c r="IC50" s="303"/>
      <c r="ID50" s="303"/>
      <c r="IE50" s="303"/>
      <c r="IF50" s="303"/>
      <c r="IG50" s="303"/>
      <c r="IH50" s="303"/>
      <c r="II50" s="303"/>
      <c r="IJ50" s="303"/>
      <c r="IK50" s="303"/>
      <c r="IL50" s="303"/>
      <c r="IM50" s="303"/>
      <c r="IN50" s="303"/>
      <c r="IO50" s="303"/>
      <c r="IP50" s="303"/>
      <c r="IQ50" s="303"/>
      <c r="IR50" s="303"/>
      <c r="IS50" s="303"/>
      <c r="IT50" s="303"/>
      <c r="IU50" s="303"/>
      <c r="IV50" s="303"/>
      <c r="IW50" s="303"/>
      <c r="IX50" s="303"/>
      <c r="IY50" s="303"/>
      <c r="IZ50" s="303"/>
      <c r="JA50" s="303"/>
      <c r="JB50" s="303"/>
      <c r="JC50" s="303"/>
      <c r="JD50" s="303"/>
      <c r="JE50" s="303"/>
      <c r="JF50" s="303"/>
      <c r="JG50" s="303"/>
      <c r="JH50" s="303"/>
      <c r="JI50" s="303"/>
      <c r="JJ50" s="303"/>
      <c r="JK50" s="303"/>
      <c r="JL50" s="303"/>
      <c r="JM50" s="303"/>
      <c r="JN50" s="303"/>
      <c r="JO50" s="303"/>
      <c r="JP50" s="303"/>
      <c r="JQ50" s="303"/>
      <c r="JR50" s="303"/>
      <c r="JS50" s="303"/>
      <c r="JT50" s="303"/>
      <c r="JU50" s="303"/>
      <c r="JV50" s="303"/>
      <c r="JW50" s="303"/>
      <c r="JX50" s="303"/>
      <c r="JY50" s="303"/>
      <c r="JZ50" s="303"/>
      <c r="KA50" s="303"/>
      <c r="KB50" s="303"/>
      <c r="KC50" s="303"/>
      <c r="KD50" s="303"/>
      <c r="KE50" s="303"/>
      <c r="KF50" s="303"/>
      <c r="KG50" s="303"/>
      <c r="KH50" s="303"/>
      <c r="KI50" s="303"/>
      <c r="KJ50" s="303"/>
      <c r="KK50" s="303"/>
      <c r="KL50" s="303"/>
      <c r="KM50" s="303"/>
      <c r="KN50" s="303"/>
      <c r="KO50" s="303"/>
      <c r="KP50" s="303"/>
      <c r="KQ50" s="303"/>
      <c r="KR50" s="303"/>
      <c r="KS50" s="303"/>
      <c r="KT50" s="303"/>
      <c r="KU50" s="303"/>
      <c r="KV50" s="303"/>
      <c r="KW50" s="303"/>
      <c r="KX50" s="303"/>
      <c r="KY50" s="303"/>
      <c r="KZ50" s="303"/>
      <c r="LA50" s="303"/>
      <c r="LB50" s="303"/>
      <c r="LC50" s="303"/>
      <c r="LD50" s="303"/>
      <c r="LE50" s="303"/>
      <c r="LF50" s="303"/>
      <c r="LG50" s="303"/>
      <c r="LH50" s="303"/>
      <c r="LI50" s="303"/>
      <c r="LJ50" s="303"/>
      <c r="LK50" s="303"/>
      <c r="LL50" s="303"/>
      <c r="LM50" s="303"/>
      <c r="LN50" s="303"/>
      <c r="LO50" s="303"/>
      <c r="LP50" s="303"/>
      <c r="LQ50" s="303"/>
      <c r="LR50" s="303"/>
      <c r="LS50" s="303"/>
      <c r="LT50" s="303"/>
      <c r="LU50" s="303"/>
      <c r="LV50" s="303"/>
      <c r="LW50" s="303"/>
      <c r="LX50" s="303"/>
      <c r="LY50" s="303"/>
      <c r="LZ50" s="303"/>
      <c r="MA50" s="303"/>
      <c r="MB50" s="303"/>
      <c r="MC50" s="303"/>
      <c r="MD50" s="303"/>
      <c r="ME50" s="303"/>
      <c r="MF50" s="303"/>
      <c r="MG50" s="303"/>
      <c r="MH50" s="303"/>
      <c r="MI50" s="303"/>
      <c r="MJ50" s="303"/>
      <c r="MK50" s="303"/>
      <c r="ML50" s="303"/>
      <c r="MM50" s="303"/>
      <c r="MN50" s="303"/>
      <c r="MO50" s="303"/>
      <c r="MP50" s="303"/>
      <c r="MQ50" s="303"/>
      <c r="MR50" s="303"/>
      <c r="MS50" s="303"/>
      <c r="MT50" s="303"/>
      <c r="MU50" s="303"/>
      <c r="MV50" s="303"/>
      <c r="MW50" s="303"/>
      <c r="MX50" s="303"/>
      <c r="MY50" s="303"/>
      <c r="MZ50" s="303"/>
      <c r="NA50" s="303"/>
      <c r="NB50" s="303"/>
      <c r="NC50" s="303"/>
      <c r="ND50" s="303"/>
      <c r="NE50" s="303"/>
      <c r="NF50" s="303"/>
      <c r="NG50" s="303"/>
      <c r="NH50" s="303"/>
      <c r="NI50" s="303"/>
      <c r="NJ50" s="303"/>
      <c r="NK50" s="303"/>
      <c r="NL50" s="303"/>
      <c r="NM50" s="303"/>
      <c r="NN50" s="303"/>
      <c r="NO50" s="303"/>
      <c r="NP50" s="303"/>
      <c r="NQ50" s="303"/>
      <c r="NR50" s="303"/>
      <c r="NS50" s="303"/>
      <c r="NT50" s="303"/>
      <c r="NU50" s="303"/>
      <c r="NV50" s="303"/>
      <c r="NW50" s="303"/>
      <c r="NX50" s="303"/>
      <c r="NY50" s="303"/>
      <c r="NZ50" s="303"/>
      <c r="OA50" s="303"/>
      <c r="OB50" s="303"/>
      <c r="OC50" s="303"/>
      <c r="OD50" s="303"/>
      <c r="OE50" s="303"/>
      <c r="OF50" s="303"/>
      <c r="OG50" s="303"/>
      <c r="OH50" s="303"/>
      <c r="OI50" s="303"/>
      <c r="OJ50" s="303"/>
      <c r="OK50" s="303"/>
      <c r="OL50" s="303"/>
      <c r="OM50" s="303"/>
      <c r="ON50" s="303"/>
      <c r="OO50" s="303"/>
      <c r="OP50" s="303"/>
      <c r="OQ50" s="303"/>
      <c r="OR50" s="303"/>
      <c r="OS50" s="303"/>
      <c r="OT50" s="303"/>
      <c r="OU50" s="303"/>
      <c r="OV50" s="303"/>
      <c r="OW50" s="303"/>
      <c r="OX50" s="303"/>
      <c r="OY50" s="303"/>
      <c r="OZ50" s="303"/>
      <c r="PA50" s="303"/>
      <c r="PB50" s="303"/>
      <c r="PC50" s="303"/>
      <c r="PD50" s="303"/>
      <c r="PE50" s="303"/>
      <c r="PF50" s="303"/>
      <c r="PG50" s="303"/>
      <c r="PH50" s="303"/>
      <c r="PI50" s="303"/>
      <c r="PJ50" s="303"/>
      <c r="PK50" s="303"/>
      <c r="PL50" s="303"/>
      <c r="PM50" s="303"/>
      <c r="PN50" s="303"/>
      <c r="PO50" s="303"/>
      <c r="PP50" s="303"/>
      <c r="PQ50" s="303"/>
      <c r="PR50" s="303"/>
      <c r="PS50" s="303"/>
      <c r="PT50" s="303"/>
      <c r="PU50" s="303"/>
      <c r="PV50" s="303"/>
      <c r="PW50" s="303"/>
      <c r="PX50" s="303"/>
      <c r="PY50" s="303"/>
      <c r="PZ50" s="303"/>
      <c r="QA50" s="303"/>
      <c r="QB50" s="303"/>
      <c r="QC50" s="303"/>
      <c r="QD50" s="303"/>
      <c r="QE50" s="303"/>
      <c r="QF50" s="303"/>
      <c r="QG50" s="303"/>
      <c r="QH50" s="303"/>
      <c r="QI50" s="303"/>
      <c r="QJ50" s="303"/>
      <c r="QK50" s="303"/>
      <c r="QL50" s="303"/>
      <c r="QM50" s="303"/>
      <c r="QN50" s="303"/>
      <c r="QO50" s="303"/>
      <c r="QP50" s="303"/>
      <c r="QQ50" s="303"/>
      <c r="QR50" s="303"/>
      <c r="QS50" s="303"/>
      <c r="QT50" s="303"/>
      <c r="QU50" s="303"/>
      <c r="QV50" s="303"/>
      <c r="QW50" s="303"/>
      <c r="QX50" s="303"/>
      <c r="QY50" s="303"/>
      <c r="QZ50" s="303"/>
      <c r="RA50" s="303"/>
      <c r="RB50" s="303"/>
      <c r="RC50" s="303"/>
      <c r="RD50" s="303"/>
      <c r="RE50" s="303"/>
      <c r="RF50" s="303"/>
      <c r="RG50" s="303"/>
      <c r="RH50" s="303"/>
      <c r="RI50" s="303"/>
      <c r="RJ50" s="303"/>
      <c r="RK50" s="303"/>
      <c r="RL50" s="303"/>
      <c r="RM50" s="303"/>
      <c r="RN50" s="303"/>
      <c r="RO50" s="303"/>
      <c r="RP50" s="303"/>
      <c r="RQ50" s="303"/>
      <c r="RR50" s="303"/>
      <c r="RS50" s="303"/>
      <c r="RT50" s="303"/>
      <c r="RU50" s="303"/>
      <c r="RV50" s="303"/>
      <c r="RW50" s="303"/>
      <c r="RX50" s="303"/>
      <c r="RY50" s="303"/>
      <c r="RZ50" s="303"/>
      <c r="SA50" s="303"/>
      <c r="SB50" s="303"/>
      <c r="SC50" s="303"/>
      <c r="SD50" s="303"/>
      <c r="SE50" s="303"/>
      <c r="SF50" s="303"/>
      <c r="SG50" s="303"/>
      <c r="SH50" s="303"/>
      <c r="SI50" s="303"/>
      <c r="SJ50" s="303"/>
      <c r="SK50" s="303"/>
      <c r="SL50" s="303"/>
      <c r="SM50" s="303"/>
      <c r="SN50" s="303"/>
      <c r="SO50" s="303"/>
    </row>
    <row r="51" spans="1:509" s="308" customFormat="1" ht="12.95" customHeight="1" thickBot="1" x14ac:dyDescent="0.2">
      <c r="A51" s="303"/>
      <c r="B51" s="304"/>
      <c r="C51" s="325">
        <v>38</v>
      </c>
      <c r="D51" s="999"/>
      <c r="E51" s="1000"/>
      <c r="F51" s="1000"/>
      <c r="G51" s="1000"/>
      <c r="H51" s="1000"/>
      <c r="I51" s="1000"/>
      <c r="J51" s="1001"/>
      <c r="K51" s="304"/>
      <c r="L51" s="363"/>
      <c r="M51" s="330"/>
      <c r="N51" s="331"/>
      <c r="O51" s="338"/>
      <c r="P51" s="339"/>
      <c r="Q51" s="346"/>
      <c r="R51" s="347"/>
      <c r="S51" s="354"/>
      <c r="T51" s="355"/>
      <c r="U51" s="305"/>
      <c r="V51" s="306"/>
      <c r="W51" s="306"/>
      <c r="X51" s="306"/>
      <c r="Y51" s="306"/>
      <c r="Z51" s="306"/>
      <c r="AA51" s="306"/>
      <c r="AB51" s="306"/>
      <c r="AC51" s="306"/>
      <c r="AD51" s="306"/>
      <c r="AE51" s="306"/>
      <c r="AF51" s="306"/>
      <c r="AG51" s="306"/>
      <c r="AH51" s="306"/>
      <c r="AI51" s="306"/>
      <c r="AJ51" s="306"/>
      <c r="AK51" s="306"/>
      <c r="AL51" s="306"/>
      <c r="AM51" s="306"/>
      <c r="AN51" s="306"/>
      <c r="AO51" s="306"/>
      <c r="AP51" s="306"/>
      <c r="AQ51" s="306"/>
      <c r="AR51" s="306"/>
      <c r="AS51" s="306"/>
      <c r="AT51" s="306"/>
      <c r="AU51" s="306"/>
      <c r="AV51" s="306"/>
      <c r="AW51" s="306"/>
      <c r="AX51" s="306"/>
      <c r="AY51" s="306"/>
      <c r="AZ51" s="306"/>
      <c r="BA51" s="306"/>
      <c r="BB51" s="306"/>
      <c r="BC51" s="306"/>
      <c r="BD51" s="306"/>
      <c r="BE51" s="306"/>
      <c r="BF51" s="306"/>
      <c r="BG51" s="306"/>
      <c r="BH51" s="306"/>
      <c r="BI51" s="306"/>
      <c r="BJ51" s="306"/>
      <c r="BK51" s="306"/>
      <c r="BL51" s="306"/>
      <c r="BM51" s="306"/>
      <c r="BN51" s="306"/>
      <c r="BO51" s="306"/>
      <c r="BP51" s="306"/>
      <c r="BQ51" s="306"/>
      <c r="BR51" s="306"/>
      <c r="BS51" s="306"/>
      <c r="BT51" s="306"/>
      <c r="BU51" s="306"/>
      <c r="BV51" s="306"/>
      <c r="BW51" s="306"/>
      <c r="BX51" s="306"/>
      <c r="BY51" s="306"/>
      <c r="BZ51" s="306"/>
      <c r="CA51" s="306"/>
      <c r="CB51" s="306"/>
      <c r="CC51" s="306"/>
      <c r="CD51" s="306"/>
      <c r="CE51" s="306"/>
      <c r="CF51" s="306"/>
      <c r="CG51" s="306"/>
      <c r="CH51" s="306"/>
      <c r="CI51" s="306"/>
      <c r="CJ51" s="306"/>
      <c r="CK51" s="306"/>
      <c r="CL51" s="306"/>
      <c r="CM51" s="306"/>
      <c r="CN51" s="306"/>
      <c r="CO51" s="306"/>
      <c r="CP51" s="306"/>
      <c r="CQ51" s="306"/>
      <c r="CR51" s="306"/>
      <c r="CS51" s="306"/>
      <c r="CT51" s="306"/>
      <c r="CU51" s="306"/>
      <c r="CV51" s="306"/>
      <c r="CW51" s="306"/>
      <c r="CX51" s="306"/>
      <c r="CY51" s="306"/>
      <c r="CZ51" s="306"/>
      <c r="DA51" s="306"/>
      <c r="DB51" s="306"/>
      <c r="DC51" s="306"/>
      <c r="DD51" s="306"/>
      <c r="DE51" s="306"/>
      <c r="DF51" s="306"/>
      <c r="DG51" s="306"/>
      <c r="DH51" s="306"/>
      <c r="DI51" s="306"/>
      <c r="DJ51" s="306"/>
      <c r="DK51" s="306"/>
      <c r="DL51" s="306"/>
      <c r="DM51" s="306"/>
      <c r="DN51" s="306"/>
      <c r="DO51" s="306"/>
      <c r="DP51" s="306"/>
      <c r="DQ51" s="306"/>
      <c r="DR51" s="306"/>
      <c r="DS51" s="306"/>
      <c r="DT51" s="306"/>
      <c r="DU51" s="306"/>
      <c r="DV51" s="306"/>
      <c r="DW51" s="306"/>
      <c r="DX51" s="306"/>
      <c r="DY51" s="306"/>
      <c r="DZ51" s="306"/>
      <c r="EA51" s="306"/>
      <c r="EB51" s="306"/>
      <c r="EC51" s="306"/>
      <c r="ED51" s="306"/>
      <c r="EE51" s="306"/>
      <c r="EF51" s="306"/>
      <c r="EG51" s="306"/>
      <c r="EH51" s="306"/>
      <c r="EI51" s="306"/>
      <c r="EJ51" s="306"/>
      <c r="EK51" s="306"/>
      <c r="EL51" s="306"/>
      <c r="EM51" s="306"/>
      <c r="EN51" s="306"/>
      <c r="EO51" s="306"/>
      <c r="EP51" s="306"/>
      <c r="EQ51" s="306"/>
      <c r="ER51" s="306"/>
      <c r="ES51" s="306"/>
      <c r="ET51" s="306"/>
      <c r="EU51" s="306"/>
      <c r="EV51" s="306"/>
      <c r="EW51" s="306"/>
      <c r="EX51" s="306"/>
      <c r="EY51" s="306"/>
      <c r="EZ51" s="306"/>
      <c r="FA51" s="306"/>
      <c r="FB51" s="306"/>
      <c r="FC51" s="306"/>
      <c r="FD51" s="306"/>
      <c r="FE51" s="306"/>
      <c r="FF51" s="306"/>
      <c r="FG51" s="306"/>
      <c r="FH51" s="306"/>
      <c r="FI51" s="306"/>
      <c r="FJ51" s="306"/>
      <c r="FK51" s="306"/>
      <c r="FL51" s="306"/>
      <c r="FM51" s="306"/>
      <c r="FN51" s="306"/>
      <c r="FO51" s="306"/>
      <c r="FP51" s="306"/>
      <c r="FQ51" s="306"/>
      <c r="FR51" s="306"/>
      <c r="FS51" s="306"/>
      <c r="FT51" s="306"/>
      <c r="FU51" s="306"/>
      <c r="FV51" s="306"/>
      <c r="FW51" s="306"/>
      <c r="FX51" s="306"/>
      <c r="FY51" s="306"/>
      <c r="FZ51" s="306"/>
      <c r="GA51" s="306"/>
      <c r="GB51" s="306"/>
      <c r="GC51" s="306"/>
      <c r="GD51" s="306"/>
      <c r="GE51" s="306"/>
      <c r="GF51" s="306"/>
      <c r="GG51" s="306"/>
      <c r="GH51" s="306"/>
      <c r="GI51" s="306"/>
      <c r="GJ51" s="306"/>
      <c r="GK51" s="306"/>
      <c r="GL51" s="306"/>
      <c r="GM51" s="306"/>
      <c r="GN51" s="306"/>
      <c r="GO51" s="306"/>
      <c r="GP51" s="306"/>
      <c r="GQ51" s="306"/>
      <c r="GR51" s="306"/>
      <c r="GS51" s="306"/>
      <c r="GT51" s="306"/>
      <c r="GU51" s="306"/>
      <c r="GV51" s="306"/>
      <c r="GW51" s="306"/>
      <c r="GX51" s="306"/>
      <c r="GY51" s="306"/>
      <c r="GZ51" s="306"/>
      <c r="HA51" s="306"/>
      <c r="HB51" s="306"/>
      <c r="HC51" s="306"/>
      <c r="HD51" s="306"/>
      <c r="HE51" s="306"/>
      <c r="HF51" s="306"/>
      <c r="HG51" s="306"/>
      <c r="HH51" s="306"/>
      <c r="HI51" s="306"/>
      <c r="HJ51" s="306"/>
      <c r="HK51" s="306"/>
      <c r="HL51" s="306"/>
      <c r="HM51" s="307"/>
      <c r="HN51" s="307"/>
      <c r="HO51" s="307"/>
      <c r="HP51" s="307"/>
      <c r="HQ51" s="307"/>
      <c r="HR51" s="307"/>
      <c r="HS51" s="307"/>
      <c r="HT51" s="307"/>
      <c r="HU51" s="303"/>
      <c r="HV51" s="303"/>
      <c r="HW51" s="303"/>
      <c r="HX51" s="303"/>
      <c r="HY51" s="303"/>
      <c r="HZ51" s="303"/>
      <c r="IA51" s="303"/>
      <c r="IB51" s="303"/>
      <c r="IC51" s="303"/>
      <c r="ID51" s="303"/>
      <c r="IE51" s="303"/>
      <c r="IF51" s="303"/>
      <c r="IG51" s="303"/>
      <c r="IH51" s="303"/>
      <c r="II51" s="303"/>
      <c r="IJ51" s="303"/>
      <c r="IK51" s="303"/>
      <c r="IL51" s="303"/>
      <c r="IM51" s="303"/>
      <c r="IN51" s="303"/>
      <c r="IO51" s="303"/>
      <c r="IP51" s="303"/>
      <c r="IQ51" s="303"/>
      <c r="IR51" s="303"/>
      <c r="IS51" s="303"/>
      <c r="IT51" s="303"/>
      <c r="IU51" s="303"/>
      <c r="IV51" s="303"/>
      <c r="IW51" s="303"/>
      <c r="IX51" s="303"/>
      <c r="IY51" s="303"/>
      <c r="IZ51" s="303"/>
      <c r="JA51" s="303"/>
      <c r="JB51" s="303"/>
      <c r="JC51" s="303"/>
      <c r="JD51" s="303"/>
      <c r="JE51" s="303"/>
      <c r="JF51" s="303"/>
      <c r="JG51" s="303"/>
      <c r="JH51" s="303"/>
      <c r="JI51" s="303"/>
      <c r="JJ51" s="303"/>
      <c r="JK51" s="303"/>
      <c r="JL51" s="303"/>
      <c r="JM51" s="303"/>
      <c r="JN51" s="303"/>
      <c r="JO51" s="303"/>
      <c r="JP51" s="303"/>
      <c r="JQ51" s="303"/>
      <c r="JR51" s="303"/>
      <c r="JS51" s="303"/>
      <c r="JT51" s="303"/>
      <c r="JU51" s="303"/>
      <c r="JV51" s="303"/>
      <c r="JW51" s="303"/>
      <c r="JX51" s="303"/>
      <c r="JY51" s="303"/>
      <c r="JZ51" s="303"/>
      <c r="KA51" s="303"/>
      <c r="KB51" s="303"/>
      <c r="KC51" s="303"/>
      <c r="KD51" s="303"/>
      <c r="KE51" s="303"/>
      <c r="KF51" s="303"/>
      <c r="KG51" s="303"/>
      <c r="KH51" s="303"/>
      <c r="KI51" s="303"/>
      <c r="KJ51" s="303"/>
      <c r="KK51" s="303"/>
      <c r="KL51" s="303"/>
      <c r="KM51" s="303"/>
      <c r="KN51" s="303"/>
      <c r="KO51" s="303"/>
      <c r="KP51" s="303"/>
      <c r="KQ51" s="303"/>
      <c r="KR51" s="303"/>
      <c r="KS51" s="303"/>
      <c r="KT51" s="303"/>
      <c r="KU51" s="303"/>
      <c r="KV51" s="303"/>
      <c r="KW51" s="303"/>
      <c r="KX51" s="303"/>
      <c r="KY51" s="303"/>
      <c r="KZ51" s="303"/>
      <c r="LA51" s="303"/>
      <c r="LB51" s="303"/>
      <c r="LC51" s="303"/>
      <c r="LD51" s="303"/>
      <c r="LE51" s="303"/>
      <c r="LF51" s="303"/>
      <c r="LG51" s="303"/>
      <c r="LH51" s="303"/>
      <c r="LI51" s="303"/>
      <c r="LJ51" s="303"/>
      <c r="LK51" s="303"/>
      <c r="LL51" s="303"/>
      <c r="LM51" s="303"/>
      <c r="LN51" s="303"/>
      <c r="LO51" s="303"/>
      <c r="LP51" s="303"/>
      <c r="LQ51" s="303"/>
      <c r="LR51" s="303"/>
      <c r="LS51" s="303"/>
      <c r="LT51" s="303"/>
      <c r="LU51" s="303"/>
      <c r="LV51" s="303"/>
      <c r="LW51" s="303"/>
      <c r="LX51" s="303"/>
      <c r="LY51" s="303"/>
      <c r="LZ51" s="303"/>
      <c r="MA51" s="303"/>
      <c r="MB51" s="303"/>
      <c r="MC51" s="303"/>
      <c r="MD51" s="303"/>
      <c r="ME51" s="303"/>
      <c r="MF51" s="303"/>
      <c r="MG51" s="303"/>
      <c r="MH51" s="303"/>
      <c r="MI51" s="303"/>
      <c r="MJ51" s="303"/>
      <c r="MK51" s="303"/>
      <c r="ML51" s="303"/>
      <c r="MM51" s="303"/>
      <c r="MN51" s="303"/>
      <c r="MO51" s="303"/>
      <c r="MP51" s="303"/>
      <c r="MQ51" s="303"/>
      <c r="MR51" s="303"/>
      <c r="MS51" s="303"/>
      <c r="MT51" s="303"/>
      <c r="MU51" s="303"/>
      <c r="MV51" s="303"/>
      <c r="MW51" s="303"/>
      <c r="MX51" s="303"/>
      <c r="MY51" s="303"/>
      <c r="MZ51" s="303"/>
      <c r="NA51" s="303"/>
      <c r="NB51" s="303"/>
      <c r="NC51" s="303"/>
      <c r="ND51" s="303"/>
      <c r="NE51" s="303"/>
      <c r="NF51" s="303"/>
      <c r="NG51" s="303"/>
      <c r="NH51" s="303"/>
      <c r="NI51" s="303"/>
      <c r="NJ51" s="303"/>
      <c r="NK51" s="303"/>
      <c r="NL51" s="303"/>
      <c r="NM51" s="303"/>
      <c r="NN51" s="303"/>
      <c r="NO51" s="303"/>
      <c r="NP51" s="303"/>
      <c r="NQ51" s="303"/>
      <c r="NR51" s="303"/>
      <c r="NS51" s="303"/>
      <c r="NT51" s="303"/>
      <c r="NU51" s="303"/>
      <c r="NV51" s="303"/>
      <c r="NW51" s="303"/>
      <c r="NX51" s="303"/>
      <c r="NY51" s="303"/>
      <c r="NZ51" s="303"/>
      <c r="OA51" s="303"/>
      <c r="OB51" s="303"/>
      <c r="OC51" s="303"/>
      <c r="OD51" s="303"/>
      <c r="OE51" s="303"/>
      <c r="OF51" s="303"/>
      <c r="OG51" s="303"/>
      <c r="OH51" s="303"/>
      <c r="OI51" s="303"/>
      <c r="OJ51" s="303"/>
      <c r="OK51" s="303"/>
      <c r="OL51" s="303"/>
      <c r="OM51" s="303"/>
      <c r="ON51" s="303"/>
      <c r="OO51" s="303"/>
      <c r="OP51" s="303"/>
      <c r="OQ51" s="303"/>
      <c r="OR51" s="303"/>
      <c r="OS51" s="303"/>
      <c r="OT51" s="303"/>
      <c r="OU51" s="303"/>
      <c r="OV51" s="303"/>
      <c r="OW51" s="303"/>
      <c r="OX51" s="303"/>
      <c r="OY51" s="303"/>
      <c r="OZ51" s="303"/>
      <c r="PA51" s="303"/>
      <c r="PB51" s="303"/>
      <c r="PC51" s="303"/>
      <c r="PD51" s="303"/>
      <c r="PE51" s="303"/>
      <c r="PF51" s="303"/>
      <c r="PG51" s="303"/>
      <c r="PH51" s="303"/>
      <c r="PI51" s="303"/>
      <c r="PJ51" s="303"/>
      <c r="PK51" s="303"/>
      <c r="PL51" s="303"/>
      <c r="PM51" s="303"/>
      <c r="PN51" s="303"/>
      <c r="PO51" s="303"/>
      <c r="PP51" s="303"/>
      <c r="PQ51" s="303"/>
      <c r="PR51" s="303"/>
      <c r="PS51" s="303"/>
      <c r="PT51" s="303"/>
      <c r="PU51" s="303"/>
      <c r="PV51" s="303"/>
      <c r="PW51" s="303"/>
      <c r="PX51" s="303"/>
      <c r="PY51" s="303"/>
      <c r="PZ51" s="303"/>
      <c r="QA51" s="303"/>
      <c r="QB51" s="303"/>
      <c r="QC51" s="303"/>
      <c r="QD51" s="303"/>
      <c r="QE51" s="303"/>
      <c r="QF51" s="303"/>
      <c r="QG51" s="303"/>
      <c r="QH51" s="303"/>
      <c r="QI51" s="303"/>
      <c r="QJ51" s="303"/>
      <c r="QK51" s="303"/>
      <c r="QL51" s="303"/>
      <c r="QM51" s="303"/>
      <c r="QN51" s="303"/>
      <c r="QO51" s="303"/>
      <c r="QP51" s="303"/>
      <c r="QQ51" s="303"/>
      <c r="QR51" s="303"/>
      <c r="QS51" s="303"/>
      <c r="QT51" s="303"/>
      <c r="QU51" s="303"/>
      <c r="QV51" s="303"/>
      <c r="QW51" s="303"/>
      <c r="QX51" s="303"/>
      <c r="QY51" s="303"/>
      <c r="QZ51" s="303"/>
      <c r="RA51" s="303"/>
      <c r="RB51" s="303"/>
      <c r="RC51" s="303"/>
      <c r="RD51" s="303"/>
      <c r="RE51" s="303"/>
      <c r="RF51" s="303"/>
      <c r="RG51" s="303"/>
      <c r="RH51" s="303"/>
      <c r="RI51" s="303"/>
      <c r="RJ51" s="303"/>
      <c r="RK51" s="303"/>
      <c r="RL51" s="303"/>
      <c r="RM51" s="303"/>
      <c r="RN51" s="303"/>
      <c r="RO51" s="303"/>
      <c r="RP51" s="303"/>
      <c r="RQ51" s="303"/>
      <c r="RR51" s="303"/>
      <c r="RS51" s="303"/>
      <c r="RT51" s="303"/>
      <c r="RU51" s="303"/>
      <c r="RV51" s="303"/>
      <c r="RW51" s="303"/>
      <c r="RX51" s="303"/>
      <c r="RY51" s="303"/>
      <c r="RZ51" s="303"/>
      <c r="SA51" s="303"/>
      <c r="SB51" s="303"/>
      <c r="SC51" s="303"/>
      <c r="SD51" s="303"/>
      <c r="SE51" s="303"/>
      <c r="SF51" s="303"/>
      <c r="SG51" s="303"/>
      <c r="SH51" s="303"/>
      <c r="SI51" s="303"/>
      <c r="SJ51" s="303"/>
      <c r="SK51" s="303"/>
      <c r="SL51" s="303"/>
      <c r="SM51" s="303"/>
      <c r="SN51" s="303"/>
      <c r="SO51" s="303"/>
    </row>
    <row r="52" spans="1:509" s="308" customFormat="1" ht="12.95" customHeight="1" thickBot="1" x14ac:dyDescent="0.2">
      <c r="A52" s="303"/>
      <c r="B52" s="304"/>
      <c r="C52" s="325">
        <v>39</v>
      </c>
      <c r="D52" s="999"/>
      <c r="E52" s="1000"/>
      <c r="F52" s="1000"/>
      <c r="G52" s="1000"/>
      <c r="H52" s="1000"/>
      <c r="I52" s="1000"/>
      <c r="J52" s="1001"/>
      <c r="K52" s="304"/>
      <c r="L52" s="363"/>
      <c r="M52" s="330"/>
      <c r="N52" s="331"/>
      <c r="O52" s="338"/>
      <c r="P52" s="339"/>
      <c r="Q52" s="346"/>
      <c r="R52" s="347"/>
      <c r="S52" s="354"/>
      <c r="T52" s="355"/>
      <c r="U52" s="305"/>
      <c r="V52" s="306"/>
      <c r="W52" s="306"/>
      <c r="X52" s="306"/>
      <c r="Y52" s="306"/>
      <c r="Z52" s="306"/>
      <c r="AA52" s="306"/>
      <c r="AB52" s="306"/>
      <c r="AC52" s="306"/>
      <c r="AD52" s="306"/>
      <c r="AE52" s="306"/>
      <c r="AF52" s="306"/>
      <c r="AG52" s="306"/>
      <c r="AH52" s="306"/>
      <c r="AI52" s="306"/>
      <c r="AJ52" s="306"/>
      <c r="AK52" s="306"/>
      <c r="AL52" s="306"/>
      <c r="AM52" s="306"/>
      <c r="AN52" s="306"/>
      <c r="AO52" s="306"/>
      <c r="AP52" s="306"/>
      <c r="AQ52" s="306"/>
      <c r="AR52" s="306"/>
      <c r="AS52" s="306"/>
      <c r="AT52" s="306"/>
      <c r="AU52" s="306"/>
      <c r="AV52" s="306"/>
      <c r="AW52" s="306"/>
      <c r="AX52" s="306"/>
      <c r="AY52" s="306"/>
      <c r="AZ52" s="306"/>
      <c r="BA52" s="306"/>
      <c r="BB52" s="306"/>
      <c r="BC52" s="306"/>
      <c r="BD52" s="306"/>
      <c r="BE52" s="306"/>
      <c r="BF52" s="306"/>
      <c r="BG52" s="306"/>
      <c r="BH52" s="306"/>
      <c r="BI52" s="306"/>
      <c r="BJ52" s="306"/>
      <c r="BK52" s="306"/>
      <c r="BL52" s="306"/>
      <c r="BM52" s="306"/>
      <c r="BN52" s="306"/>
      <c r="BO52" s="306"/>
      <c r="BP52" s="306"/>
      <c r="BQ52" s="306"/>
      <c r="BR52" s="306"/>
      <c r="BS52" s="306"/>
      <c r="BT52" s="306"/>
      <c r="BU52" s="306"/>
      <c r="BV52" s="306"/>
      <c r="BW52" s="306"/>
      <c r="BX52" s="306"/>
      <c r="BY52" s="306"/>
      <c r="BZ52" s="306"/>
      <c r="CA52" s="306"/>
      <c r="CB52" s="306"/>
      <c r="CC52" s="306"/>
      <c r="CD52" s="306"/>
      <c r="CE52" s="306"/>
      <c r="CF52" s="306"/>
      <c r="CG52" s="306"/>
      <c r="CH52" s="306"/>
      <c r="CI52" s="306"/>
      <c r="CJ52" s="306"/>
      <c r="CK52" s="306"/>
      <c r="CL52" s="306"/>
      <c r="CM52" s="306"/>
      <c r="CN52" s="306"/>
      <c r="CO52" s="306"/>
      <c r="CP52" s="306"/>
      <c r="CQ52" s="306"/>
      <c r="CR52" s="306"/>
      <c r="CS52" s="306"/>
      <c r="CT52" s="306"/>
      <c r="CU52" s="306"/>
      <c r="CV52" s="306"/>
      <c r="CW52" s="306"/>
      <c r="CX52" s="306"/>
      <c r="CY52" s="306"/>
      <c r="CZ52" s="306"/>
      <c r="DA52" s="306"/>
      <c r="DB52" s="306"/>
      <c r="DC52" s="306"/>
      <c r="DD52" s="306"/>
      <c r="DE52" s="306"/>
      <c r="DF52" s="306"/>
      <c r="DG52" s="306"/>
      <c r="DH52" s="306"/>
      <c r="DI52" s="306"/>
      <c r="DJ52" s="306"/>
      <c r="DK52" s="306"/>
      <c r="DL52" s="306"/>
      <c r="DM52" s="306"/>
      <c r="DN52" s="306"/>
      <c r="DO52" s="306"/>
      <c r="DP52" s="306"/>
      <c r="DQ52" s="306"/>
      <c r="DR52" s="306"/>
      <c r="DS52" s="306"/>
      <c r="DT52" s="306"/>
      <c r="DU52" s="306"/>
      <c r="DV52" s="306"/>
      <c r="DW52" s="306"/>
      <c r="DX52" s="306"/>
      <c r="DY52" s="306"/>
      <c r="DZ52" s="306"/>
      <c r="EA52" s="306"/>
      <c r="EB52" s="306"/>
      <c r="EC52" s="306"/>
      <c r="ED52" s="306"/>
      <c r="EE52" s="306"/>
      <c r="EF52" s="306"/>
      <c r="EG52" s="306"/>
      <c r="EH52" s="306"/>
      <c r="EI52" s="306"/>
      <c r="EJ52" s="306"/>
      <c r="EK52" s="306"/>
      <c r="EL52" s="306"/>
      <c r="EM52" s="306"/>
      <c r="EN52" s="306"/>
      <c r="EO52" s="306"/>
      <c r="EP52" s="306"/>
      <c r="EQ52" s="306"/>
      <c r="ER52" s="306"/>
      <c r="ES52" s="306"/>
      <c r="ET52" s="306"/>
      <c r="EU52" s="306"/>
      <c r="EV52" s="306"/>
      <c r="EW52" s="306"/>
      <c r="EX52" s="306"/>
      <c r="EY52" s="306"/>
      <c r="EZ52" s="306"/>
      <c r="FA52" s="306"/>
      <c r="FB52" s="306"/>
      <c r="FC52" s="306"/>
      <c r="FD52" s="306"/>
      <c r="FE52" s="306"/>
      <c r="FF52" s="306"/>
      <c r="FG52" s="306"/>
      <c r="FH52" s="306"/>
      <c r="FI52" s="306"/>
      <c r="FJ52" s="306"/>
      <c r="FK52" s="306"/>
      <c r="FL52" s="306"/>
      <c r="FM52" s="306"/>
      <c r="FN52" s="306"/>
      <c r="FO52" s="306"/>
      <c r="FP52" s="306"/>
      <c r="FQ52" s="306"/>
      <c r="FR52" s="306"/>
      <c r="FS52" s="306"/>
      <c r="FT52" s="306"/>
      <c r="FU52" s="306"/>
      <c r="FV52" s="306"/>
      <c r="FW52" s="306"/>
      <c r="FX52" s="306"/>
      <c r="FY52" s="306"/>
      <c r="FZ52" s="306"/>
      <c r="GA52" s="306"/>
      <c r="GB52" s="306"/>
      <c r="GC52" s="306"/>
      <c r="GD52" s="306"/>
      <c r="GE52" s="306"/>
      <c r="GF52" s="306"/>
      <c r="GG52" s="306"/>
      <c r="GH52" s="306"/>
      <c r="GI52" s="306"/>
      <c r="GJ52" s="306"/>
      <c r="GK52" s="306"/>
      <c r="GL52" s="306"/>
      <c r="GM52" s="306"/>
      <c r="GN52" s="306"/>
      <c r="GO52" s="306"/>
      <c r="GP52" s="306"/>
      <c r="GQ52" s="306"/>
      <c r="GR52" s="306"/>
      <c r="GS52" s="306"/>
      <c r="GT52" s="306"/>
      <c r="GU52" s="306"/>
      <c r="GV52" s="306"/>
      <c r="GW52" s="306"/>
      <c r="GX52" s="306"/>
      <c r="GY52" s="306"/>
      <c r="GZ52" s="306"/>
      <c r="HA52" s="306"/>
      <c r="HB52" s="306"/>
      <c r="HC52" s="306"/>
      <c r="HD52" s="306"/>
      <c r="HE52" s="306"/>
      <c r="HF52" s="306"/>
      <c r="HG52" s="306"/>
      <c r="HH52" s="306"/>
      <c r="HI52" s="306"/>
      <c r="HJ52" s="306"/>
      <c r="HK52" s="306"/>
      <c r="HL52" s="306"/>
      <c r="HM52" s="307"/>
      <c r="HN52" s="307"/>
      <c r="HO52" s="307"/>
      <c r="HP52" s="307"/>
      <c r="HQ52" s="307"/>
      <c r="HR52" s="307"/>
      <c r="HS52" s="307"/>
      <c r="HT52" s="307"/>
      <c r="HU52" s="303"/>
      <c r="HV52" s="303"/>
      <c r="HW52" s="303"/>
      <c r="HX52" s="303"/>
      <c r="HY52" s="303"/>
      <c r="HZ52" s="303"/>
      <c r="IA52" s="303"/>
      <c r="IB52" s="303"/>
      <c r="IC52" s="303"/>
      <c r="ID52" s="303"/>
      <c r="IE52" s="303"/>
      <c r="IF52" s="303"/>
      <c r="IG52" s="303"/>
      <c r="IH52" s="303"/>
      <c r="II52" s="303"/>
      <c r="IJ52" s="303"/>
      <c r="IK52" s="303"/>
      <c r="IL52" s="303"/>
      <c r="IM52" s="303"/>
      <c r="IN52" s="303"/>
      <c r="IO52" s="303"/>
      <c r="IP52" s="303"/>
      <c r="IQ52" s="303"/>
      <c r="IR52" s="303"/>
      <c r="IS52" s="303"/>
      <c r="IT52" s="303"/>
      <c r="IU52" s="303"/>
      <c r="IV52" s="303"/>
      <c r="IW52" s="303"/>
      <c r="IX52" s="303"/>
      <c r="IY52" s="303"/>
      <c r="IZ52" s="303"/>
      <c r="JA52" s="303"/>
      <c r="JB52" s="303"/>
      <c r="JC52" s="303"/>
      <c r="JD52" s="303"/>
      <c r="JE52" s="303"/>
      <c r="JF52" s="303"/>
      <c r="JG52" s="303"/>
      <c r="JH52" s="303"/>
      <c r="JI52" s="303"/>
      <c r="JJ52" s="303"/>
      <c r="JK52" s="303"/>
      <c r="JL52" s="303"/>
      <c r="JM52" s="303"/>
      <c r="JN52" s="303"/>
      <c r="JO52" s="303"/>
      <c r="JP52" s="303"/>
      <c r="JQ52" s="303"/>
      <c r="JR52" s="303"/>
      <c r="JS52" s="303"/>
      <c r="JT52" s="303"/>
      <c r="JU52" s="303"/>
      <c r="JV52" s="303"/>
      <c r="JW52" s="303"/>
      <c r="JX52" s="303"/>
      <c r="JY52" s="303"/>
      <c r="JZ52" s="303"/>
      <c r="KA52" s="303"/>
      <c r="KB52" s="303"/>
      <c r="KC52" s="303"/>
      <c r="KD52" s="303"/>
      <c r="KE52" s="303"/>
      <c r="KF52" s="303"/>
      <c r="KG52" s="303"/>
      <c r="KH52" s="303"/>
      <c r="KI52" s="303"/>
      <c r="KJ52" s="303"/>
      <c r="KK52" s="303"/>
      <c r="KL52" s="303"/>
      <c r="KM52" s="303"/>
      <c r="KN52" s="303"/>
      <c r="KO52" s="303"/>
      <c r="KP52" s="303"/>
      <c r="KQ52" s="303"/>
      <c r="KR52" s="303"/>
      <c r="KS52" s="303"/>
      <c r="KT52" s="303"/>
      <c r="KU52" s="303"/>
      <c r="KV52" s="303"/>
      <c r="KW52" s="303"/>
      <c r="KX52" s="303"/>
      <c r="KY52" s="303"/>
      <c r="KZ52" s="303"/>
      <c r="LA52" s="303"/>
      <c r="LB52" s="303"/>
      <c r="LC52" s="303"/>
      <c r="LD52" s="303"/>
      <c r="LE52" s="303"/>
      <c r="LF52" s="303"/>
      <c r="LG52" s="303"/>
      <c r="LH52" s="303"/>
      <c r="LI52" s="303"/>
      <c r="LJ52" s="303"/>
      <c r="LK52" s="303"/>
      <c r="LL52" s="303"/>
      <c r="LM52" s="303"/>
      <c r="LN52" s="303"/>
      <c r="LO52" s="303"/>
      <c r="LP52" s="303"/>
      <c r="LQ52" s="303"/>
      <c r="LR52" s="303"/>
      <c r="LS52" s="303"/>
      <c r="LT52" s="303"/>
      <c r="LU52" s="303"/>
      <c r="LV52" s="303"/>
      <c r="LW52" s="303"/>
      <c r="LX52" s="303"/>
      <c r="LY52" s="303"/>
      <c r="LZ52" s="303"/>
      <c r="MA52" s="303"/>
      <c r="MB52" s="303"/>
      <c r="MC52" s="303"/>
      <c r="MD52" s="303"/>
      <c r="ME52" s="303"/>
      <c r="MF52" s="303"/>
      <c r="MG52" s="303"/>
      <c r="MH52" s="303"/>
      <c r="MI52" s="303"/>
      <c r="MJ52" s="303"/>
      <c r="MK52" s="303"/>
      <c r="ML52" s="303"/>
      <c r="MM52" s="303"/>
      <c r="MN52" s="303"/>
      <c r="MO52" s="303"/>
      <c r="MP52" s="303"/>
      <c r="MQ52" s="303"/>
      <c r="MR52" s="303"/>
      <c r="MS52" s="303"/>
      <c r="MT52" s="303"/>
      <c r="MU52" s="303"/>
      <c r="MV52" s="303"/>
      <c r="MW52" s="303"/>
      <c r="MX52" s="303"/>
      <c r="MY52" s="303"/>
      <c r="MZ52" s="303"/>
      <c r="NA52" s="303"/>
      <c r="NB52" s="303"/>
      <c r="NC52" s="303"/>
      <c r="ND52" s="303"/>
      <c r="NE52" s="303"/>
      <c r="NF52" s="303"/>
      <c r="NG52" s="303"/>
      <c r="NH52" s="303"/>
      <c r="NI52" s="303"/>
      <c r="NJ52" s="303"/>
      <c r="NK52" s="303"/>
      <c r="NL52" s="303"/>
      <c r="NM52" s="303"/>
      <c r="NN52" s="303"/>
      <c r="NO52" s="303"/>
      <c r="NP52" s="303"/>
      <c r="NQ52" s="303"/>
      <c r="NR52" s="303"/>
      <c r="NS52" s="303"/>
      <c r="NT52" s="303"/>
      <c r="NU52" s="303"/>
      <c r="NV52" s="303"/>
      <c r="NW52" s="303"/>
      <c r="NX52" s="303"/>
      <c r="NY52" s="303"/>
      <c r="NZ52" s="303"/>
      <c r="OA52" s="303"/>
      <c r="OB52" s="303"/>
      <c r="OC52" s="303"/>
      <c r="OD52" s="303"/>
      <c r="OE52" s="303"/>
      <c r="OF52" s="303"/>
      <c r="OG52" s="303"/>
      <c r="OH52" s="303"/>
      <c r="OI52" s="303"/>
      <c r="OJ52" s="303"/>
      <c r="OK52" s="303"/>
      <c r="OL52" s="303"/>
      <c r="OM52" s="303"/>
      <c r="ON52" s="303"/>
      <c r="OO52" s="303"/>
      <c r="OP52" s="303"/>
      <c r="OQ52" s="303"/>
      <c r="OR52" s="303"/>
      <c r="OS52" s="303"/>
      <c r="OT52" s="303"/>
      <c r="OU52" s="303"/>
      <c r="OV52" s="303"/>
      <c r="OW52" s="303"/>
      <c r="OX52" s="303"/>
      <c r="OY52" s="303"/>
      <c r="OZ52" s="303"/>
      <c r="PA52" s="303"/>
      <c r="PB52" s="303"/>
      <c r="PC52" s="303"/>
      <c r="PD52" s="303"/>
      <c r="PE52" s="303"/>
      <c r="PF52" s="303"/>
      <c r="PG52" s="303"/>
      <c r="PH52" s="303"/>
      <c r="PI52" s="303"/>
      <c r="PJ52" s="303"/>
      <c r="PK52" s="303"/>
      <c r="PL52" s="303"/>
      <c r="PM52" s="303"/>
      <c r="PN52" s="303"/>
      <c r="PO52" s="303"/>
      <c r="PP52" s="303"/>
      <c r="PQ52" s="303"/>
      <c r="PR52" s="303"/>
      <c r="PS52" s="303"/>
      <c r="PT52" s="303"/>
      <c r="PU52" s="303"/>
      <c r="PV52" s="303"/>
      <c r="PW52" s="303"/>
      <c r="PX52" s="303"/>
      <c r="PY52" s="303"/>
      <c r="PZ52" s="303"/>
      <c r="QA52" s="303"/>
      <c r="QB52" s="303"/>
      <c r="QC52" s="303"/>
      <c r="QD52" s="303"/>
      <c r="QE52" s="303"/>
      <c r="QF52" s="303"/>
      <c r="QG52" s="303"/>
      <c r="QH52" s="303"/>
      <c r="QI52" s="303"/>
      <c r="QJ52" s="303"/>
      <c r="QK52" s="303"/>
      <c r="QL52" s="303"/>
      <c r="QM52" s="303"/>
      <c r="QN52" s="303"/>
      <c r="QO52" s="303"/>
      <c r="QP52" s="303"/>
      <c r="QQ52" s="303"/>
      <c r="QR52" s="303"/>
      <c r="QS52" s="303"/>
      <c r="QT52" s="303"/>
      <c r="QU52" s="303"/>
      <c r="QV52" s="303"/>
      <c r="QW52" s="303"/>
      <c r="QX52" s="303"/>
      <c r="QY52" s="303"/>
      <c r="QZ52" s="303"/>
      <c r="RA52" s="303"/>
      <c r="RB52" s="303"/>
      <c r="RC52" s="303"/>
      <c r="RD52" s="303"/>
      <c r="RE52" s="303"/>
      <c r="RF52" s="303"/>
      <c r="RG52" s="303"/>
      <c r="RH52" s="303"/>
      <c r="RI52" s="303"/>
      <c r="RJ52" s="303"/>
      <c r="RK52" s="303"/>
      <c r="RL52" s="303"/>
      <c r="RM52" s="303"/>
      <c r="RN52" s="303"/>
      <c r="RO52" s="303"/>
      <c r="RP52" s="303"/>
      <c r="RQ52" s="303"/>
      <c r="RR52" s="303"/>
      <c r="RS52" s="303"/>
      <c r="RT52" s="303"/>
      <c r="RU52" s="303"/>
      <c r="RV52" s="303"/>
      <c r="RW52" s="303"/>
      <c r="RX52" s="303"/>
      <c r="RY52" s="303"/>
      <c r="RZ52" s="303"/>
      <c r="SA52" s="303"/>
      <c r="SB52" s="303"/>
      <c r="SC52" s="303"/>
      <c r="SD52" s="303"/>
      <c r="SE52" s="303"/>
      <c r="SF52" s="303"/>
      <c r="SG52" s="303"/>
      <c r="SH52" s="303"/>
      <c r="SI52" s="303"/>
      <c r="SJ52" s="303"/>
      <c r="SK52" s="303"/>
      <c r="SL52" s="303"/>
      <c r="SM52" s="303"/>
      <c r="SN52" s="303"/>
      <c r="SO52" s="303"/>
    </row>
    <row r="53" spans="1:509" s="308" customFormat="1" ht="12.95" customHeight="1" thickBot="1" x14ac:dyDescent="0.2">
      <c r="A53" s="303"/>
      <c r="B53" s="304"/>
      <c r="C53" s="325">
        <v>40</v>
      </c>
      <c r="D53" s="999"/>
      <c r="E53" s="1000"/>
      <c r="F53" s="1000"/>
      <c r="G53" s="1000"/>
      <c r="H53" s="1000"/>
      <c r="I53" s="1000"/>
      <c r="J53" s="1001"/>
      <c r="K53" s="304"/>
      <c r="L53" s="363"/>
      <c r="M53" s="330"/>
      <c r="N53" s="331"/>
      <c r="O53" s="338"/>
      <c r="P53" s="339"/>
      <c r="Q53" s="346"/>
      <c r="R53" s="347"/>
      <c r="S53" s="354"/>
      <c r="T53" s="355"/>
      <c r="U53" s="305"/>
      <c r="V53" s="306"/>
      <c r="W53" s="306"/>
      <c r="X53" s="306"/>
      <c r="Y53" s="306"/>
      <c r="Z53" s="306"/>
      <c r="AA53" s="306"/>
      <c r="AB53" s="306"/>
      <c r="AC53" s="306"/>
      <c r="AD53" s="306"/>
      <c r="AE53" s="306"/>
      <c r="AF53" s="306"/>
      <c r="AG53" s="306"/>
      <c r="AH53" s="306"/>
      <c r="AI53" s="306"/>
      <c r="AJ53" s="306"/>
      <c r="AK53" s="306"/>
      <c r="AL53" s="306"/>
      <c r="AM53" s="306"/>
      <c r="AN53" s="306"/>
      <c r="AO53" s="306"/>
      <c r="AP53" s="306"/>
      <c r="AQ53" s="306"/>
      <c r="AR53" s="306"/>
      <c r="AS53" s="306"/>
      <c r="AT53" s="306"/>
      <c r="AU53" s="306"/>
      <c r="AV53" s="306"/>
      <c r="AW53" s="306"/>
      <c r="AX53" s="306"/>
      <c r="AY53" s="306"/>
      <c r="AZ53" s="306"/>
      <c r="BA53" s="306"/>
      <c r="BB53" s="306"/>
      <c r="BC53" s="306"/>
      <c r="BD53" s="306"/>
      <c r="BE53" s="306"/>
      <c r="BF53" s="306"/>
      <c r="BG53" s="306"/>
      <c r="BH53" s="306"/>
      <c r="BI53" s="306"/>
      <c r="BJ53" s="306"/>
      <c r="BK53" s="306"/>
      <c r="BL53" s="306"/>
      <c r="BM53" s="306"/>
      <c r="BN53" s="306"/>
      <c r="BO53" s="306"/>
      <c r="BP53" s="306"/>
      <c r="BQ53" s="306"/>
      <c r="BR53" s="306"/>
      <c r="BS53" s="306"/>
      <c r="BT53" s="306"/>
      <c r="BU53" s="306"/>
      <c r="BV53" s="306"/>
      <c r="BW53" s="306"/>
      <c r="BX53" s="306"/>
      <c r="BY53" s="306"/>
      <c r="BZ53" s="306"/>
      <c r="CA53" s="306"/>
      <c r="CB53" s="306"/>
      <c r="CC53" s="306"/>
      <c r="CD53" s="306"/>
      <c r="CE53" s="306"/>
      <c r="CF53" s="306"/>
      <c r="CG53" s="306"/>
      <c r="CH53" s="306"/>
      <c r="CI53" s="306"/>
      <c r="CJ53" s="306"/>
      <c r="CK53" s="306"/>
      <c r="CL53" s="306"/>
      <c r="CM53" s="306"/>
      <c r="CN53" s="306"/>
      <c r="CO53" s="306"/>
      <c r="CP53" s="306"/>
      <c r="CQ53" s="306"/>
      <c r="CR53" s="306"/>
      <c r="CS53" s="306"/>
      <c r="CT53" s="306"/>
      <c r="CU53" s="306"/>
      <c r="CV53" s="306"/>
      <c r="CW53" s="306"/>
      <c r="CX53" s="306"/>
      <c r="CY53" s="306"/>
      <c r="CZ53" s="306"/>
      <c r="DA53" s="306"/>
      <c r="DB53" s="306"/>
      <c r="DC53" s="306"/>
      <c r="DD53" s="306"/>
      <c r="DE53" s="306"/>
      <c r="DF53" s="306"/>
      <c r="DG53" s="306"/>
      <c r="DH53" s="306"/>
      <c r="DI53" s="306"/>
      <c r="DJ53" s="306"/>
      <c r="DK53" s="306"/>
      <c r="DL53" s="306"/>
      <c r="DM53" s="306"/>
      <c r="DN53" s="306"/>
      <c r="DO53" s="306"/>
      <c r="DP53" s="306"/>
      <c r="DQ53" s="306"/>
      <c r="DR53" s="306"/>
      <c r="DS53" s="306"/>
      <c r="DT53" s="306"/>
      <c r="DU53" s="306"/>
      <c r="DV53" s="306"/>
      <c r="DW53" s="306"/>
      <c r="DX53" s="306"/>
      <c r="DY53" s="306"/>
      <c r="DZ53" s="306"/>
      <c r="EA53" s="306"/>
      <c r="EB53" s="306"/>
      <c r="EC53" s="306"/>
      <c r="ED53" s="306"/>
      <c r="EE53" s="306"/>
      <c r="EF53" s="306"/>
      <c r="EG53" s="306"/>
      <c r="EH53" s="306"/>
      <c r="EI53" s="306"/>
      <c r="EJ53" s="306"/>
      <c r="EK53" s="306"/>
      <c r="EL53" s="306"/>
      <c r="EM53" s="306"/>
      <c r="EN53" s="306"/>
      <c r="EO53" s="306"/>
      <c r="EP53" s="306"/>
      <c r="EQ53" s="306"/>
      <c r="ER53" s="306"/>
      <c r="ES53" s="306"/>
      <c r="ET53" s="306"/>
      <c r="EU53" s="306"/>
      <c r="EV53" s="306"/>
      <c r="EW53" s="306"/>
      <c r="EX53" s="306"/>
      <c r="EY53" s="306"/>
      <c r="EZ53" s="306"/>
      <c r="FA53" s="306"/>
      <c r="FB53" s="306"/>
      <c r="FC53" s="306"/>
      <c r="FD53" s="306"/>
      <c r="FE53" s="306"/>
      <c r="FF53" s="306"/>
      <c r="FG53" s="306"/>
      <c r="FH53" s="306"/>
      <c r="FI53" s="306"/>
      <c r="FJ53" s="306"/>
      <c r="FK53" s="306"/>
      <c r="FL53" s="306"/>
      <c r="FM53" s="306"/>
      <c r="FN53" s="306"/>
      <c r="FO53" s="306"/>
      <c r="FP53" s="306"/>
      <c r="FQ53" s="306"/>
      <c r="FR53" s="306"/>
      <c r="FS53" s="306"/>
      <c r="FT53" s="306"/>
      <c r="FU53" s="306"/>
      <c r="FV53" s="306"/>
      <c r="FW53" s="306"/>
      <c r="FX53" s="306"/>
      <c r="FY53" s="306"/>
      <c r="FZ53" s="306"/>
      <c r="GA53" s="306"/>
      <c r="GB53" s="306"/>
      <c r="GC53" s="306"/>
      <c r="GD53" s="306"/>
      <c r="GE53" s="306"/>
      <c r="GF53" s="306"/>
      <c r="GG53" s="306"/>
      <c r="GH53" s="306"/>
      <c r="GI53" s="306"/>
      <c r="GJ53" s="306"/>
      <c r="GK53" s="306"/>
      <c r="GL53" s="306"/>
      <c r="GM53" s="306"/>
      <c r="GN53" s="306"/>
      <c r="GO53" s="306"/>
      <c r="GP53" s="306"/>
      <c r="GQ53" s="306"/>
      <c r="GR53" s="306"/>
      <c r="GS53" s="306"/>
      <c r="GT53" s="306"/>
      <c r="GU53" s="306"/>
      <c r="GV53" s="306"/>
      <c r="GW53" s="306"/>
      <c r="GX53" s="306"/>
      <c r="GY53" s="306"/>
      <c r="GZ53" s="306"/>
      <c r="HA53" s="306"/>
      <c r="HB53" s="306"/>
      <c r="HC53" s="306"/>
      <c r="HD53" s="306"/>
      <c r="HE53" s="306"/>
      <c r="HF53" s="306"/>
      <c r="HG53" s="306"/>
      <c r="HH53" s="306"/>
      <c r="HI53" s="306"/>
      <c r="HJ53" s="306"/>
      <c r="HK53" s="306"/>
      <c r="HL53" s="306"/>
      <c r="HM53" s="307"/>
      <c r="HN53" s="307"/>
      <c r="HO53" s="307"/>
      <c r="HP53" s="307"/>
      <c r="HQ53" s="307"/>
      <c r="HR53" s="307"/>
      <c r="HS53" s="307"/>
      <c r="HT53" s="307"/>
      <c r="HU53" s="303"/>
      <c r="HV53" s="303"/>
      <c r="HW53" s="303"/>
      <c r="HX53" s="303"/>
      <c r="HY53" s="303"/>
      <c r="HZ53" s="303"/>
      <c r="IA53" s="303"/>
      <c r="IB53" s="303"/>
      <c r="IC53" s="303"/>
      <c r="ID53" s="303"/>
      <c r="IE53" s="303"/>
      <c r="IF53" s="303"/>
      <c r="IG53" s="303"/>
      <c r="IH53" s="303"/>
      <c r="II53" s="303"/>
      <c r="IJ53" s="303"/>
      <c r="IK53" s="303"/>
      <c r="IL53" s="303"/>
      <c r="IM53" s="303"/>
      <c r="IN53" s="303"/>
      <c r="IO53" s="303"/>
      <c r="IP53" s="303"/>
      <c r="IQ53" s="303"/>
      <c r="IR53" s="303"/>
      <c r="IS53" s="303"/>
      <c r="IT53" s="303"/>
      <c r="IU53" s="303"/>
      <c r="IV53" s="303"/>
      <c r="IW53" s="303"/>
      <c r="IX53" s="303"/>
      <c r="IY53" s="303"/>
      <c r="IZ53" s="303"/>
      <c r="JA53" s="303"/>
      <c r="JB53" s="303"/>
      <c r="JC53" s="303"/>
      <c r="JD53" s="303"/>
      <c r="JE53" s="303"/>
      <c r="JF53" s="303"/>
      <c r="JG53" s="303"/>
      <c r="JH53" s="303"/>
      <c r="JI53" s="303"/>
      <c r="JJ53" s="303"/>
      <c r="JK53" s="303"/>
      <c r="JL53" s="303"/>
      <c r="JM53" s="303"/>
      <c r="JN53" s="303"/>
      <c r="JO53" s="303"/>
      <c r="JP53" s="303"/>
      <c r="JQ53" s="303"/>
      <c r="JR53" s="303"/>
      <c r="JS53" s="303"/>
      <c r="JT53" s="303"/>
      <c r="JU53" s="303"/>
      <c r="JV53" s="303"/>
      <c r="JW53" s="303"/>
      <c r="JX53" s="303"/>
      <c r="JY53" s="303"/>
      <c r="JZ53" s="303"/>
      <c r="KA53" s="303"/>
      <c r="KB53" s="303"/>
      <c r="KC53" s="303"/>
      <c r="KD53" s="303"/>
      <c r="KE53" s="303"/>
      <c r="KF53" s="303"/>
      <c r="KG53" s="303"/>
      <c r="KH53" s="303"/>
      <c r="KI53" s="303"/>
      <c r="KJ53" s="303"/>
      <c r="KK53" s="303"/>
      <c r="KL53" s="303"/>
      <c r="KM53" s="303"/>
      <c r="KN53" s="303"/>
      <c r="KO53" s="303"/>
      <c r="KP53" s="303"/>
      <c r="KQ53" s="303"/>
      <c r="KR53" s="303"/>
      <c r="KS53" s="303"/>
      <c r="KT53" s="303"/>
      <c r="KU53" s="303"/>
      <c r="KV53" s="303"/>
      <c r="KW53" s="303"/>
      <c r="KX53" s="303"/>
      <c r="KY53" s="303"/>
      <c r="KZ53" s="303"/>
      <c r="LA53" s="303"/>
      <c r="LB53" s="303"/>
      <c r="LC53" s="303"/>
      <c r="LD53" s="303"/>
      <c r="LE53" s="303"/>
      <c r="LF53" s="303"/>
      <c r="LG53" s="303"/>
      <c r="LH53" s="303"/>
      <c r="LI53" s="303"/>
      <c r="LJ53" s="303"/>
      <c r="LK53" s="303"/>
      <c r="LL53" s="303"/>
      <c r="LM53" s="303"/>
      <c r="LN53" s="303"/>
      <c r="LO53" s="303"/>
      <c r="LP53" s="303"/>
      <c r="LQ53" s="303"/>
      <c r="LR53" s="303"/>
      <c r="LS53" s="303"/>
      <c r="LT53" s="303"/>
      <c r="LU53" s="303"/>
      <c r="LV53" s="303"/>
      <c r="LW53" s="303"/>
      <c r="LX53" s="303"/>
      <c r="LY53" s="303"/>
      <c r="LZ53" s="303"/>
      <c r="MA53" s="303"/>
      <c r="MB53" s="303"/>
      <c r="MC53" s="303"/>
      <c r="MD53" s="303"/>
      <c r="ME53" s="303"/>
      <c r="MF53" s="303"/>
      <c r="MG53" s="303"/>
      <c r="MH53" s="303"/>
      <c r="MI53" s="303"/>
      <c r="MJ53" s="303"/>
      <c r="MK53" s="303"/>
      <c r="ML53" s="303"/>
      <c r="MM53" s="303"/>
      <c r="MN53" s="303"/>
      <c r="MO53" s="303"/>
      <c r="MP53" s="303"/>
      <c r="MQ53" s="303"/>
      <c r="MR53" s="303"/>
      <c r="MS53" s="303"/>
      <c r="MT53" s="303"/>
      <c r="MU53" s="303"/>
      <c r="MV53" s="303"/>
      <c r="MW53" s="303"/>
      <c r="MX53" s="303"/>
      <c r="MY53" s="303"/>
      <c r="MZ53" s="303"/>
      <c r="NA53" s="303"/>
      <c r="NB53" s="303"/>
      <c r="NC53" s="303"/>
      <c r="ND53" s="303"/>
      <c r="NE53" s="303"/>
      <c r="NF53" s="303"/>
      <c r="NG53" s="303"/>
      <c r="NH53" s="303"/>
      <c r="NI53" s="303"/>
      <c r="NJ53" s="303"/>
      <c r="NK53" s="303"/>
      <c r="NL53" s="303"/>
      <c r="NM53" s="303"/>
      <c r="NN53" s="303"/>
      <c r="NO53" s="303"/>
      <c r="NP53" s="303"/>
      <c r="NQ53" s="303"/>
      <c r="NR53" s="303"/>
      <c r="NS53" s="303"/>
      <c r="NT53" s="303"/>
      <c r="NU53" s="303"/>
      <c r="NV53" s="303"/>
      <c r="NW53" s="303"/>
      <c r="NX53" s="303"/>
      <c r="NY53" s="303"/>
      <c r="NZ53" s="303"/>
      <c r="OA53" s="303"/>
      <c r="OB53" s="303"/>
      <c r="OC53" s="303"/>
      <c r="OD53" s="303"/>
      <c r="OE53" s="303"/>
      <c r="OF53" s="303"/>
      <c r="OG53" s="303"/>
      <c r="OH53" s="303"/>
      <c r="OI53" s="303"/>
      <c r="OJ53" s="303"/>
      <c r="OK53" s="303"/>
      <c r="OL53" s="303"/>
      <c r="OM53" s="303"/>
      <c r="ON53" s="303"/>
      <c r="OO53" s="303"/>
      <c r="OP53" s="303"/>
      <c r="OQ53" s="303"/>
      <c r="OR53" s="303"/>
      <c r="OS53" s="303"/>
      <c r="OT53" s="303"/>
      <c r="OU53" s="303"/>
      <c r="OV53" s="303"/>
      <c r="OW53" s="303"/>
      <c r="OX53" s="303"/>
      <c r="OY53" s="303"/>
      <c r="OZ53" s="303"/>
      <c r="PA53" s="303"/>
      <c r="PB53" s="303"/>
      <c r="PC53" s="303"/>
      <c r="PD53" s="303"/>
      <c r="PE53" s="303"/>
      <c r="PF53" s="303"/>
      <c r="PG53" s="303"/>
      <c r="PH53" s="303"/>
      <c r="PI53" s="303"/>
      <c r="PJ53" s="303"/>
      <c r="PK53" s="303"/>
      <c r="PL53" s="303"/>
      <c r="PM53" s="303"/>
      <c r="PN53" s="303"/>
      <c r="PO53" s="303"/>
      <c r="PP53" s="303"/>
      <c r="PQ53" s="303"/>
      <c r="PR53" s="303"/>
      <c r="PS53" s="303"/>
      <c r="PT53" s="303"/>
      <c r="PU53" s="303"/>
      <c r="PV53" s="303"/>
      <c r="PW53" s="303"/>
      <c r="PX53" s="303"/>
      <c r="PY53" s="303"/>
      <c r="PZ53" s="303"/>
      <c r="QA53" s="303"/>
      <c r="QB53" s="303"/>
      <c r="QC53" s="303"/>
      <c r="QD53" s="303"/>
      <c r="QE53" s="303"/>
      <c r="QF53" s="303"/>
      <c r="QG53" s="303"/>
      <c r="QH53" s="303"/>
      <c r="QI53" s="303"/>
      <c r="QJ53" s="303"/>
      <c r="QK53" s="303"/>
      <c r="QL53" s="303"/>
      <c r="QM53" s="303"/>
      <c r="QN53" s="303"/>
      <c r="QO53" s="303"/>
      <c r="QP53" s="303"/>
      <c r="QQ53" s="303"/>
      <c r="QR53" s="303"/>
      <c r="QS53" s="303"/>
      <c r="QT53" s="303"/>
      <c r="QU53" s="303"/>
      <c r="QV53" s="303"/>
      <c r="QW53" s="303"/>
      <c r="QX53" s="303"/>
      <c r="QY53" s="303"/>
      <c r="QZ53" s="303"/>
      <c r="RA53" s="303"/>
      <c r="RB53" s="303"/>
      <c r="RC53" s="303"/>
      <c r="RD53" s="303"/>
      <c r="RE53" s="303"/>
      <c r="RF53" s="303"/>
      <c r="RG53" s="303"/>
      <c r="RH53" s="303"/>
      <c r="RI53" s="303"/>
      <c r="RJ53" s="303"/>
      <c r="RK53" s="303"/>
      <c r="RL53" s="303"/>
      <c r="RM53" s="303"/>
      <c r="RN53" s="303"/>
      <c r="RO53" s="303"/>
      <c r="RP53" s="303"/>
      <c r="RQ53" s="303"/>
      <c r="RR53" s="303"/>
      <c r="RS53" s="303"/>
      <c r="RT53" s="303"/>
      <c r="RU53" s="303"/>
      <c r="RV53" s="303"/>
      <c r="RW53" s="303"/>
      <c r="RX53" s="303"/>
      <c r="RY53" s="303"/>
      <c r="RZ53" s="303"/>
      <c r="SA53" s="303"/>
      <c r="SB53" s="303"/>
      <c r="SC53" s="303"/>
      <c r="SD53" s="303"/>
      <c r="SE53" s="303"/>
      <c r="SF53" s="303"/>
      <c r="SG53" s="303"/>
      <c r="SH53" s="303"/>
      <c r="SI53" s="303"/>
      <c r="SJ53" s="303"/>
      <c r="SK53" s="303"/>
      <c r="SL53" s="303"/>
      <c r="SM53" s="303"/>
      <c r="SN53" s="303"/>
      <c r="SO53" s="303"/>
    </row>
    <row r="54" spans="1:509" s="308" customFormat="1" ht="12" customHeight="1" thickBot="1" x14ac:dyDescent="0.2">
      <c r="A54" s="303"/>
      <c r="B54" s="304"/>
      <c r="C54" s="325">
        <v>41</v>
      </c>
      <c r="D54" s="999"/>
      <c r="E54" s="1000"/>
      <c r="F54" s="1000"/>
      <c r="G54" s="1000"/>
      <c r="H54" s="1000"/>
      <c r="I54" s="1000"/>
      <c r="J54" s="1001"/>
      <c r="K54" s="304"/>
      <c r="L54" s="363"/>
      <c r="M54" s="330"/>
      <c r="N54" s="331"/>
      <c r="O54" s="338"/>
      <c r="P54" s="339"/>
      <c r="Q54" s="346"/>
      <c r="R54" s="347"/>
      <c r="S54" s="354"/>
      <c r="T54" s="355"/>
      <c r="U54" s="305"/>
      <c r="V54" s="306"/>
      <c r="W54" s="306"/>
      <c r="X54" s="306"/>
      <c r="Y54" s="306"/>
      <c r="Z54" s="306"/>
      <c r="AA54" s="306"/>
      <c r="AB54" s="306"/>
      <c r="AC54" s="306"/>
      <c r="AD54" s="306"/>
      <c r="AE54" s="306"/>
      <c r="AF54" s="306"/>
      <c r="AG54" s="306"/>
      <c r="AH54" s="306"/>
      <c r="AI54" s="306"/>
      <c r="AJ54" s="306"/>
      <c r="AK54" s="306"/>
      <c r="AL54" s="306"/>
      <c r="AM54" s="306"/>
      <c r="AN54" s="306"/>
      <c r="AO54" s="306"/>
      <c r="AP54" s="306"/>
      <c r="AQ54" s="306"/>
      <c r="AR54" s="306"/>
      <c r="AS54" s="306"/>
      <c r="AT54" s="306"/>
      <c r="AU54" s="306"/>
      <c r="AV54" s="306"/>
      <c r="AW54" s="306"/>
      <c r="AX54" s="306"/>
      <c r="AY54" s="306"/>
      <c r="AZ54" s="306"/>
      <c r="BA54" s="306"/>
      <c r="BB54" s="306"/>
      <c r="BC54" s="306"/>
      <c r="BD54" s="306"/>
      <c r="BE54" s="306"/>
      <c r="BF54" s="306"/>
      <c r="BG54" s="306"/>
      <c r="BH54" s="306"/>
      <c r="BI54" s="306"/>
      <c r="BJ54" s="306"/>
      <c r="BK54" s="306"/>
      <c r="BL54" s="306"/>
      <c r="BM54" s="306"/>
      <c r="BN54" s="306"/>
      <c r="BO54" s="306"/>
      <c r="BP54" s="306"/>
      <c r="BQ54" s="306"/>
      <c r="BR54" s="306"/>
      <c r="BS54" s="306"/>
      <c r="BT54" s="306"/>
      <c r="BU54" s="306"/>
      <c r="BV54" s="306"/>
      <c r="BW54" s="306"/>
      <c r="BX54" s="306"/>
      <c r="BY54" s="306"/>
      <c r="BZ54" s="306"/>
      <c r="CA54" s="306"/>
      <c r="CB54" s="306"/>
      <c r="CC54" s="306"/>
      <c r="CD54" s="306"/>
      <c r="CE54" s="306"/>
      <c r="CF54" s="306"/>
      <c r="CG54" s="306"/>
      <c r="CH54" s="306"/>
      <c r="CI54" s="306"/>
      <c r="CJ54" s="306"/>
      <c r="CK54" s="306"/>
      <c r="CL54" s="306"/>
      <c r="CM54" s="306"/>
      <c r="CN54" s="306"/>
      <c r="CO54" s="306"/>
      <c r="CP54" s="306"/>
      <c r="CQ54" s="306"/>
      <c r="CR54" s="306"/>
      <c r="CS54" s="306"/>
      <c r="CT54" s="306"/>
      <c r="CU54" s="306"/>
      <c r="CV54" s="306"/>
      <c r="CW54" s="306"/>
      <c r="CX54" s="306"/>
      <c r="CY54" s="306"/>
      <c r="CZ54" s="306"/>
      <c r="DA54" s="306"/>
      <c r="DB54" s="306"/>
      <c r="DC54" s="306"/>
      <c r="DD54" s="306"/>
      <c r="DE54" s="306"/>
      <c r="DF54" s="306"/>
      <c r="DG54" s="306"/>
      <c r="DH54" s="306"/>
      <c r="DI54" s="306"/>
      <c r="DJ54" s="306"/>
      <c r="DK54" s="306"/>
      <c r="DL54" s="306"/>
      <c r="DM54" s="306"/>
      <c r="DN54" s="306"/>
      <c r="DO54" s="306"/>
      <c r="DP54" s="306"/>
      <c r="DQ54" s="306"/>
      <c r="DR54" s="306"/>
      <c r="DS54" s="306"/>
      <c r="DT54" s="306"/>
      <c r="DU54" s="306"/>
      <c r="DV54" s="306"/>
      <c r="DW54" s="306"/>
      <c r="DX54" s="306"/>
      <c r="DY54" s="306"/>
      <c r="DZ54" s="306"/>
      <c r="EA54" s="306"/>
      <c r="EB54" s="306"/>
      <c r="EC54" s="306"/>
      <c r="ED54" s="306"/>
      <c r="EE54" s="306"/>
      <c r="EF54" s="306"/>
      <c r="EG54" s="306"/>
      <c r="EH54" s="306"/>
      <c r="EI54" s="306"/>
      <c r="EJ54" s="306"/>
      <c r="EK54" s="306"/>
      <c r="EL54" s="306"/>
      <c r="EM54" s="306"/>
      <c r="EN54" s="306"/>
      <c r="EO54" s="306"/>
      <c r="EP54" s="306"/>
      <c r="EQ54" s="306"/>
      <c r="ER54" s="306"/>
      <c r="ES54" s="306"/>
      <c r="ET54" s="306"/>
      <c r="EU54" s="306"/>
      <c r="EV54" s="306"/>
      <c r="EW54" s="306"/>
      <c r="EX54" s="306"/>
      <c r="EY54" s="306"/>
      <c r="EZ54" s="306"/>
      <c r="FA54" s="306"/>
      <c r="FB54" s="306"/>
      <c r="FC54" s="306"/>
      <c r="FD54" s="306"/>
      <c r="FE54" s="306"/>
      <c r="FF54" s="306"/>
      <c r="FG54" s="306"/>
      <c r="FH54" s="306"/>
      <c r="FI54" s="306"/>
      <c r="FJ54" s="306"/>
      <c r="FK54" s="306"/>
      <c r="FL54" s="306"/>
      <c r="FM54" s="306"/>
      <c r="FN54" s="306"/>
      <c r="FO54" s="306"/>
      <c r="FP54" s="306"/>
      <c r="FQ54" s="306"/>
      <c r="FR54" s="306"/>
      <c r="FS54" s="306"/>
      <c r="FT54" s="306"/>
      <c r="FU54" s="306"/>
      <c r="FV54" s="306"/>
      <c r="FW54" s="306"/>
      <c r="FX54" s="306"/>
      <c r="FY54" s="306"/>
      <c r="FZ54" s="306"/>
      <c r="GA54" s="306"/>
      <c r="GB54" s="306"/>
      <c r="GC54" s="306"/>
      <c r="GD54" s="306"/>
      <c r="GE54" s="306"/>
      <c r="GF54" s="306"/>
      <c r="GG54" s="306"/>
      <c r="GH54" s="306"/>
      <c r="GI54" s="306"/>
      <c r="GJ54" s="306"/>
      <c r="GK54" s="306"/>
      <c r="GL54" s="306"/>
      <c r="GM54" s="306"/>
      <c r="GN54" s="306"/>
      <c r="GO54" s="306"/>
      <c r="GP54" s="306"/>
      <c r="GQ54" s="306"/>
      <c r="GR54" s="306"/>
      <c r="GS54" s="306"/>
      <c r="GT54" s="306"/>
      <c r="GU54" s="306"/>
      <c r="GV54" s="306"/>
      <c r="GW54" s="306"/>
      <c r="GX54" s="306"/>
      <c r="GY54" s="306"/>
      <c r="GZ54" s="306"/>
      <c r="HA54" s="306"/>
      <c r="HB54" s="306"/>
      <c r="HC54" s="306"/>
      <c r="HD54" s="306"/>
      <c r="HE54" s="306"/>
      <c r="HF54" s="306"/>
      <c r="HG54" s="306"/>
      <c r="HH54" s="306"/>
      <c r="HI54" s="306"/>
      <c r="HJ54" s="306"/>
      <c r="HK54" s="306"/>
      <c r="HL54" s="306"/>
      <c r="HM54" s="307"/>
      <c r="HN54" s="307"/>
      <c r="HO54" s="307"/>
      <c r="HP54" s="307"/>
      <c r="HQ54" s="307"/>
      <c r="HR54" s="307"/>
      <c r="HS54" s="307"/>
      <c r="HT54" s="307"/>
      <c r="HU54" s="303"/>
      <c r="HV54" s="303"/>
      <c r="HW54" s="303"/>
      <c r="HX54" s="303"/>
      <c r="HY54" s="303"/>
      <c r="HZ54" s="303"/>
      <c r="IA54" s="303"/>
      <c r="IB54" s="303"/>
      <c r="IC54" s="303"/>
      <c r="ID54" s="303"/>
      <c r="IE54" s="303"/>
      <c r="IF54" s="303"/>
      <c r="IG54" s="303"/>
      <c r="IH54" s="303"/>
      <c r="II54" s="303"/>
      <c r="IJ54" s="303"/>
      <c r="IK54" s="303"/>
      <c r="IL54" s="303"/>
      <c r="IM54" s="303"/>
      <c r="IN54" s="303"/>
      <c r="IO54" s="303"/>
      <c r="IP54" s="303"/>
      <c r="IQ54" s="303"/>
      <c r="IR54" s="303"/>
      <c r="IS54" s="303"/>
      <c r="IT54" s="303"/>
      <c r="IU54" s="303"/>
      <c r="IV54" s="303"/>
      <c r="IW54" s="303"/>
      <c r="IX54" s="303"/>
      <c r="IY54" s="303"/>
      <c r="IZ54" s="303"/>
      <c r="JA54" s="303"/>
      <c r="JB54" s="303"/>
      <c r="JC54" s="303"/>
      <c r="JD54" s="303"/>
      <c r="JE54" s="303"/>
      <c r="JF54" s="303"/>
      <c r="JG54" s="303"/>
      <c r="JH54" s="303"/>
      <c r="JI54" s="303"/>
      <c r="JJ54" s="303"/>
      <c r="JK54" s="303"/>
      <c r="JL54" s="303"/>
      <c r="JM54" s="303"/>
      <c r="JN54" s="303"/>
      <c r="JO54" s="303"/>
      <c r="JP54" s="303"/>
      <c r="JQ54" s="303"/>
      <c r="JR54" s="303"/>
      <c r="JS54" s="303"/>
      <c r="JT54" s="303"/>
      <c r="JU54" s="303"/>
      <c r="JV54" s="303"/>
      <c r="JW54" s="303"/>
      <c r="JX54" s="303"/>
      <c r="JY54" s="303"/>
      <c r="JZ54" s="303"/>
      <c r="KA54" s="303"/>
      <c r="KB54" s="303"/>
      <c r="KC54" s="303"/>
      <c r="KD54" s="303"/>
      <c r="KE54" s="303"/>
      <c r="KF54" s="303"/>
      <c r="KG54" s="303"/>
      <c r="KH54" s="303"/>
      <c r="KI54" s="303"/>
      <c r="KJ54" s="303"/>
      <c r="KK54" s="303"/>
      <c r="KL54" s="303"/>
      <c r="KM54" s="303"/>
      <c r="KN54" s="303"/>
      <c r="KO54" s="303"/>
      <c r="KP54" s="303"/>
      <c r="KQ54" s="303"/>
      <c r="KR54" s="303"/>
      <c r="KS54" s="303"/>
      <c r="KT54" s="303"/>
      <c r="KU54" s="303"/>
      <c r="KV54" s="303"/>
      <c r="KW54" s="303"/>
      <c r="KX54" s="303"/>
      <c r="KY54" s="303"/>
      <c r="KZ54" s="303"/>
      <c r="LA54" s="303"/>
      <c r="LB54" s="303"/>
      <c r="LC54" s="303"/>
      <c r="LD54" s="303"/>
      <c r="LE54" s="303"/>
      <c r="LF54" s="303"/>
      <c r="LG54" s="303"/>
      <c r="LH54" s="303"/>
      <c r="LI54" s="303"/>
      <c r="LJ54" s="303"/>
      <c r="LK54" s="303"/>
      <c r="LL54" s="303"/>
      <c r="LM54" s="303"/>
      <c r="LN54" s="303"/>
      <c r="LO54" s="303"/>
      <c r="LP54" s="303"/>
      <c r="LQ54" s="303"/>
      <c r="LR54" s="303"/>
      <c r="LS54" s="303"/>
      <c r="LT54" s="303"/>
      <c r="LU54" s="303"/>
      <c r="LV54" s="303"/>
      <c r="LW54" s="303"/>
      <c r="LX54" s="303"/>
      <c r="LY54" s="303"/>
      <c r="LZ54" s="303"/>
      <c r="MA54" s="303"/>
      <c r="MB54" s="303"/>
      <c r="MC54" s="303"/>
      <c r="MD54" s="303"/>
      <c r="ME54" s="303"/>
      <c r="MF54" s="303"/>
      <c r="MG54" s="303"/>
      <c r="MH54" s="303"/>
      <c r="MI54" s="303"/>
      <c r="MJ54" s="303"/>
      <c r="MK54" s="303"/>
      <c r="ML54" s="303"/>
      <c r="MM54" s="303"/>
      <c r="MN54" s="303"/>
      <c r="MO54" s="303"/>
      <c r="MP54" s="303"/>
      <c r="MQ54" s="303"/>
      <c r="MR54" s="303"/>
      <c r="MS54" s="303"/>
      <c r="MT54" s="303"/>
      <c r="MU54" s="303"/>
      <c r="MV54" s="303"/>
      <c r="MW54" s="303"/>
      <c r="MX54" s="303"/>
      <c r="MY54" s="303"/>
      <c r="MZ54" s="303"/>
      <c r="NA54" s="303"/>
      <c r="NB54" s="303"/>
      <c r="NC54" s="303"/>
      <c r="ND54" s="303"/>
      <c r="NE54" s="303"/>
      <c r="NF54" s="303"/>
      <c r="NG54" s="303"/>
      <c r="NH54" s="303"/>
      <c r="NI54" s="303"/>
      <c r="NJ54" s="303"/>
      <c r="NK54" s="303"/>
      <c r="NL54" s="303"/>
      <c r="NM54" s="303"/>
      <c r="NN54" s="303"/>
      <c r="NO54" s="303"/>
      <c r="NP54" s="303"/>
      <c r="NQ54" s="303"/>
      <c r="NR54" s="303"/>
      <c r="NS54" s="303"/>
      <c r="NT54" s="303"/>
      <c r="NU54" s="303"/>
      <c r="NV54" s="303"/>
      <c r="NW54" s="303"/>
      <c r="NX54" s="303"/>
      <c r="NY54" s="303"/>
      <c r="NZ54" s="303"/>
      <c r="OA54" s="303"/>
      <c r="OB54" s="303"/>
      <c r="OC54" s="303"/>
      <c r="OD54" s="303"/>
      <c r="OE54" s="303"/>
      <c r="OF54" s="303"/>
      <c r="OG54" s="303"/>
      <c r="OH54" s="303"/>
      <c r="OI54" s="303"/>
      <c r="OJ54" s="303"/>
      <c r="OK54" s="303"/>
      <c r="OL54" s="303"/>
      <c r="OM54" s="303"/>
      <c r="ON54" s="303"/>
      <c r="OO54" s="303"/>
      <c r="OP54" s="303"/>
      <c r="OQ54" s="303"/>
      <c r="OR54" s="303"/>
      <c r="OS54" s="303"/>
      <c r="OT54" s="303"/>
      <c r="OU54" s="303"/>
      <c r="OV54" s="303"/>
      <c r="OW54" s="303"/>
      <c r="OX54" s="303"/>
      <c r="OY54" s="303"/>
      <c r="OZ54" s="303"/>
      <c r="PA54" s="303"/>
      <c r="PB54" s="303"/>
      <c r="PC54" s="303"/>
      <c r="PD54" s="303"/>
      <c r="PE54" s="303"/>
      <c r="PF54" s="303"/>
      <c r="PG54" s="303"/>
      <c r="PH54" s="303"/>
      <c r="PI54" s="303"/>
      <c r="PJ54" s="303"/>
      <c r="PK54" s="303"/>
      <c r="PL54" s="303"/>
      <c r="PM54" s="303"/>
      <c r="PN54" s="303"/>
      <c r="PO54" s="303"/>
      <c r="PP54" s="303"/>
      <c r="PQ54" s="303"/>
      <c r="PR54" s="303"/>
      <c r="PS54" s="303"/>
      <c r="PT54" s="303"/>
      <c r="PU54" s="303"/>
      <c r="PV54" s="303"/>
      <c r="PW54" s="303"/>
      <c r="PX54" s="303"/>
      <c r="PY54" s="303"/>
      <c r="PZ54" s="303"/>
      <c r="QA54" s="303"/>
      <c r="QB54" s="303"/>
      <c r="QC54" s="303"/>
      <c r="QD54" s="303"/>
      <c r="QE54" s="303"/>
      <c r="QF54" s="303"/>
      <c r="QG54" s="303"/>
      <c r="QH54" s="303"/>
      <c r="QI54" s="303"/>
      <c r="QJ54" s="303"/>
      <c r="QK54" s="303"/>
      <c r="QL54" s="303"/>
      <c r="QM54" s="303"/>
      <c r="QN54" s="303"/>
      <c r="QO54" s="303"/>
      <c r="QP54" s="303"/>
      <c r="QQ54" s="303"/>
      <c r="QR54" s="303"/>
      <c r="QS54" s="303"/>
      <c r="QT54" s="303"/>
      <c r="QU54" s="303"/>
      <c r="QV54" s="303"/>
      <c r="QW54" s="303"/>
      <c r="QX54" s="303"/>
      <c r="QY54" s="303"/>
      <c r="QZ54" s="303"/>
      <c r="RA54" s="303"/>
      <c r="RB54" s="303"/>
      <c r="RC54" s="303"/>
      <c r="RD54" s="303"/>
      <c r="RE54" s="303"/>
      <c r="RF54" s="303"/>
      <c r="RG54" s="303"/>
      <c r="RH54" s="303"/>
      <c r="RI54" s="303"/>
      <c r="RJ54" s="303"/>
      <c r="RK54" s="303"/>
      <c r="RL54" s="303"/>
      <c r="RM54" s="303"/>
      <c r="RN54" s="303"/>
      <c r="RO54" s="303"/>
      <c r="RP54" s="303"/>
      <c r="RQ54" s="303"/>
      <c r="RR54" s="303"/>
      <c r="RS54" s="303"/>
      <c r="RT54" s="303"/>
      <c r="RU54" s="303"/>
      <c r="RV54" s="303"/>
      <c r="RW54" s="303"/>
      <c r="RX54" s="303"/>
      <c r="RY54" s="303"/>
      <c r="RZ54" s="303"/>
      <c r="SA54" s="303"/>
      <c r="SB54" s="303"/>
      <c r="SC54" s="303"/>
      <c r="SD54" s="303"/>
      <c r="SE54" s="303"/>
      <c r="SF54" s="303"/>
      <c r="SG54" s="303"/>
      <c r="SH54" s="303"/>
      <c r="SI54" s="303"/>
      <c r="SJ54" s="303"/>
      <c r="SK54" s="303"/>
      <c r="SL54" s="303"/>
      <c r="SM54" s="303"/>
      <c r="SN54" s="303"/>
      <c r="SO54" s="303"/>
    </row>
    <row r="55" spans="1:509" s="308" customFormat="1" ht="12.95" customHeight="1" thickBot="1" x14ac:dyDescent="0.2">
      <c r="A55" s="303"/>
      <c r="B55" s="304"/>
      <c r="C55" s="325">
        <v>42</v>
      </c>
      <c r="D55" s="999"/>
      <c r="E55" s="1000"/>
      <c r="F55" s="1000"/>
      <c r="G55" s="1000"/>
      <c r="H55" s="1000"/>
      <c r="I55" s="1000"/>
      <c r="J55" s="1001"/>
      <c r="K55" s="304"/>
      <c r="L55" s="363"/>
      <c r="M55" s="330"/>
      <c r="N55" s="331"/>
      <c r="O55" s="338"/>
      <c r="P55" s="339"/>
      <c r="Q55" s="346"/>
      <c r="R55" s="347"/>
      <c r="S55" s="354"/>
      <c r="T55" s="355"/>
      <c r="U55" s="305"/>
      <c r="V55" s="306"/>
      <c r="W55" s="306"/>
      <c r="X55" s="306"/>
      <c r="Y55" s="306"/>
      <c r="Z55" s="306"/>
      <c r="AA55" s="306"/>
      <c r="AB55" s="306"/>
      <c r="AC55" s="306"/>
      <c r="AD55" s="306"/>
      <c r="AE55" s="306"/>
      <c r="AF55" s="306"/>
      <c r="AG55" s="306"/>
      <c r="AH55" s="306"/>
      <c r="AI55" s="306"/>
      <c r="AJ55" s="306"/>
      <c r="AK55" s="306"/>
      <c r="AL55" s="306"/>
      <c r="AM55" s="306"/>
      <c r="AN55" s="306"/>
      <c r="AO55" s="306"/>
      <c r="AP55" s="306"/>
      <c r="AQ55" s="306"/>
      <c r="AR55" s="306"/>
      <c r="AS55" s="306"/>
      <c r="AT55" s="306"/>
      <c r="AU55" s="306"/>
      <c r="AV55" s="306"/>
      <c r="AW55" s="306"/>
      <c r="AX55" s="306"/>
      <c r="AY55" s="306"/>
      <c r="AZ55" s="306"/>
      <c r="BA55" s="306"/>
      <c r="BB55" s="306"/>
      <c r="BC55" s="306"/>
      <c r="BD55" s="306"/>
      <c r="BE55" s="306"/>
      <c r="BF55" s="306"/>
      <c r="BG55" s="306"/>
      <c r="BH55" s="306"/>
      <c r="BI55" s="306"/>
      <c r="BJ55" s="306"/>
      <c r="BK55" s="306"/>
      <c r="BL55" s="306"/>
      <c r="BM55" s="306"/>
      <c r="BN55" s="306"/>
      <c r="BO55" s="306"/>
      <c r="BP55" s="306"/>
      <c r="BQ55" s="306"/>
      <c r="BR55" s="306"/>
      <c r="BS55" s="306"/>
      <c r="BT55" s="306"/>
      <c r="BU55" s="306"/>
      <c r="BV55" s="306"/>
      <c r="BW55" s="306"/>
      <c r="BX55" s="306"/>
      <c r="BY55" s="306"/>
      <c r="BZ55" s="306"/>
      <c r="CA55" s="306"/>
      <c r="CB55" s="306"/>
      <c r="CC55" s="306"/>
      <c r="CD55" s="306"/>
      <c r="CE55" s="306"/>
      <c r="CF55" s="306"/>
      <c r="CG55" s="306"/>
      <c r="CH55" s="306"/>
      <c r="CI55" s="306"/>
      <c r="CJ55" s="306"/>
      <c r="CK55" s="306"/>
      <c r="CL55" s="306"/>
      <c r="CM55" s="306"/>
      <c r="CN55" s="306"/>
      <c r="CO55" s="306"/>
      <c r="CP55" s="306"/>
      <c r="CQ55" s="306"/>
      <c r="CR55" s="306"/>
      <c r="CS55" s="306"/>
      <c r="CT55" s="306"/>
      <c r="CU55" s="306"/>
      <c r="CV55" s="306"/>
      <c r="CW55" s="306"/>
      <c r="CX55" s="306"/>
      <c r="CY55" s="306"/>
      <c r="CZ55" s="306"/>
      <c r="DA55" s="306"/>
      <c r="DB55" s="306"/>
      <c r="DC55" s="306"/>
      <c r="DD55" s="306"/>
      <c r="DE55" s="306"/>
      <c r="DF55" s="306"/>
      <c r="DG55" s="306"/>
      <c r="DH55" s="306"/>
      <c r="DI55" s="306"/>
      <c r="DJ55" s="306"/>
      <c r="DK55" s="306"/>
      <c r="DL55" s="306"/>
      <c r="DM55" s="306"/>
      <c r="DN55" s="306"/>
      <c r="DO55" s="306"/>
      <c r="DP55" s="306"/>
      <c r="DQ55" s="306"/>
      <c r="DR55" s="306"/>
      <c r="DS55" s="306"/>
      <c r="DT55" s="306"/>
      <c r="DU55" s="306"/>
      <c r="DV55" s="306"/>
      <c r="DW55" s="306"/>
      <c r="DX55" s="306"/>
      <c r="DY55" s="306"/>
      <c r="DZ55" s="306"/>
      <c r="EA55" s="306"/>
      <c r="EB55" s="306"/>
      <c r="EC55" s="306"/>
      <c r="ED55" s="306"/>
      <c r="EE55" s="306"/>
      <c r="EF55" s="306"/>
      <c r="EG55" s="306"/>
      <c r="EH55" s="306"/>
      <c r="EI55" s="306"/>
      <c r="EJ55" s="306"/>
      <c r="EK55" s="306"/>
      <c r="EL55" s="306"/>
      <c r="EM55" s="306"/>
      <c r="EN55" s="306"/>
      <c r="EO55" s="306"/>
      <c r="EP55" s="306"/>
      <c r="EQ55" s="306"/>
      <c r="ER55" s="306"/>
      <c r="ES55" s="306"/>
      <c r="ET55" s="306"/>
      <c r="EU55" s="306"/>
      <c r="EV55" s="306"/>
      <c r="EW55" s="306"/>
      <c r="EX55" s="306"/>
      <c r="EY55" s="306"/>
      <c r="EZ55" s="306"/>
      <c r="FA55" s="306"/>
      <c r="FB55" s="306"/>
      <c r="FC55" s="306"/>
      <c r="FD55" s="306"/>
      <c r="FE55" s="306"/>
      <c r="FF55" s="306"/>
      <c r="FG55" s="306"/>
      <c r="FH55" s="306"/>
      <c r="FI55" s="306"/>
      <c r="FJ55" s="306"/>
      <c r="FK55" s="306"/>
      <c r="FL55" s="306"/>
      <c r="FM55" s="306"/>
      <c r="FN55" s="306"/>
      <c r="FO55" s="306"/>
      <c r="FP55" s="306"/>
      <c r="FQ55" s="306"/>
      <c r="FR55" s="306"/>
      <c r="FS55" s="306"/>
      <c r="FT55" s="306"/>
      <c r="FU55" s="306"/>
      <c r="FV55" s="306"/>
      <c r="FW55" s="306"/>
      <c r="FX55" s="306"/>
      <c r="FY55" s="306"/>
      <c r="FZ55" s="306"/>
      <c r="GA55" s="306"/>
      <c r="GB55" s="306"/>
      <c r="GC55" s="306"/>
      <c r="GD55" s="306"/>
      <c r="GE55" s="306"/>
      <c r="GF55" s="306"/>
      <c r="GG55" s="306"/>
      <c r="GH55" s="306"/>
      <c r="GI55" s="306"/>
      <c r="GJ55" s="306"/>
      <c r="GK55" s="306"/>
      <c r="GL55" s="306"/>
      <c r="GM55" s="306"/>
      <c r="GN55" s="306"/>
      <c r="GO55" s="306"/>
      <c r="GP55" s="306"/>
      <c r="GQ55" s="306"/>
      <c r="GR55" s="306"/>
      <c r="GS55" s="306"/>
      <c r="GT55" s="306"/>
      <c r="GU55" s="306"/>
      <c r="GV55" s="306"/>
      <c r="GW55" s="306"/>
      <c r="GX55" s="306"/>
      <c r="GY55" s="306"/>
      <c r="GZ55" s="306"/>
      <c r="HA55" s="306"/>
      <c r="HB55" s="306"/>
      <c r="HC55" s="306"/>
      <c r="HD55" s="306"/>
      <c r="HE55" s="306"/>
      <c r="HF55" s="306"/>
      <c r="HG55" s="306"/>
      <c r="HH55" s="306"/>
      <c r="HI55" s="306"/>
      <c r="HJ55" s="306"/>
      <c r="HK55" s="306"/>
      <c r="HL55" s="306"/>
      <c r="HM55" s="307"/>
      <c r="HN55" s="307"/>
      <c r="HO55" s="307"/>
      <c r="HP55" s="307"/>
      <c r="HQ55" s="307"/>
      <c r="HR55" s="307"/>
      <c r="HS55" s="307"/>
      <c r="HT55" s="307"/>
      <c r="HU55" s="303"/>
      <c r="HV55" s="303"/>
      <c r="HW55" s="303"/>
      <c r="HX55" s="303"/>
      <c r="HY55" s="303"/>
      <c r="HZ55" s="303"/>
      <c r="IA55" s="303"/>
      <c r="IB55" s="303"/>
      <c r="IC55" s="303"/>
      <c r="ID55" s="303"/>
      <c r="IE55" s="303"/>
      <c r="IF55" s="303"/>
      <c r="IG55" s="303"/>
      <c r="IH55" s="303"/>
      <c r="II55" s="303"/>
      <c r="IJ55" s="303"/>
      <c r="IK55" s="303"/>
      <c r="IL55" s="303"/>
      <c r="IM55" s="303"/>
      <c r="IN55" s="303"/>
      <c r="IO55" s="303"/>
      <c r="IP55" s="303"/>
      <c r="IQ55" s="303"/>
      <c r="IR55" s="303"/>
      <c r="IS55" s="303"/>
      <c r="IT55" s="303"/>
      <c r="IU55" s="303"/>
      <c r="IV55" s="303"/>
      <c r="IW55" s="303"/>
      <c r="IX55" s="303"/>
      <c r="IY55" s="303"/>
      <c r="IZ55" s="303"/>
      <c r="JA55" s="303"/>
      <c r="JB55" s="303"/>
      <c r="JC55" s="303"/>
      <c r="JD55" s="303"/>
      <c r="JE55" s="303"/>
      <c r="JF55" s="303"/>
      <c r="JG55" s="303"/>
      <c r="JH55" s="303"/>
      <c r="JI55" s="303"/>
      <c r="JJ55" s="303"/>
      <c r="JK55" s="303"/>
      <c r="JL55" s="303"/>
      <c r="JM55" s="303"/>
      <c r="JN55" s="303"/>
      <c r="JO55" s="303"/>
      <c r="JP55" s="303"/>
      <c r="JQ55" s="303"/>
      <c r="JR55" s="303"/>
      <c r="JS55" s="303"/>
      <c r="JT55" s="303"/>
      <c r="JU55" s="303"/>
      <c r="JV55" s="303"/>
      <c r="JW55" s="303"/>
      <c r="JX55" s="303"/>
      <c r="JY55" s="303"/>
      <c r="JZ55" s="303"/>
      <c r="KA55" s="303"/>
      <c r="KB55" s="303"/>
      <c r="KC55" s="303"/>
      <c r="KD55" s="303"/>
      <c r="KE55" s="303"/>
      <c r="KF55" s="303"/>
      <c r="KG55" s="303"/>
      <c r="KH55" s="303"/>
      <c r="KI55" s="303"/>
      <c r="KJ55" s="303"/>
      <c r="KK55" s="303"/>
      <c r="KL55" s="303"/>
      <c r="KM55" s="303"/>
      <c r="KN55" s="303"/>
      <c r="KO55" s="303"/>
      <c r="KP55" s="303"/>
      <c r="KQ55" s="303"/>
      <c r="KR55" s="303"/>
      <c r="KS55" s="303"/>
      <c r="KT55" s="303"/>
      <c r="KU55" s="303"/>
      <c r="KV55" s="303"/>
      <c r="KW55" s="303"/>
      <c r="KX55" s="303"/>
      <c r="KY55" s="303"/>
      <c r="KZ55" s="303"/>
      <c r="LA55" s="303"/>
      <c r="LB55" s="303"/>
      <c r="LC55" s="303"/>
      <c r="LD55" s="303"/>
      <c r="LE55" s="303"/>
      <c r="LF55" s="303"/>
      <c r="LG55" s="303"/>
      <c r="LH55" s="303"/>
      <c r="LI55" s="303"/>
      <c r="LJ55" s="303"/>
      <c r="LK55" s="303"/>
      <c r="LL55" s="303"/>
      <c r="LM55" s="303"/>
      <c r="LN55" s="303"/>
      <c r="LO55" s="303"/>
      <c r="LP55" s="303"/>
      <c r="LQ55" s="303"/>
      <c r="LR55" s="303"/>
      <c r="LS55" s="303"/>
      <c r="LT55" s="303"/>
      <c r="LU55" s="303"/>
      <c r="LV55" s="303"/>
      <c r="LW55" s="303"/>
      <c r="LX55" s="303"/>
      <c r="LY55" s="303"/>
      <c r="LZ55" s="303"/>
      <c r="MA55" s="303"/>
      <c r="MB55" s="303"/>
      <c r="MC55" s="303"/>
      <c r="MD55" s="303"/>
      <c r="ME55" s="303"/>
      <c r="MF55" s="303"/>
      <c r="MG55" s="303"/>
      <c r="MH55" s="303"/>
      <c r="MI55" s="303"/>
      <c r="MJ55" s="303"/>
      <c r="MK55" s="303"/>
      <c r="ML55" s="303"/>
      <c r="MM55" s="303"/>
      <c r="MN55" s="303"/>
      <c r="MO55" s="303"/>
      <c r="MP55" s="303"/>
      <c r="MQ55" s="303"/>
      <c r="MR55" s="303"/>
      <c r="MS55" s="303"/>
      <c r="MT55" s="303"/>
      <c r="MU55" s="303"/>
      <c r="MV55" s="303"/>
      <c r="MW55" s="303"/>
      <c r="MX55" s="303"/>
      <c r="MY55" s="303"/>
      <c r="MZ55" s="303"/>
      <c r="NA55" s="303"/>
      <c r="NB55" s="303"/>
      <c r="NC55" s="303"/>
      <c r="ND55" s="303"/>
      <c r="NE55" s="303"/>
      <c r="NF55" s="303"/>
      <c r="NG55" s="303"/>
      <c r="NH55" s="303"/>
      <c r="NI55" s="303"/>
      <c r="NJ55" s="303"/>
      <c r="NK55" s="303"/>
      <c r="NL55" s="303"/>
      <c r="NM55" s="303"/>
      <c r="NN55" s="303"/>
      <c r="NO55" s="303"/>
      <c r="NP55" s="303"/>
      <c r="NQ55" s="303"/>
      <c r="NR55" s="303"/>
      <c r="NS55" s="303"/>
      <c r="NT55" s="303"/>
      <c r="NU55" s="303"/>
      <c r="NV55" s="303"/>
      <c r="NW55" s="303"/>
      <c r="NX55" s="303"/>
      <c r="NY55" s="303"/>
      <c r="NZ55" s="303"/>
      <c r="OA55" s="303"/>
      <c r="OB55" s="303"/>
      <c r="OC55" s="303"/>
      <c r="OD55" s="303"/>
      <c r="OE55" s="303"/>
      <c r="OF55" s="303"/>
      <c r="OG55" s="303"/>
      <c r="OH55" s="303"/>
      <c r="OI55" s="303"/>
      <c r="OJ55" s="303"/>
      <c r="OK55" s="303"/>
      <c r="OL55" s="303"/>
      <c r="OM55" s="303"/>
      <c r="ON55" s="303"/>
      <c r="OO55" s="303"/>
      <c r="OP55" s="303"/>
      <c r="OQ55" s="303"/>
      <c r="OR55" s="303"/>
      <c r="OS55" s="303"/>
      <c r="OT55" s="303"/>
      <c r="OU55" s="303"/>
      <c r="OV55" s="303"/>
      <c r="OW55" s="303"/>
      <c r="OX55" s="303"/>
      <c r="OY55" s="303"/>
      <c r="OZ55" s="303"/>
      <c r="PA55" s="303"/>
      <c r="PB55" s="303"/>
      <c r="PC55" s="303"/>
      <c r="PD55" s="303"/>
      <c r="PE55" s="303"/>
      <c r="PF55" s="303"/>
      <c r="PG55" s="303"/>
      <c r="PH55" s="303"/>
      <c r="PI55" s="303"/>
      <c r="PJ55" s="303"/>
      <c r="PK55" s="303"/>
      <c r="PL55" s="303"/>
      <c r="PM55" s="303"/>
      <c r="PN55" s="303"/>
      <c r="PO55" s="303"/>
      <c r="PP55" s="303"/>
      <c r="PQ55" s="303"/>
      <c r="PR55" s="303"/>
      <c r="PS55" s="303"/>
      <c r="PT55" s="303"/>
      <c r="PU55" s="303"/>
      <c r="PV55" s="303"/>
      <c r="PW55" s="303"/>
      <c r="PX55" s="303"/>
      <c r="PY55" s="303"/>
      <c r="PZ55" s="303"/>
      <c r="QA55" s="303"/>
      <c r="QB55" s="303"/>
      <c r="QC55" s="303"/>
      <c r="QD55" s="303"/>
      <c r="QE55" s="303"/>
      <c r="QF55" s="303"/>
      <c r="QG55" s="303"/>
      <c r="QH55" s="303"/>
      <c r="QI55" s="303"/>
      <c r="QJ55" s="303"/>
      <c r="QK55" s="303"/>
      <c r="QL55" s="303"/>
      <c r="QM55" s="303"/>
      <c r="QN55" s="303"/>
      <c r="QO55" s="303"/>
      <c r="QP55" s="303"/>
      <c r="QQ55" s="303"/>
      <c r="QR55" s="303"/>
      <c r="QS55" s="303"/>
      <c r="QT55" s="303"/>
      <c r="QU55" s="303"/>
      <c r="QV55" s="303"/>
      <c r="QW55" s="303"/>
      <c r="QX55" s="303"/>
      <c r="QY55" s="303"/>
      <c r="QZ55" s="303"/>
      <c r="RA55" s="303"/>
      <c r="RB55" s="303"/>
      <c r="RC55" s="303"/>
      <c r="RD55" s="303"/>
      <c r="RE55" s="303"/>
      <c r="RF55" s="303"/>
      <c r="RG55" s="303"/>
      <c r="RH55" s="303"/>
      <c r="RI55" s="303"/>
      <c r="RJ55" s="303"/>
      <c r="RK55" s="303"/>
      <c r="RL55" s="303"/>
      <c r="RM55" s="303"/>
      <c r="RN55" s="303"/>
      <c r="RO55" s="303"/>
      <c r="RP55" s="303"/>
      <c r="RQ55" s="303"/>
      <c r="RR55" s="303"/>
      <c r="RS55" s="303"/>
      <c r="RT55" s="303"/>
      <c r="RU55" s="303"/>
      <c r="RV55" s="303"/>
      <c r="RW55" s="303"/>
      <c r="RX55" s="303"/>
      <c r="RY55" s="303"/>
      <c r="RZ55" s="303"/>
      <c r="SA55" s="303"/>
      <c r="SB55" s="303"/>
      <c r="SC55" s="303"/>
      <c r="SD55" s="303"/>
      <c r="SE55" s="303"/>
      <c r="SF55" s="303"/>
      <c r="SG55" s="303"/>
      <c r="SH55" s="303"/>
      <c r="SI55" s="303"/>
      <c r="SJ55" s="303"/>
      <c r="SK55" s="303"/>
      <c r="SL55" s="303"/>
      <c r="SM55" s="303"/>
      <c r="SN55" s="303"/>
      <c r="SO55" s="303"/>
    </row>
    <row r="56" spans="1:509" s="312" customFormat="1" ht="12.95" customHeight="1" x14ac:dyDescent="0.15">
      <c r="A56" s="310"/>
      <c r="B56" s="311"/>
      <c r="C56" s="325">
        <v>43</v>
      </c>
      <c r="D56" s="999"/>
      <c r="E56" s="1000"/>
      <c r="F56" s="1000"/>
      <c r="G56" s="1000"/>
      <c r="H56" s="1000"/>
      <c r="I56" s="1000"/>
      <c r="J56" s="1001"/>
      <c r="K56" s="322"/>
      <c r="L56" s="363"/>
      <c r="M56" s="330"/>
      <c r="N56" s="331"/>
      <c r="O56" s="338"/>
      <c r="P56" s="339"/>
      <c r="Q56" s="346"/>
      <c r="R56" s="347"/>
      <c r="S56" s="354"/>
      <c r="T56" s="355"/>
      <c r="U56" s="311"/>
      <c r="V56" s="310"/>
      <c r="W56" s="310"/>
      <c r="X56" s="310"/>
      <c r="Y56" s="310"/>
      <c r="Z56" s="310"/>
      <c r="AA56" s="310"/>
      <c r="AB56" s="310"/>
      <c r="AC56" s="310"/>
      <c r="AD56" s="310"/>
      <c r="AE56" s="310"/>
      <c r="AF56" s="310"/>
      <c r="AG56" s="310"/>
      <c r="AH56" s="310"/>
      <c r="AI56" s="310"/>
      <c r="AJ56" s="310"/>
      <c r="AK56" s="310"/>
      <c r="AL56" s="310"/>
      <c r="AM56" s="310"/>
      <c r="AN56" s="310"/>
      <c r="AO56" s="310"/>
      <c r="AP56" s="310"/>
      <c r="AQ56" s="310"/>
      <c r="AR56" s="310"/>
      <c r="AS56" s="310"/>
      <c r="AT56" s="310"/>
      <c r="AU56" s="310"/>
      <c r="AV56" s="310"/>
      <c r="AW56" s="310"/>
      <c r="AX56" s="310"/>
      <c r="AY56" s="310"/>
      <c r="AZ56" s="310"/>
      <c r="BA56" s="310"/>
      <c r="BB56" s="310"/>
      <c r="BC56" s="310"/>
      <c r="BD56" s="310"/>
      <c r="BE56" s="310"/>
      <c r="BF56" s="310"/>
      <c r="BG56" s="310"/>
      <c r="BH56" s="310"/>
      <c r="BI56" s="310"/>
      <c r="BJ56" s="310"/>
      <c r="BK56" s="310"/>
      <c r="BL56" s="310"/>
      <c r="BM56" s="310"/>
      <c r="BN56" s="310"/>
      <c r="BO56" s="310"/>
      <c r="BP56" s="310"/>
      <c r="BQ56" s="310"/>
      <c r="BR56" s="310"/>
      <c r="BS56" s="310"/>
      <c r="BT56" s="310"/>
      <c r="BU56" s="310"/>
      <c r="BV56" s="310"/>
      <c r="BW56" s="310"/>
      <c r="BX56" s="310"/>
      <c r="BY56" s="310"/>
      <c r="BZ56" s="310"/>
      <c r="CA56" s="310"/>
      <c r="CB56" s="310"/>
      <c r="CC56" s="310"/>
      <c r="CD56" s="310"/>
      <c r="CE56" s="310"/>
      <c r="CF56" s="310"/>
      <c r="CG56" s="310"/>
      <c r="CH56" s="310"/>
      <c r="CI56" s="310"/>
      <c r="CJ56" s="310"/>
      <c r="CK56" s="310"/>
      <c r="CL56" s="310"/>
      <c r="CM56" s="310"/>
      <c r="CN56" s="310"/>
      <c r="CO56" s="310"/>
      <c r="CP56" s="310"/>
      <c r="CQ56" s="310"/>
      <c r="CR56" s="310"/>
      <c r="CS56" s="310"/>
      <c r="CT56" s="310"/>
      <c r="CU56" s="310"/>
      <c r="CV56" s="310"/>
      <c r="CW56" s="310"/>
      <c r="CX56" s="310"/>
      <c r="CY56" s="310"/>
      <c r="CZ56" s="310"/>
      <c r="DA56" s="310"/>
      <c r="DB56" s="310"/>
      <c r="DC56" s="310"/>
      <c r="DD56" s="310"/>
      <c r="DE56" s="310"/>
      <c r="DF56" s="310"/>
      <c r="DG56" s="310"/>
      <c r="DH56" s="310"/>
      <c r="DI56" s="310"/>
      <c r="DJ56" s="310"/>
      <c r="DK56" s="310"/>
      <c r="DL56" s="310"/>
      <c r="DM56" s="310"/>
      <c r="DN56" s="310"/>
      <c r="DO56" s="310"/>
      <c r="DP56" s="310"/>
      <c r="DQ56" s="310"/>
      <c r="DR56" s="310"/>
      <c r="DS56" s="310"/>
      <c r="DT56" s="310"/>
      <c r="DU56" s="310"/>
      <c r="DV56" s="310"/>
      <c r="DW56" s="310"/>
      <c r="DX56" s="310"/>
      <c r="DY56" s="310"/>
      <c r="DZ56" s="310"/>
      <c r="EA56" s="310"/>
      <c r="EB56" s="310"/>
      <c r="EC56" s="310"/>
      <c r="ED56" s="310"/>
      <c r="EE56" s="310"/>
      <c r="EF56" s="310"/>
      <c r="EG56" s="310"/>
      <c r="EH56" s="310"/>
      <c r="EI56" s="310"/>
      <c r="EJ56" s="310"/>
      <c r="EK56" s="310"/>
      <c r="EL56" s="310"/>
      <c r="EM56" s="310"/>
      <c r="EN56" s="310"/>
      <c r="EO56" s="310"/>
      <c r="EP56" s="310"/>
      <c r="EQ56" s="310"/>
      <c r="ER56" s="310"/>
      <c r="ES56" s="310"/>
      <c r="ET56" s="310"/>
      <c r="EU56" s="310"/>
      <c r="EV56" s="310"/>
      <c r="EW56" s="310"/>
      <c r="EX56" s="310"/>
      <c r="EY56" s="310"/>
      <c r="EZ56" s="310"/>
      <c r="FA56" s="310"/>
      <c r="FB56" s="310"/>
      <c r="FC56" s="310"/>
      <c r="FD56" s="310"/>
      <c r="FE56" s="310"/>
      <c r="FF56" s="310"/>
      <c r="FG56" s="310"/>
      <c r="FH56" s="310"/>
      <c r="FI56" s="310"/>
      <c r="FJ56" s="310"/>
      <c r="FK56" s="310"/>
      <c r="FL56" s="310"/>
      <c r="FM56" s="310"/>
      <c r="FN56" s="310"/>
      <c r="FO56" s="310"/>
      <c r="FP56" s="310"/>
      <c r="FQ56" s="310"/>
      <c r="FR56" s="310"/>
      <c r="FS56" s="310"/>
      <c r="FT56" s="310"/>
      <c r="FU56" s="310"/>
      <c r="FV56" s="310"/>
      <c r="FW56" s="310"/>
      <c r="FX56" s="310"/>
      <c r="FY56" s="310"/>
      <c r="FZ56" s="310"/>
      <c r="GA56" s="310"/>
      <c r="GB56" s="310"/>
      <c r="GC56" s="310"/>
      <c r="GD56" s="310"/>
      <c r="GE56" s="310"/>
      <c r="GF56" s="310"/>
      <c r="GG56" s="310"/>
      <c r="GH56" s="310"/>
      <c r="GI56" s="310"/>
      <c r="GJ56" s="310"/>
      <c r="GK56" s="310"/>
      <c r="GL56" s="310"/>
      <c r="GM56" s="310"/>
      <c r="GN56" s="310"/>
      <c r="GO56" s="310"/>
      <c r="GP56" s="310"/>
      <c r="GQ56" s="310"/>
      <c r="GR56" s="310"/>
      <c r="GS56" s="310"/>
      <c r="GT56" s="310"/>
      <c r="GU56" s="310"/>
      <c r="GV56" s="310"/>
      <c r="GW56" s="310"/>
      <c r="GX56" s="310"/>
      <c r="GY56" s="310"/>
      <c r="GZ56" s="310"/>
      <c r="HA56" s="310"/>
      <c r="HB56" s="310"/>
      <c r="HC56" s="310"/>
      <c r="HD56" s="310"/>
      <c r="HE56" s="310"/>
      <c r="HF56" s="310"/>
      <c r="HG56" s="310"/>
      <c r="HH56" s="310"/>
      <c r="HI56" s="310"/>
      <c r="HJ56" s="310"/>
      <c r="HK56" s="310"/>
      <c r="HL56" s="310"/>
      <c r="HM56" s="307"/>
      <c r="HN56" s="307"/>
      <c r="HO56" s="307"/>
      <c r="HP56" s="307"/>
      <c r="HQ56" s="307"/>
      <c r="HR56" s="307"/>
      <c r="HS56" s="307"/>
      <c r="HT56" s="307"/>
      <c r="HU56" s="310"/>
      <c r="HV56" s="310"/>
      <c r="HW56" s="310"/>
      <c r="HX56" s="310"/>
      <c r="HY56" s="310"/>
      <c r="HZ56" s="310"/>
      <c r="IA56" s="310"/>
      <c r="IB56" s="310"/>
      <c r="IC56" s="310"/>
      <c r="ID56" s="310"/>
      <c r="IE56" s="310"/>
      <c r="IF56" s="310"/>
      <c r="IG56" s="310"/>
      <c r="IH56" s="310"/>
      <c r="II56" s="310"/>
      <c r="IJ56" s="310"/>
      <c r="IK56" s="310"/>
      <c r="IL56" s="310"/>
      <c r="IM56" s="310"/>
      <c r="IN56" s="310"/>
      <c r="IO56" s="310"/>
      <c r="IP56" s="310"/>
      <c r="IQ56" s="310"/>
      <c r="IR56" s="310"/>
      <c r="IS56" s="310"/>
      <c r="IT56" s="310"/>
      <c r="IU56" s="310"/>
      <c r="IV56" s="310"/>
      <c r="IW56" s="310"/>
      <c r="IX56" s="310"/>
      <c r="IY56" s="310"/>
      <c r="IZ56" s="310"/>
      <c r="JA56" s="310"/>
      <c r="JB56" s="310"/>
      <c r="JC56" s="310"/>
      <c r="JD56" s="310"/>
      <c r="JE56" s="310"/>
      <c r="JF56" s="310"/>
      <c r="JG56" s="310"/>
      <c r="JH56" s="310"/>
      <c r="JI56" s="310"/>
      <c r="JJ56" s="310"/>
      <c r="JK56" s="310"/>
      <c r="JL56" s="310"/>
      <c r="JM56" s="310"/>
      <c r="JN56" s="310"/>
      <c r="JO56" s="310"/>
      <c r="JP56" s="310"/>
      <c r="JQ56" s="310"/>
      <c r="JR56" s="310"/>
      <c r="JS56" s="310"/>
      <c r="JT56" s="310"/>
      <c r="JU56" s="310"/>
      <c r="JV56" s="310"/>
      <c r="JW56" s="310"/>
      <c r="JX56" s="310"/>
      <c r="JY56" s="310"/>
      <c r="JZ56" s="310"/>
      <c r="KA56" s="310"/>
      <c r="KB56" s="310"/>
      <c r="KC56" s="310"/>
      <c r="KD56" s="310"/>
      <c r="KE56" s="310"/>
      <c r="KF56" s="310"/>
      <c r="KG56" s="310"/>
      <c r="KH56" s="310"/>
      <c r="KI56" s="310"/>
      <c r="KJ56" s="310"/>
      <c r="KK56" s="310"/>
      <c r="KL56" s="310"/>
      <c r="KM56" s="310"/>
      <c r="KN56" s="310"/>
      <c r="KO56" s="310"/>
      <c r="KP56" s="310"/>
      <c r="KQ56" s="310"/>
      <c r="KR56" s="310"/>
      <c r="KS56" s="310"/>
      <c r="KT56" s="310"/>
      <c r="KU56" s="310"/>
      <c r="KV56" s="310"/>
      <c r="KW56" s="310"/>
      <c r="KX56" s="310"/>
      <c r="KY56" s="310"/>
      <c r="KZ56" s="310"/>
      <c r="LA56" s="310"/>
      <c r="LB56" s="310"/>
      <c r="LC56" s="310"/>
      <c r="LD56" s="310"/>
      <c r="LE56" s="310"/>
      <c r="LF56" s="310"/>
      <c r="LG56" s="310"/>
      <c r="LH56" s="310"/>
      <c r="LI56" s="310"/>
      <c r="LJ56" s="310"/>
      <c r="LK56" s="310"/>
      <c r="LL56" s="310"/>
      <c r="LM56" s="310"/>
      <c r="LN56" s="310"/>
      <c r="LO56" s="310"/>
      <c r="LP56" s="310"/>
      <c r="LQ56" s="310"/>
      <c r="LR56" s="310"/>
      <c r="LS56" s="310"/>
      <c r="LT56" s="310"/>
      <c r="LU56" s="310"/>
      <c r="LV56" s="310"/>
      <c r="LW56" s="310"/>
      <c r="LX56" s="310"/>
      <c r="LY56" s="310"/>
      <c r="LZ56" s="310"/>
      <c r="MA56" s="310"/>
      <c r="MB56" s="310"/>
      <c r="MC56" s="310"/>
      <c r="MD56" s="310"/>
      <c r="ME56" s="310"/>
      <c r="MF56" s="310"/>
      <c r="MG56" s="310"/>
      <c r="MH56" s="310"/>
      <c r="MI56" s="310"/>
      <c r="MJ56" s="310"/>
      <c r="MK56" s="310"/>
      <c r="ML56" s="310"/>
      <c r="MM56" s="310"/>
      <c r="MN56" s="310"/>
      <c r="MO56" s="310"/>
      <c r="MP56" s="310"/>
      <c r="MQ56" s="310"/>
      <c r="MR56" s="310"/>
      <c r="MS56" s="310"/>
      <c r="MT56" s="310"/>
      <c r="MU56" s="310"/>
      <c r="MV56" s="310"/>
      <c r="MW56" s="310"/>
      <c r="MX56" s="310"/>
      <c r="MY56" s="310"/>
      <c r="MZ56" s="310"/>
      <c r="NA56" s="310"/>
      <c r="NB56" s="310"/>
      <c r="NC56" s="310"/>
      <c r="ND56" s="310"/>
      <c r="NE56" s="310"/>
      <c r="NF56" s="310"/>
      <c r="NG56" s="310"/>
      <c r="NH56" s="310"/>
      <c r="NI56" s="310"/>
      <c r="NJ56" s="310"/>
      <c r="NK56" s="310"/>
      <c r="NL56" s="310"/>
      <c r="NM56" s="310"/>
      <c r="NN56" s="310"/>
      <c r="NO56" s="310"/>
      <c r="NP56" s="310"/>
      <c r="NQ56" s="310"/>
      <c r="NR56" s="310"/>
      <c r="NS56" s="310"/>
      <c r="NT56" s="310"/>
      <c r="NU56" s="310"/>
      <c r="NV56" s="310"/>
      <c r="NW56" s="310"/>
      <c r="NX56" s="310"/>
      <c r="NY56" s="310"/>
      <c r="NZ56" s="310"/>
      <c r="OA56" s="310"/>
      <c r="OB56" s="310"/>
      <c r="OC56" s="310"/>
      <c r="OD56" s="310"/>
      <c r="OE56" s="310"/>
      <c r="OF56" s="310"/>
      <c r="OG56" s="310"/>
      <c r="OH56" s="310"/>
      <c r="OI56" s="310"/>
      <c r="OJ56" s="310"/>
      <c r="OK56" s="310"/>
      <c r="OL56" s="310"/>
      <c r="OM56" s="310"/>
      <c r="ON56" s="310"/>
      <c r="OO56" s="310"/>
      <c r="OP56" s="310"/>
      <c r="OQ56" s="310"/>
      <c r="OR56" s="310"/>
      <c r="OS56" s="310"/>
      <c r="OT56" s="310"/>
      <c r="OU56" s="310"/>
      <c r="OV56" s="310"/>
      <c r="OW56" s="310"/>
      <c r="OX56" s="310"/>
      <c r="OY56" s="310"/>
      <c r="OZ56" s="310"/>
      <c r="PA56" s="310"/>
      <c r="PB56" s="310"/>
      <c r="PC56" s="310"/>
      <c r="PD56" s="310"/>
      <c r="PE56" s="310"/>
      <c r="PF56" s="310"/>
      <c r="PG56" s="310"/>
      <c r="PH56" s="310"/>
      <c r="PI56" s="310"/>
      <c r="PJ56" s="310"/>
      <c r="PK56" s="310"/>
      <c r="PL56" s="310"/>
      <c r="PM56" s="310"/>
      <c r="PN56" s="310"/>
      <c r="PO56" s="310"/>
      <c r="PP56" s="310"/>
      <c r="PQ56" s="310"/>
      <c r="PR56" s="310"/>
      <c r="PS56" s="310"/>
      <c r="PT56" s="310"/>
      <c r="PU56" s="310"/>
      <c r="PV56" s="310"/>
      <c r="PW56" s="310"/>
      <c r="PX56" s="310"/>
      <c r="PY56" s="310"/>
      <c r="PZ56" s="310"/>
      <c r="QA56" s="310"/>
      <c r="QB56" s="310"/>
      <c r="QC56" s="310"/>
      <c r="QD56" s="310"/>
      <c r="QE56" s="310"/>
      <c r="QF56" s="310"/>
      <c r="QG56" s="310"/>
      <c r="QH56" s="310"/>
      <c r="QI56" s="310"/>
      <c r="QJ56" s="310"/>
      <c r="QK56" s="310"/>
      <c r="QL56" s="310"/>
      <c r="QM56" s="310"/>
      <c r="QN56" s="310"/>
      <c r="QO56" s="310"/>
      <c r="QP56" s="310"/>
      <c r="QQ56" s="310"/>
      <c r="QR56" s="310"/>
      <c r="QS56" s="310"/>
      <c r="QT56" s="310"/>
      <c r="QU56" s="310"/>
      <c r="QV56" s="310"/>
      <c r="QW56" s="310"/>
      <c r="QX56" s="310"/>
      <c r="QY56" s="310"/>
      <c r="QZ56" s="310"/>
      <c r="RA56" s="310"/>
      <c r="RB56" s="310"/>
      <c r="RC56" s="310"/>
      <c r="RD56" s="310"/>
      <c r="RE56" s="310"/>
      <c r="RF56" s="310"/>
      <c r="RG56" s="310"/>
      <c r="RH56" s="310"/>
      <c r="RI56" s="310"/>
      <c r="RJ56" s="310"/>
      <c r="RK56" s="310"/>
      <c r="RL56" s="310"/>
      <c r="RM56" s="310"/>
      <c r="RN56" s="310"/>
      <c r="RO56" s="310"/>
      <c r="RP56" s="310"/>
      <c r="RQ56" s="310"/>
      <c r="RR56" s="310"/>
      <c r="RS56" s="310"/>
      <c r="RT56" s="310"/>
      <c r="RU56" s="310"/>
      <c r="RV56" s="310"/>
      <c r="RW56" s="310"/>
      <c r="RX56" s="310"/>
      <c r="RY56" s="310"/>
      <c r="RZ56" s="310"/>
      <c r="SA56" s="310"/>
      <c r="SB56" s="310"/>
      <c r="SC56" s="310"/>
      <c r="SD56" s="310"/>
      <c r="SE56" s="310"/>
      <c r="SF56" s="310"/>
      <c r="SG56" s="310"/>
      <c r="SH56" s="310"/>
      <c r="SI56" s="310"/>
      <c r="SJ56" s="310"/>
      <c r="SK56" s="310"/>
      <c r="SL56" s="310"/>
      <c r="SM56" s="310"/>
      <c r="SN56" s="310"/>
      <c r="SO56" s="310"/>
    </row>
    <row r="57" spans="1:509" s="307" customFormat="1" ht="12" customHeight="1" x14ac:dyDescent="0.15">
      <c r="B57" s="320"/>
      <c r="C57" s="325">
        <v>44</v>
      </c>
      <c r="D57" s="999"/>
      <c r="E57" s="1000"/>
      <c r="F57" s="1000"/>
      <c r="G57" s="1000"/>
      <c r="H57" s="1000"/>
      <c r="I57" s="1000"/>
      <c r="J57" s="1001"/>
      <c r="K57" s="320"/>
      <c r="L57" s="363"/>
      <c r="M57" s="330"/>
      <c r="N57" s="331"/>
      <c r="O57" s="338"/>
      <c r="P57" s="339"/>
      <c r="Q57" s="346"/>
      <c r="R57" s="347"/>
      <c r="S57" s="354"/>
      <c r="T57" s="355"/>
      <c r="U57" s="320"/>
    </row>
    <row r="58" spans="1:509" ht="14.1" customHeight="1" x14ac:dyDescent="0.15">
      <c r="B58" s="302"/>
      <c r="C58" s="325">
        <v>45</v>
      </c>
      <c r="D58" s="999"/>
      <c r="E58" s="1000"/>
      <c r="F58" s="1000"/>
      <c r="G58" s="1000"/>
      <c r="H58" s="1000"/>
      <c r="I58" s="1000"/>
      <c r="J58" s="1001"/>
      <c r="K58" s="302"/>
      <c r="L58" s="363"/>
      <c r="M58" s="330"/>
      <c r="N58" s="331"/>
      <c r="O58" s="338"/>
      <c r="P58" s="339"/>
      <c r="Q58" s="346"/>
      <c r="R58" s="347"/>
      <c r="S58" s="354"/>
      <c r="T58" s="355"/>
      <c r="U58" s="302"/>
    </row>
    <row r="59" spans="1:509" ht="14.1" customHeight="1" x14ac:dyDescent="0.15">
      <c r="B59" s="302"/>
      <c r="C59" s="325">
        <v>46</v>
      </c>
      <c r="D59" s="999"/>
      <c r="E59" s="1000"/>
      <c r="F59" s="1000"/>
      <c r="G59" s="1000"/>
      <c r="H59" s="1000"/>
      <c r="I59" s="1000"/>
      <c r="J59" s="1001"/>
      <c r="K59" s="302"/>
      <c r="L59" s="363"/>
      <c r="M59" s="330"/>
      <c r="N59" s="331"/>
      <c r="O59" s="338"/>
      <c r="P59" s="339"/>
      <c r="Q59" s="346"/>
      <c r="R59" s="347"/>
      <c r="S59" s="354"/>
      <c r="T59" s="355"/>
      <c r="U59" s="302"/>
    </row>
    <row r="60" spans="1:509" ht="14.1" customHeight="1" x14ac:dyDescent="0.15">
      <c r="B60" s="302"/>
      <c r="C60" s="325">
        <v>47</v>
      </c>
      <c r="D60" s="999"/>
      <c r="E60" s="1000"/>
      <c r="F60" s="1000"/>
      <c r="G60" s="1000"/>
      <c r="H60" s="1000"/>
      <c r="I60" s="1000"/>
      <c r="J60" s="1001"/>
      <c r="K60" s="302"/>
      <c r="L60" s="363"/>
      <c r="M60" s="330"/>
      <c r="N60" s="331"/>
      <c r="O60" s="338"/>
      <c r="P60" s="339"/>
      <c r="Q60" s="346"/>
      <c r="R60" s="347"/>
      <c r="S60" s="354"/>
      <c r="T60" s="355"/>
      <c r="U60" s="302"/>
    </row>
    <row r="61" spans="1:509" ht="14.1" customHeight="1" x14ac:dyDescent="0.15">
      <c r="B61" s="302"/>
      <c r="C61" s="325">
        <v>48</v>
      </c>
      <c r="D61" s="999"/>
      <c r="E61" s="1000"/>
      <c r="F61" s="1000"/>
      <c r="G61" s="1000"/>
      <c r="H61" s="1000"/>
      <c r="I61" s="1000"/>
      <c r="J61" s="1001"/>
      <c r="K61" s="302"/>
      <c r="L61" s="363"/>
      <c r="M61" s="330"/>
      <c r="N61" s="331"/>
      <c r="O61" s="338"/>
      <c r="P61" s="339"/>
      <c r="Q61" s="346"/>
      <c r="R61" s="347"/>
      <c r="S61" s="354"/>
      <c r="T61" s="355"/>
      <c r="U61" s="302"/>
    </row>
    <row r="62" spans="1:509" ht="14.1" customHeight="1" x14ac:dyDescent="0.15">
      <c r="B62" s="302"/>
      <c r="C62" s="325">
        <v>49</v>
      </c>
      <c r="D62" s="999"/>
      <c r="E62" s="1000"/>
      <c r="F62" s="1000"/>
      <c r="G62" s="1000"/>
      <c r="H62" s="1000"/>
      <c r="I62" s="1000"/>
      <c r="J62" s="1001"/>
      <c r="K62" s="302"/>
      <c r="L62" s="363"/>
      <c r="M62" s="330"/>
      <c r="N62" s="331"/>
      <c r="O62" s="338"/>
      <c r="P62" s="339"/>
      <c r="Q62" s="346"/>
      <c r="R62" s="347"/>
      <c r="S62" s="354"/>
      <c r="T62" s="355"/>
      <c r="U62" s="302"/>
    </row>
    <row r="63" spans="1:509" ht="14.1" customHeight="1" x14ac:dyDescent="0.15">
      <c r="B63" s="302"/>
      <c r="C63" s="325">
        <v>50</v>
      </c>
      <c r="D63" s="999"/>
      <c r="E63" s="1000"/>
      <c r="F63" s="1000"/>
      <c r="G63" s="1000"/>
      <c r="H63" s="1000"/>
      <c r="I63" s="1000"/>
      <c r="J63" s="1001"/>
      <c r="K63" s="302"/>
      <c r="L63" s="363"/>
      <c r="M63" s="330"/>
      <c r="N63" s="331"/>
      <c r="O63" s="338"/>
      <c r="P63" s="339"/>
      <c r="Q63" s="346"/>
      <c r="R63" s="347"/>
      <c r="S63" s="354"/>
      <c r="T63" s="355"/>
      <c r="U63" s="302"/>
    </row>
    <row r="64" spans="1:509" ht="14.1" customHeight="1" x14ac:dyDescent="0.15">
      <c r="B64" s="302"/>
      <c r="C64" s="325">
        <v>51</v>
      </c>
      <c r="D64" s="999"/>
      <c r="E64" s="1000"/>
      <c r="F64" s="1000"/>
      <c r="G64" s="1000"/>
      <c r="H64" s="1000"/>
      <c r="I64" s="1000"/>
      <c r="J64" s="1001"/>
      <c r="K64" s="302"/>
      <c r="L64" s="363"/>
      <c r="M64" s="330"/>
      <c r="N64" s="331"/>
      <c r="O64" s="338"/>
      <c r="P64" s="339"/>
      <c r="Q64" s="346"/>
      <c r="R64" s="347"/>
      <c r="S64" s="354"/>
      <c r="T64" s="355"/>
      <c r="U64" s="302"/>
    </row>
    <row r="65" spans="2:21" ht="14.1" customHeight="1" x14ac:dyDescent="0.15">
      <c r="B65" s="302"/>
      <c r="C65" s="325">
        <v>52</v>
      </c>
      <c r="D65" s="999"/>
      <c r="E65" s="1000"/>
      <c r="F65" s="1000"/>
      <c r="G65" s="1000"/>
      <c r="H65" s="1000"/>
      <c r="I65" s="1000"/>
      <c r="J65" s="1001"/>
      <c r="K65" s="302"/>
      <c r="L65" s="363"/>
      <c r="M65" s="330"/>
      <c r="N65" s="331"/>
      <c r="O65" s="338"/>
      <c r="P65" s="339"/>
      <c r="Q65" s="346"/>
      <c r="R65" s="347"/>
      <c r="S65" s="354"/>
      <c r="T65" s="355"/>
      <c r="U65" s="302"/>
    </row>
    <row r="66" spans="2:21" ht="14.1" customHeight="1" x14ac:dyDescent="0.15">
      <c r="B66" s="302"/>
      <c r="C66" s="325">
        <v>53</v>
      </c>
      <c r="D66" s="999"/>
      <c r="E66" s="1000"/>
      <c r="F66" s="1000"/>
      <c r="G66" s="1000"/>
      <c r="H66" s="1000"/>
      <c r="I66" s="1000"/>
      <c r="J66" s="1001"/>
      <c r="K66" s="302"/>
      <c r="L66" s="363"/>
      <c r="M66" s="330"/>
      <c r="N66" s="331"/>
      <c r="O66" s="338"/>
      <c r="P66" s="339"/>
      <c r="Q66" s="346"/>
      <c r="R66" s="347"/>
      <c r="S66" s="354"/>
      <c r="T66" s="355"/>
      <c r="U66" s="302"/>
    </row>
    <row r="67" spans="2:21" ht="14.1" customHeight="1" x14ac:dyDescent="0.15">
      <c r="B67" s="302"/>
      <c r="C67" s="325">
        <v>54</v>
      </c>
      <c r="D67" s="999"/>
      <c r="E67" s="1000"/>
      <c r="F67" s="1000"/>
      <c r="G67" s="1000"/>
      <c r="H67" s="1000"/>
      <c r="I67" s="1000"/>
      <c r="J67" s="1001"/>
      <c r="K67" s="302"/>
      <c r="L67" s="363"/>
      <c r="M67" s="330"/>
      <c r="N67" s="331"/>
      <c r="O67" s="338"/>
      <c r="P67" s="339"/>
      <c r="Q67" s="346"/>
      <c r="R67" s="347"/>
      <c r="S67" s="354"/>
      <c r="T67" s="355"/>
      <c r="U67" s="302"/>
    </row>
    <row r="68" spans="2:21" ht="14.1" customHeight="1" x14ac:dyDescent="0.15">
      <c r="B68" s="302"/>
      <c r="C68" s="325">
        <v>55</v>
      </c>
      <c r="D68" s="999"/>
      <c r="E68" s="1000"/>
      <c r="F68" s="1000"/>
      <c r="G68" s="1000"/>
      <c r="H68" s="1000"/>
      <c r="I68" s="1000"/>
      <c r="J68" s="1001"/>
      <c r="K68" s="302"/>
      <c r="L68" s="363"/>
      <c r="M68" s="330"/>
      <c r="N68" s="331"/>
      <c r="O68" s="338"/>
      <c r="P68" s="339"/>
      <c r="Q68" s="346"/>
      <c r="R68" s="347"/>
      <c r="S68" s="354"/>
      <c r="T68" s="355"/>
      <c r="U68" s="302"/>
    </row>
    <row r="69" spans="2:21" ht="14.1" customHeight="1" x14ac:dyDescent="0.15">
      <c r="B69" s="302"/>
      <c r="C69" s="325">
        <v>56</v>
      </c>
      <c r="D69" s="999"/>
      <c r="E69" s="1000"/>
      <c r="F69" s="1000"/>
      <c r="G69" s="1000"/>
      <c r="H69" s="1000"/>
      <c r="I69" s="1000"/>
      <c r="J69" s="1001"/>
      <c r="K69" s="302"/>
      <c r="L69" s="363"/>
      <c r="M69" s="330"/>
      <c r="N69" s="331"/>
      <c r="O69" s="338"/>
      <c r="P69" s="339"/>
      <c r="Q69" s="346"/>
      <c r="R69" s="347"/>
      <c r="S69" s="354"/>
      <c r="T69" s="355"/>
      <c r="U69" s="302"/>
    </row>
    <row r="70" spans="2:21" ht="14.1" customHeight="1" x14ac:dyDescent="0.15">
      <c r="B70" s="302"/>
      <c r="C70" s="325">
        <v>57</v>
      </c>
      <c r="D70" s="999"/>
      <c r="E70" s="1000"/>
      <c r="F70" s="1000"/>
      <c r="G70" s="1000"/>
      <c r="H70" s="1000"/>
      <c r="I70" s="1000"/>
      <c r="J70" s="1001"/>
      <c r="K70" s="302"/>
      <c r="L70" s="363"/>
      <c r="M70" s="330"/>
      <c r="N70" s="331"/>
      <c r="O70" s="338"/>
      <c r="P70" s="339"/>
      <c r="Q70" s="346"/>
      <c r="R70" s="347"/>
      <c r="S70" s="354"/>
      <c r="T70" s="355"/>
      <c r="U70" s="302"/>
    </row>
    <row r="71" spans="2:21" ht="14.1" customHeight="1" x14ac:dyDescent="0.15">
      <c r="B71" s="302"/>
      <c r="C71" s="325">
        <v>58</v>
      </c>
      <c r="D71" s="999"/>
      <c r="E71" s="1000"/>
      <c r="F71" s="1000"/>
      <c r="G71" s="1000"/>
      <c r="H71" s="1000"/>
      <c r="I71" s="1000"/>
      <c r="J71" s="1001"/>
      <c r="K71" s="302"/>
      <c r="L71" s="363"/>
      <c r="M71" s="330"/>
      <c r="N71" s="331"/>
      <c r="O71" s="338"/>
      <c r="P71" s="339"/>
      <c r="Q71" s="346"/>
      <c r="R71" s="347"/>
      <c r="S71" s="354"/>
      <c r="T71" s="355"/>
      <c r="U71" s="302"/>
    </row>
    <row r="72" spans="2:21" ht="14.1" customHeight="1" x14ac:dyDescent="0.15">
      <c r="B72" s="302"/>
      <c r="C72" s="325">
        <v>59</v>
      </c>
      <c r="D72" s="999"/>
      <c r="E72" s="1000"/>
      <c r="F72" s="1000"/>
      <c r="G72" s="1000"/>
      <c r="H72" s="1000"/>
      <c r="I72" s="1000"/>
      <c r="J72" s="1001"/>
      <c r="K72" s="302"/>
      <c r="L72" s="363"/>
      <c r="M72" s="330"/>
      <c r="N72" s="331"/>
      <c r="O72" s="338"/>
      <c r="P72" s="339"/>
      <c r="Q72" s="346"/>
      <c r="R72" s="347"/>
      <c r="S72" s="354"/>
      <c r="T72" s="355"/>
      <c r="U72" s="302"/>
    </row>
    <row r="73" spans="2:21" ht="14.1" customHeight="1" x14ac:dyDescent="0.15">
      <c r="B73" s="302"/>
      <c r="C73" s="325">
        <v>60</v>
      </c>
      <c r="D73" s="999"/>
      <c r="E73" s="1000"/>
      <c r="F73" s="1000"/>
      <c r="G73" s="1000"/>
      <c r="H73" s="1000"/>
      <c r="I73" s="1000"/>
      <c r="J73" s="1001"/>
      <c r="K73" s="302"/>
      <c r="L73" s="363"/>
      <c r="M73" s="330"/>
      <c r="N73" s="331"/>
      <c r="O73" s="338"/>
      <c r="P73" s="339"/>
      <c r="Q73" s="346"/>
      <c r="R73" s="347"/>
      <c r="S73" s="354"/>
      <c r="T73" s="355"/>
      <c r="U73" s="302"/>
    </row>
    <row r="74" spans="2:21" ht="14.1" customHeight="1" x14ac:dyDescent="0.15">
      <c r="B74" s="302"/>
      <c r="C74" s="325">
        <v>61</v>
      </c>
      <c r="D74" s="999"/>
      <c r="E74" s="1000"/>
      <c r="F74" s="1000"/>
      <c r="G74" s="1000"/>
      <c r="H74" s="1000"/>
      <c r="I74" s="1000"/>
      <c r="J74" s="1001"/>
      <c r="K74" s="302"/>
      <c r="L74" s="363"/>
      <c r="M74" s="330"/>
      <c r="N74" s="331"/>
      <c r="O74" s="338"/>
      <c r="P74" s="339"/>
      <c r="Q74" s="346"/>
      <c r="R74" s="347"/>
      <c r="S74" s="354"/>
      <c r="T74" s="355"/>
      <c r="U74" s="302"/>
    </row>
    <row r="75" spans="2:21" ht="14.1" customHeight="1" x14ac:dyDescent="0.15">
      <c r="B75" s="302"/>
      <c r="C75" s="325">
        <v>62</v>
      </c>
      <c r="D75" s="999"/>
      <c r="E75" s="1000"/>
      <c r="F75" s="1000"/>
      <c r="G75" s="1000"/>
      <c r="H75" s="1000"/>
      <c r="I75" s="1000"/>
      <c r="J75" s="1001"/>
      <c r="K75" s="302"/>
      <c r="L75" s="363"/>
      <c r="M75" s="330"/>
      <c r="N75" s="331"/>
      <c r="O75" s="338"/>
      <c r="P75" s="339"/>
      <c r="Q75" s="346"/>
      <c r="R75" s="347"/>
      <c r="S75" s="354"/>
      <c r="T75" s="355"/>
      <c r="U75" s="302"/>
    </row>
    <row r="76" spans="2:21" ht="14.1" customHeight="1" x14ac:dyDescent="0.15">
      <c r="B76" s="302"/>
      <c r="C76" s="325">
        <v>63</v>
      </c>
      <c r="D76" s="999"/>
      <c r="E76" s="1000"/>
      <c r="F76" s="1000"/>
      <c r="G76" s="1000"/>
      <c r="H76" s="1000"/>
      <c r="I76" s="1000"/>
      <c r="J76" s="1001"/>
      <c r="K76" s="302"/>
      <c r="L76" s="363"/>
      <c r="M76" s="330"/>
      <c r="N76" s="331"/>
      <c r="O76" s="338"/>
      <c r="P76" s="339"/>
      <c r="Q76" s="346"/>
      <c r="R76" s="347"/>
      <c r="S76" s="354"/>
      <c r="T76" s="355"/>
      <c r="U76" s="302"/>
    </row>
    <row r="77" spans="2:21" ht="14.1" customHeight="1" x14ac:dyDescent="0.15">
      <c r="B77" s="302"/>
      <c r="C77" s="325">
        <v>64</v>
      </c>
      <c r="D77" s="999"/>
      <c r="E77" s="1000"/>
      <c r="F77" s="1000"/>
      <c r="G77" s="1000"/>
      <c r="H77" s="1000"/>
      <c r="I77" s="1000"/>
      <c r="J77" s="1001"/>
      <c r="K77" s="302"/>
      <c r="L77" s="363"/>
      <c r="M77" s="330"/>
      <c r="N77" s="331"/>
      <c r="O77" s="338"/>
      <c r="P77" s="339"/>
      <c r="Q77" s="346"/>
      <c r="R77" s="347"/>
      <c r="S77" s="354"/>
      <c r="T77" s="355"/>
      <c r="U77" s="302"/>
    </row>
    <row r="78" spans="2:21" ht="14.1" customHeight="1" x14ac:dyDescent="0.15">
      <c r="B78" s="302"/>
      <c r="C78" s="325">
        <v>65</v>
      </c>
      <c r="D78" s="999"/>
      <c r="E78" s="1000"/>
      <c r="F78" s="1000"/>
      <c r="G78" s="1000"/>
      <c r="H78" s="1000"/>
      <c r="I78" s="1000"/>
      <c r="J78" s="1001"/>
      <c r="K78" s="302"/>
      <c r="L78" s="363"/>
      <c r="M78" s="330"/>
      <c r="N78" s="331"/>
      <c r="O78" s="338"/>
      <c r="P78" s="339"/>
      <c r="Q78" s="346"/>
      <c r="R78" s="347"/>
      <c r="S78" s="354"/>
      <c r="T78" s="355"/>
      <c r="U78" s="302"/>
    </row>
    <row r="79" spans="2:21" ht="14.1" customHeight="1" x14ac:dyDescent="0.15">
      <c r="B79" s="302"/>
      <c r="C79" s="325">
        <v>66</v>
      </c>
      <c r="D79" s="999"/>
      <c r="E79" s="1000"/>
      <c r="F79" s="1000"/>
      <c r="G79" s="1000"/>
      <c r="H79" s="1000"/>
      <c r="I79" s="1000"/>
      <c r="J79" s="1001"/>
      <c r="K79" s="302"/>
      <c r="L79" s="363"/>
      <c r="M79" s="330"/>
      <c r="N79" s="331"/>
      <c r="O79" s="338"/>
      <c r="P79" s="339"/>
      <c r="Q79" s="346"/>
      <c r="R79" s="347"/>
      <c r="S79" s="354"/>
      <c r="T79" s="355"/>
      <c r="U79" s="302"/>
    </row>
    <row r="80" spans="2:21" ht="14.1" customHeight="1" x14ac:dyDescent="0.15">
      <c r="B80" s="302"/>
      <c r="C80" s="325">
        <v>67</v>
      </c>
      <c r="D80" s="999"/>
      <c r="E80" s="1000"/>
      <c r="F80" s="1000"/>
      <c r="G80" s="1000"/>
      <c r="H80" s="1000"/>
      <c r="I80" s="1000"/>
      <c r="J80" s="1001"/>
      <c r="K80" s="302"/>
      <c r="L80" s="363"/>
      <c r="M80" s="330"/>
      <c r="N80" s="331"/>
      <c r="O80" s="338"/>
      <c r="P80" s="339"/>
      <c r="Q80" s="346"/>
      <c r="R80" s="347"/>
      <c r="S80" s="354"/>
      <c r="T80" s="355"/>
      <c r="U80" s="302"/>
    </row>
    <row r="81" spans="2:21" ht="14.1" customHeight="1" x14ac:dyDescent="0.15">
      <c r="B81" s="302"/>
      <c r="C81" s="325">
        <v>68</v>
      </c>
      <c r="D81" s="999"/>
      <c r="E81" s="1000"/>
      <c r="F81" s="1000"/>
      <c r="G81" s="1000"/>
      <c r="H81" s="1000"/>
      <c r="I81" s="1000"/>
      <c r="J81" s="1001"/>
      <c r="K81" s="302"/>
      <c r="L81" s="363"/>
      <c r="M81" s="330"/>
      <c r="N81" s="331"/>
      <c r="O81" s="338"/>
      <c r="P81" s="339"/>
      <c r="Q81" s="346"/>
      <c r="R81" s="347"/>
      <c r="S81" s="354"/>
      <c r="T81" s="355"/>
      <c r="U81" s="302"/>
    </row>
    <row r="82" spans="2:21" ht="14.1" customHeight="1" x14ac:dyDescent="0.15">
      <c r="B82" s="302"/>
      <c r="C82" s="325">
        <v>69</v>
      </c>
      <c r="D82" s="999"/>
      <c r="E82" s="1000"/>
      <c r="F82" s="1000"/>
      <c r="G82" s="1000"/>
      <c r="H82" s="1000"/>
      <c r="I82" s="1000"/>
      <c r="J82" s="1001"/>
      <c r="K82" s="302"/>
      <c r="L82" s="363"/>
      <c r="M82" s="330"/>
      <c r="N82" s="331"/>
      <c r="O82" s="338"/>
      <c r="P82" s="339"/>
      <c r="Q82" s="346"/>
      <c r="R82" s="347"/>
      <c r="S82" s="354"/>
      <c r="T82" s="355"/>
      <c r="U82" s="302"/>
    </row>
    <row r="83" spans="2:21" ht="14.1" customHeight="1" x14ac:dyDescent="0.15">
      <c r="B83" s="302"/>
      <c r="C83" s="325">
        <v>70</v>
      </c>
      <c r="D83" s="999"/>
      <c r="E83" s="1000"/>
      <c r="F83" s="1000"/>
      <c r="G83" s="1000"/>
      <c r="H83" s="1000"/>
      <c r="I83" s="1000"/>
      <c r="J83" s="1001"/>
      <c r="K83" s="302"/>
      <c r="L83" s="363"/>
      <c r="M83" s="330"/>
      <c r="N83" s="331"/>
      <c r="O83" s="338"/>
      <c r="P83" s="339"/>
      <c r="Q83" s="346"/>
      <c r="R83" s="347"/>
      <c r="S83" s="354"/>
      <c r="T83" s="355"/>
      <c r="U83" s="302"/>
    </row>
    <row r="84" spans="2:21" ht="14.1" customHeight="1" x14ac:dyDescent="0.15">
      <c r="B84" s="302"/>
      <c r="C84" s="325">
        <v>71</v>
      </c>
      <c r="D84" s="999"/>
      <c r="E84" s="1000"/>
      <c r="F84" s="1000"/>
      <c r="G84" s="1000"/>
      <c r="H84" s="1000"/>
      <c r="I84" s="1000"/>
      <c r="J84" s="1001"/>
      <c r="K84" s="302"/>
      <c r="L84" s="363"/>
      <c r="M84" s="330"/>
      <c r="N84" s="331"/>
      <c r="O84" s="338"/>
      <c r="P84" s="339"/>
      <c r="Q84" s="346"/>
      <c r="R84" s="347"/>
      <c r="S84" s="354"/>
      <c r="T84" s="355"/>
      <c r="U84" s="302"/>
    </row>
    <row r="85" spans="2:21" ht="14.1" customHeight="1" x14ac:dyDescent="0.15">
      <c r="B85" s="302"/>
      <c r="C85" s="325">
        <v>72</v>
      </c>
      <c r="D85" s="999"/>
      <c r="E85" s="1000"/>
      <c r="F85" s="1000"/>
      <c r="G85" s="1000"/>
      <c r="H85" s="1000"/>
      <c r="I85" s="1000"/>
      <c r="J85" s="1001"/>
      <c r="K85" s="302"/>
      <c r="L85" s="363"/>
      <c r="M85" s="330"/>
      <c r="N85" s="331"/>
      <c r="O85" s="338"/>
      <c r="P85" s="339"/>
      <c r="Q85" s="346"/>
      <c r="R85" s="347"/>
      <c r="S85" s="354"/>
      <c r="T85" s="355"/>
      <c r="U85" s="302"/>
    </row>
    <row r="86" spans="2:21" ht="14.1" customHeight="1" x14ac:dyDescent="0.15">
      <c r="B86" s="302"/>
      <c r="C86" s="325">
        <v>73</v>
      </c>
      <c r="D86" s="999"/>
      <c r="E86" s="1000"/>
      <c r="F86" s="1000"/>
      <c r="G86" s="1000"/>
      <c r="H86" s="1000"/>
      <c r="I86" s="1000"/>
      <c r="J86" s="1001"/>
      <c r="K86" s="302"/>
      <c r="L86" s="363"/>
      <c r="M86" s="330"/>
      <c r="N86" s="331"/>
      <c r="O86" s="338"/>
      <c r="P86" s="339"/>
      <c r="Q86" s="346"/>
      <c r="R86" s="347"/>
      <c r="S86" s="354"/>
      <c r="T86" s="355"/>
      <c r="U86" s="302"/>
    </row>
    <row r="87" spans="2:21" ht="14.1" customHeight="1" x14ac:dyDescent="0.15">
      <c r="B87" s="302"/>
      <c r="C87" s="325">
        <v>74</v>
      </c>
      <c r="D87" s="999"/>
      <c r="E87" s="1000"/>
      <c r="F87" s="1000"/>
      <c r="G87" s="1000"/>
      <c r="H87" s="1000"/>
      <c r="I87" s="1000"/>
      <c r="J87" s="1001"/>
      <c r="K87" s="302"/>
      <c r="L87" s="363"/>
      <c r="M87" s="330"/>
      <c r="N87" s="331"/>
      <c r="O87" s="338"/>
      <c r="P87" s="339"/>
      <c r="Q87" s="346"/>
      <c r="R87" s="347"/>
      <c r="S87" s="354"/>
      <c r="T87" s="355"/>
      <c r="U87" s="302"/>
    </row>
    <row r="88" spans="2:21" ht="14.1" customHeight="1" x14ac:dyDescent="0.15">
      <c r="B88" s="302"/>
      <c r="C88" s="325">
        <v>75</v>
      </c>
      <c r="D88" s="999"/>
      <c r="E88" s="1000"/>
      <c r="F88" s="1000"/>
      <c r="G88" s="1000"/>
      <c r="H88" s="1000"/>
      <c r="I88" s="1000"/>
      <c r="J88" s="1001"/>
      <c r="K88" s="302"/>
      <c r="L88" s="363"/>
      <c r="M88" s="330"/>
      <c r="N88" s="331"/>
      <c r="O88" s="338"/>
      <c r="P88" s="339"/>
      <c r="Q88" s="346"/>
      <c r="R88" s="347"/>
      <c r="S88" s="354"/>
      <c r="T88" s="355"/>
      <c r="U88" s="302"/>
    </row>
    <row r="89" spans="2:21" ht="14.1" customHeight="1" x14ac:dyDescent="0.15">
      <c r="B89" s="302"/>
      <c r="C89" s="325">
        <v>76</v>
      </c>
      <c r="D89" s="999"/>
      <c r="E89" s="1000"/>
      <c r="F89" s="1000"/>
      <c r="G89" s="1000"/>
      <c r="H89" s="1000"/>
      <c r="I89" s="1000"/>
      <c r="J89" s="1001"/>
      <c r="K89" s="302"/>
      <c r="L89" s="363"/>
      <c r="M89" s="330"/>
      <c r="N89" s="331"/>
      <c r="O89" s="338"/>
      <c r="P89" s="339"/>
      <c r="Q89" s="346"/>
      <c r="R89" s="347"/>
      <c r="S89" s="354"/>
      <c r="T89" s="355"/>
      <c r="U89" s="302"/>
    </row>
    <row r="90" spans="2:21" ht="14.1" customHeight="1" x14ac:dyDescent="0.15">
      <c r="B90" s="302"/>
      <c r="C90" s="325">
        <v>77</v>
      </c>
      <c r="D90" s="999"/>
      <c r="E90" s="1000"/>
      <c r="F90" s="1000"/>
      <c r="G90" s="1000"/>
      <c r="H90" s="1000"/>
      <c r="I90" s="1000"/>
      <c r="J90" s="1001"/>
      <c r="K90" s="302"/>
      <c r="L90" s="363"/>
      <c r="M90" s="330"/>
      <c r="N90" s="331"/>
      <c r="O90" s="338"/>
      <c r="P90" s="339"/>
      <c r="Q90" s="346"/>
      <c r="R90" s="347"/>
      <c r="S90" s="354"/>
      <c r="T90" s="355"/>
      <c r="U90" s="302"/>
    </row>
    <row r="91" spans="2:21" ht="14.1" customHeight="1" x14ac:dyDescent="0.15">
      <c r="B91" s="302"/>
      <c r="C91" s="325">
        <v>78</v>
      </c>
      <c r="D91" s="999"/>
      <c r="E91" s="1000"/>
      <c r="F91" s="1000"/>
      <c r="G91" s="1000"/>
      <c r="H91" s="1000"/>
      <c r="I91" s="1000"/>
      <c r="J91" s="1001"/>
      <c r="K91" s="302"/>
      <c r="L91" s="363"/>
      <c r="M91" s="330"/>
      <c r="N91" s="331"/>
      <c r="O91" s="338"/>
      <c r="P91" s="339"/>
      <c r="Q91" s="346"/>
      <c r="R91" s="347"/>
      <c r="S91" s="354"/>
      <c r="T91" s="355"/>
      <c r="U91" s="302"/>
    </row>
    <row r="92" spans="2:21" ht="14.1" customHeight="1" x14ac:dyDescent="0.15">
      <c r="B92" s="302"/>
      <c r="C92" s="325">
        <v>79</v>
      </c>
      <c r="D92" s="999"/>
      <c r="E92" s="1000"/>
      <c r="F92" s="1000"/>
      <c r="G92" s="1000"/>
      <c r="H92" s="1000"/>
      <c r="I92" s="1000"/>
      <c r="J92" s="1001"/>
      <c r="K92" s="302"/>
      <c r="L92" s="363"/>
      <c r="M92" s="330"/>
      <c r="N92" s="331"/>
      <c r="O92" s="338"/>
      <c r="P92" s="339"/>
      <c r="Q92" s="346"/>
      <c r="R92" s="347"/>
      <c r="S92" s="354"/>
      <c r="T92" s="355"/>
      <c r="U92" s="302"/>
    </row>
    <row r="93" spans="2:21" ht="14.1" customHeight="1" x14ac:dyDescent="0.15">
      <c r="B93" s="302"/>
      <c r="C93" s="325">
        <v>80</v>
      </c>
      <c r="D93" s="999"/>
      <c r="E93" s="1000"/>
      <c r="F93" s="1000"/>
      <c r="G93" s="1000"/>
      <c r="H93" s="1000"/>
      <c r="I93" s="1000"/>
      <c r="J93" s="1001"/>
      <c r="K93" s="302"/>
      <c r="L93" s="363"/>
      <c r="M93" s="330"/>
      <c r="N93" s="331"/>
      <c r="O93" s="338"/>
      <c r="P93" s="339"/>
      <c r="Q93" s="346"/>
      <c r="R93" s="347"/>
      <c r="S93" s="354"/>
      <c r="T93" s="355"/>
      <c r="U93" s="302"/>
    </row>
    <row r="94" spans="2:21" ht="14.1" customHeight="1" x14ac:dyDescent="0.15">
      <c r="B94" s="302"/>
      <c r="C94" s="325">
        <v>81</v>
      </c>
      <c r="D94" s="999"/>
      <c r="E94" s="1000"/>
      <c r="F94" s="1000"/>
      <c r="G94" s="1000"/>
      <c r="H94" s="1000"/>
      <c r="I94" s="1000"/>
      <c r="J94" s="1001"/>
      <c r="K94" s="302"/>
      <c r="L94" s="363"/>
      <c r="M94" s="330"/>
      <c r="N94" s="331"/>
      <c r="O94" s="338"/>
      <c r="P94" s="339"/>
      <c r="Q94" s="346"/>
      <c r="R94" s="347"/>
      <c r="S94" s="354"/>
      <c r="T94" s="355"/>
      <c r="U94" s="302"/>
    </row>
    <row r="95" spans="2:21" ht="14.1" customHeight="1" x14ac:dyDescent="0.15">
      <c r="B95" s="302"/>
      <c r="C95" s="325">
        <v>82</v>
      </c>
      <c r="D95" s="999"/>
      <c r="E95" s="1000"/>
      <c r="F95" s="1000"/>
      <c r="G95" s="1000"/>
      <c r="H95" s="1000"/>
      <c r="I95" s="1000"/>
      <c r="J95" s="1001"/>
      <c r="K95" s="302"/>
      <c r="L95" s="363"/>
      <c r="M95" s="330"/>
      <c r="N95" s="331"/>
      <c r="O95" s="338"/>
      <c r="P95" s="339"/>
      <c r="Q95" s="346"/>
      <c r="R95" s="347"/>
      <c r="S95" s="354"/>
      <c r="T95" s="355"/>
      <c r="U95" s="302"/>
    </row>
    <row r="96" spans="2:21" ht="14.1" customHeight="1" x14ac:dyDescent="0.15">
      <c r="B96" s="302"/>
      <c r="C96" s="325">
        <v>83</v>
      </c>
      <c r="D96" s="999"/>
      <c r="E96" s="1000"/>
      <c r="F96" s="1000"/>
      <c r="G96" s="1000"/>
      <c r="H96" s="1000"/>
      <c r="I96" s="1000"/>
      <c r="J96" s="1001"/>
      <c r="K96" s="302"/>
      <c r="L96" s="363"/>
      <c r="M96" s="330"/>
      <c r="N96" s="331"/>
      <c r="O96" s="338"/>
      <c r="P96" s="339"/>
      <c r="Q96" s="346"/>
      <c r="R96" s="347"/>
      <c r="S96" s="354"/>
      <c r="T96" s="355"/>
      <c r="U96" s="302"/>
    </row>
    <row r="97" spans="2:21" ht="14.1" customHeight="1" x14ac:dyDescent="0.15">
      <c r="B97" s="302"/>
      <c r="C97" s="325">
        <v>84</v>
      </c>
      <c r="D97" s="999"/>
      <c r="E97" s="1000"/>
      <c r="F97" s="1000"/>
      <c r="G97" s="1000"/>
      <c r="H97" s="1000"/>
      <c r="I97" s="1000"/>
      <c r="J97" s="1001"/>
      <c r="K97" s="302"/>
      <c r="L97" s="363"/>
      <c r="M97" s="330"/>
      <c r="N97" s="331"/>
      <c r="O97" s="338"/>
      <c r="P97" s="339"/>
      <c r="Q97" s="346"/>
      <c r="R97" s="347"/>
      <c r="S97" s="354"/>
      <c r="T97" s="355"/>
      <c r="U97" s="302"/>
    </row>
    <row r="98" spans="2:21" ht="14.1" customHeight="1" x14ac:dyDescent="0.15">
      <c r="B98" s="302"/>
      <c r="C98" s="325">
        <v>85</v>
      </c>
      <c r="D98" s="999"/>
      <c r="E98" s="1000"/>
      <c r="F98" s="1000"/>
      <c r="G98" s="1000"/>
      <c r="H98" s="1000"/>
      <c r="I98" s="1000"/>
      <c r="J98" s="1001"/>
      <c r="K98" s="302"/>
      <c r="L98" s="363"/>
      <c r="M98" s="330"/>
      <c r="N98" s="331"/>
      <c r="O98" s="338"/>
      <c r="P98" s="339"/>
      <c r="Q98" s="346"/>
      <c r="R98" s="347"/>
      <c r="S98" s="354"/>
      <c r="T98" s="355"/>
      <c r="U98" s="302"/>
    </row>
    <row r="99" spans="2:21" ht="14.1" customHeight="1" x14ac:dyDescent="0.15">
      <c r="B99" s="302"/>
      <c r="C99" s="325">
        <v>86</v>
      </c>
      <c r="D99" s="999"/>
      <c r="E99" s="1000"/>
      <c r="F99" s="1000"/>
      <c r="G99" s="1000"/>
      <c r="H99" s="1000"/>
      <c r="I99" s="1000"/>
      <c r="J99" s="1001"/>
      <c r="K99" s="302"/>
      <c r="L99" s="363"/>
      <c r="M99" s="330"/>
      <c r="N99" s="331"/>
      <c r="O99" s="338"/>
      <c r="P99" s="339"/>
      <c r="Q99" s="346"/>
      <c r="R99" s="347"/>
      <c r="S99" s="354"/>
      <c r="T99" s="355"/>
      <c r="U99" s="302"/>
    </row>
    <row r="100" spans="2:21" ht="14.1" customHeight="1" x14ac:dyDescent="0.15">
      <c r="B100" s="302"/>
      <c r="C100" s="325">
        <v>87</v>
      </c>
      <c r="D100" s="999"/>
      <c r="E100" s="1000"/>
      <c r="F100" s="1000"/>
      <c r="G100" s="1000"/>
      <c r="H100" s="1000"/>
      <c r="I100" s="1000"/>
      <c r="J100" s="1001"/>
      <c r="K100" s="302"/>
      <c r="L100" s="363"/>
      <c r="M100" s="330"/>
      <c r="N100" s="331"/>
      <c r="O100" s="338"/>
      <c r="P100" s="339"/>
      <c r="Q100" s="346"/>
      <c r="R100" s="347"/>
      <c r="S100" s="354"/>
      <c r="T100" s="355"/>
      <c r="U100" s="302"/>
    </row>
    <row r="101" spans="2:21" ht="14.1" customHeight="1" x14ac:dyDescent="0.15">
      <c r="B101" s="302"/>
      <c r="C101" s="325">
        <v>88</v>
      </c>
      <c r="D101" s="999"/>
      <c r="E101" s="1000"/>
      <c r="F101" s="1000"/>
      <c r="G101" s="1000"/>
      <c r="H101" s="1000"/>
      <c r="I101" s="1000"/>
      <c r="J101" s="1001"/>
      <c r="K101" s="302"/>
      <c r="L101" s="363"/>
      <c r="M101" s="330"/>
      <c r="N101" s="331"/>
      <c r="O101" s="338"/>
      <c r="P101" s="339"/>
      <c r="Q101" s="346"/>
      <c r="R101" s="347"/>
      <c r="S101" s="354"/>
      <c r="T101" s="355"/>
      <c r="U101" s="302"/>
    </row>
    <row r="102" spans="2:21" ht="14.1" customHeight="1" x14ac:dyDescent="0.15">
      <c r="B102" s="302"/>
      <c r="C102" s="325">
        <v>89</v>
      </c>
      <c r="D102" s="999"/>
      <c r="E102" s="1000"/>
      <c r="F102" s="1000"/>
      <c r="G102" s="1000"/>
      <c r="H102" s="1000"/>
      <c r="I102" s="1000"/>
      <c r="J102" s="1001"/>
      <c r="K102" s="302"/>
      <c r="L102" s="363"/>
      <c r="M102" s="330"/>
      <c r="N102" s="331"/>
      <c r="O102" s="338"/>
      <c r="P102" s="339"/>
      <c r="Q102" s="346"/>
      <c r="R102" s="347"/>
      <c r="S102" s="354"/>
      <c r="T102" s="355"/>
      <c r="U102" s="302"/>
    </row>
    <row r="103" spans="2:21" ht="14.1" customHeight="1" x14ac:dyDescent="0.15">
      <c r="B103" s="302"/>
      <c r="C103" s="325">
        <v>90</v>
      </c>
      <c r="D103" s="999"/>
      <c r="E103" s="1000"/>
      <c r="F103" s="1000"/>
      <c r="G103" s="1000"/>
      <c r="H103" s="1000"/>
      <c r="I103" s="1000"/>
      <c r="J103" s="1001"/>
      <c r="K103" s="302"/>
      <c r="L103" s="363"/>
      <c r="M103" s="330"/>
      <c r="N103" s="331"/>
      <c r="O103" s="338"/>
      <c r="P103" s="339"/>
      <c r="Q103" s="346"/>
      <c r="R103" s="347"/>
      <c r="S103" s="354"/>
      <c r="T103" s="355"/>
      <c r="U103" s="302"/>
    </row>
    <row r="104" spans="2:21" ht="14.1" customHeight="1" x14ac:dyDescent="0.15">
      <c r="B104" s="302"/>
      <c r="C104" s="325">
        <v>91</v>
      </c>
      <c r="D104" s="999"/>
      <c r="E104" s="1000"/>
      <c r="F104" s="1000"/>
      <c r="G104" s="1000"/>
      <c r="H104" s="1000"/>
      <c r="I104" s="1000"/>
      <c r="J104" s="1001"/>
      <c r="K104" s="302"/>
      <c r="L104" s="363"/>
      <c r="M104" s="330"/>
      <c r="N104" s="331"/>
      <c r="O104" s="338"/>
      <c r="P104" s="339"/>
      <c r="Q104" s="346"/>
      <c r="R104" s="347"/>
      <c r="S104" s="354"/>
      <c r="T104" s="355"/>
      <c r="U104" s="302"/>
    </row>
    <row r="105" spans="2:21" ht="14.1" customHeight="1" x14ac:dyDescent="0.15">
      <c r="B105" s="302"/>
      <c r="C105" s="325">
        <v>92</v>
      </c>
      <c r="D105" s="999"/>
      <c r="E105" s="1000"/>
      <c r="F105" s="1000"/>
      <c r="G105" s="1000"/>
      <c r="H105" s="1000"/>
      <c r="I105" s="1000"/>
      <c r="J105" s="1001"/>
      <c r="K105" s="302"/>
      <c r="L105" s="363"/>
      <c r="M105" s="330"/>
      <c r="N105" s="331"/>
      <c r="O105" s="338"/>
      <c r="P105" s="339"/>
      <c r="Q105" s="346"/>
      <c r="R105" s="347"/>
      <c r="S105" s="354"/>
      <c r="T105" s="355"/>
      <c r="U105" s="302"/>
    </row>
    <row r="106" spans="2:21" ht="14.1" customHeight="1" x14ac:dyDescent="0.15">
      <c r="B106" s="302"/>
      <c r="C106" s="325">
        <v>93</v>
      </c>
      <c r="D106" s="999"/>
      <c r="E106" s="1000"/>
      <c r="F106" s="1000"/>
      <c r="G106" s="1000"/>
      <c r="H106" s="1000"/>
      <c r="I106" s="1000"/>
      <c r="J106" s="1001"/>
      <c r="K106" s="302"/>
      <c r="L106" s="363"/>
      <c r="M106" s="330"/>
      <c r="N106" s="331"/>
      <c r="O106" s="338"/>
      <c r="P106" s="339"/>
      <c r="Q106" s="346"/>
      <c r="R106" s="347"/>
      <c r="S106" s="354"/>
      <c r="T106" s="355"/>
      <c r="U106" s="302"/>
    </row>
    <row r="107" spans="2:21" ht="14.1" customHeight="1" x14ac:dyDescent="0.15">
      <c r="B107" s="302"/>
      <c r="C107" s="325">
        <v>94</v>
      </c>
      <c r="D107" s="999"/>
      <c r="E107" s="1000"/>
      <c r="F107" s="1000"/>
      <c r="G107" s="1000"/>
      <c r="H107" s="1000"/>
      <c r="I107" s="1000"/>
      <c r="J107" s="1001"/>
      <c r="K107" s="302"/>
      <c r="L107" s="363"/>
      <c r="M107" s="330"/>
      <c r="N107" s="331"/>
      <c r="O107" s="338"/>
      <c r="P107" s="339"/>
      <c r="Q107" s="346"/>
      <c r="R107" s="347"/>
      <c r="S107" s="354"/>
      <c r="T107" s="355"/>
      <c r="U107" s="302"/>
    </row>
    <row r="108" spans="2:21" ht="14.1" customHeight="1" x14ac:dyDescent="0.15">
      <c r="B108" s="302"/>
      <c r="C108" s="325">
        <v>95</v>
      </c>
      <c r="D108" s="999"/>
      <c r="E108" s="1000"/>
      <c r="F108" s="1000"/>
      <c r="G108" s="1000"/>
      <c r="H108" s="1000"/>
      <c r="I108" s="1000"/>
      <c r="J108" s="1001"/>
      <c r="K108" s="302"/>
      <c r="L108" s="363"/>
      <c r="M108" s="330"/>
      <c r="N108" s="331"/>
      <c r="O108" s="338"/>
      <c r="P108" s="339"/>
      <c r="Q108" s="346"/>
      <c r="R108" s="347"/>
      <c r="S108" s="354"/>
      <c r="T108" s="355"/>
      <c r="U108" s="302"/>
    </row>
    <row r="109" spans="2:21" ht="14.1" customHeight="1" x14ac:dyDescent="0.15">
      <c r="B109" s="302"/>
      <c r="C109" s="325">
        <v>96</v>
      </c>
      <c r="D109" s="999"/>
      <c r="E109" s="1000"/>
      <c r="F109" s="1000"/>
      <c r="G109" s="1000"/>
      <c r="H109" s="1000"/>
      <c r="I109" s="1000"/>
      <c r="J109" s="1001"/>
      <c r="K109" s="302"/>
      <c r="L109" s="363"/>
      <c r="M109" s="330"/>
      <c r="N109" s="331"/>
      <c r="O109" s="338"/>
      <c r="P109" s="339"/>
      <c r="Q109" s="346"/>
      <c r="R109" s="347"/>
      <c r="S109" s="354"/>
      <c r="T109" s="355"/>
      <c r="U109" s="302"/>
    </row>
    <row r="110" spans="2:21" ht="14.1" customHeight="1" x14ac:dyDescent="0.15">
      <c r="B110" s="302"/>
      <c r="C110" s="325">
        <v>97</v>
      </c>
      <c r="D110" s="999"/>
      <c r="E110" s="1000"/>
      <c r="F110" s="1000"/>
      <c r="G110" s="1000"/>
      <c r="H110" s="1000"/>
      <c r="I110" s="1000"/>
      <c r="J110" s="1001"/>
      <c r="K110" s="302"/>
      <c r="L110" s="363"/>
      <c r="M110" s="330"/>
      <c r="N110" s="331"/>
      <c r="O110" s="338"/>
      <c r="P110" s="339"/>
      <c r="Q110" s="346"/>
      <c r="R110" s="347"/>
      <c r="S110" s="354"/>
      <c r="T110" s="355"/>
      <c r="U110" s="302"/>
    </row>
    <row r="111" spans="2:21" ht="14.1" customHeight="1" x14ac:dyDescent="0.15">
      <c r="B111" s="302"/>
      <c r="C111" s="325">
        <v>98</v>
      </c>
      <c r="D111" s="999"/>
      <c r="E111" s="1000"/>
      <c r="F111" s="1000"/>
      <c r="G111" s="1000"/>
      <c r="H111" s="1000"/>
      <c r="I111" s="1000"/>
      <c r="J111" s="1001"/>
      <c r="K111" s="302"/>
      <c r="L111" s="363"/>
      <c r="M111" s="330"/>
      <c r="N111" s="331"/>
      <c r="O111" s="338"/>
      <c r="P111" s="339"/>
      <c r="Q111" s="346"/>
      <c r="R111" s="347"/>
      <c r="S111" s="354"/>
      <c r="T111" s="355"/>
      <c r="U111" s="302"/>
    </row>
    <row r="112" spans="2:21" ht="14.1" customHeight="1" x14ac:dyDescent="0.15">
      <c r="B112" s="302"/>
      <c r="C112" s="325">
        <v>99</v>
      </c>
      <c r="D112" s="999"/>
      <c r="E112" s="1000"/>
      <c r="F112" s="1000"/>
      <c r="G112" s="1000"/>
      <c r="H112" s="1000"/>
      <c r="I112" s="1000"/>
      <c r="J112" s="1001"/>
      <c r="K112" s="302"/>
      <c r="L112" s="363"/>
      <c r="M112" s="330"/>
      <c r="N112" s="331"/>
      <c r="O112" s="338"/>
      <c r="P112" s="339"/>
      <c r="Q112" s="346"/>
      <c r="R112" s="347"/>
      <c r="S112" s="354"/>
      <c r="T112" s="355"/>
      <c r="U112" s="302"/>
    </row>
    <row r="113" spans="2:21" ht="14.1" customHeight="1" x14ac:dyDescent="0.15">
      <c r="B113" s="302"/>
      <c r="C113" s="325">
        <v>100</v>
      </c>
      <c r="D113" s="999"/>
      <c r="E113" s="1000"/>
      <c r="F113" s="1000"/>
      <c r="G113" s="1000"/>
      <c r="H113" s="1000"/>
      <c r="I113" s="1000"/>
      <c r="J113" s="1001"/>
      <c r="K113" s="302"/>
      <c r="L113" s="363"/>
      <c r="M113" s="330"/>
      <c r="N113" s="331"/>
      <c r="O113" s="338"/>
      <c r="P113" s="339"/>
      <c r="Q113" s="346"/>
      <c r="R113" s="347"/>
      <c r="S113" s="354"/>
      <c r="T113" s="355"/>
      <c r="U113" s="302"/>
    </row>
    <row r="114" spans="2:21" ht="14.1" customHeight="1" x14ac:dyDescent="0.15">
      <c r="B114" s="302"/>
      <c r="C114" s="325">
        <v>101</v>
      </c>
      <c r="D114" s="999"/>
      <c r="E114" s="1000"/>
      <c r="F114" s="1000"/>
      <c r="G114" s="1000"/>
      <c r="H114" s="1000"/>
      <c r="I114" s="1000"/>
      <c r="J114" s="1001"/>
      <c r="K114" s="302"/>
      <c r="L114" s="363"/>
      <c r="M114" s="330"/>
      <c r="N114" s="331"/>
      <c r="O114" s="338"/>
      <c r="P114" s="339"/>
      <c r="Q114" s="346"/>
      <c r="R114" s="347"/>
      <c r="S114" s="354"/>
      <c r="T114" s="355"/>
      <c r="U114" s="302"/>
    </row>
    <row r="115" spans="2:21" ht="14.1" customHeight="1" x14ac:dyDescent="0.15">
      <c r="B115" s="302"/>
      <c r="C115" s="325">
        <v>102</v>
      </c>
      <c r="D115" s="999"/>
      <c r="E115" s="1000"/>
      <c r="F115" s="1000"/>
      <c r="G115" s="1000"/>
      <c r="H115" s="1000"/>
      <c r="I115" s="1000"/>
      <c r="J115" s="1001"/>
      <c r="K115" s="302"/>
      <c r="L115" s="363"/>
      <c r="M115" s="330"/>
      <c r="N115" s="331"/>
      <c r="O115" s="338"/>
      <c r="P115" s="339"/>
      <c r="Q115" s="346"/>
      <c r="R115" s="347"/>
      <c r="S115" s="354"/>
      <c r="T115" s="355"/>
      <c r="U115" s="302"/>
    </row>
    <row r="116" spans="2:21" ht="14.1" customHeight="1" x14ac:dyDescent="0.15">
      <c r="B116" s="302"/>
      <c r="C116" s="325">
        <v>103</v>
      </c>
      <c r="D116" s="999"/>
      <c r="E116" s="1000"/>
      <c r="F116" s="1000"/>
      <c r="G116" s="1000"/>
      <c r="H116" s="1000"/>
      <c r="I116" s="1000"/>
      <c r="J116" s="1001"/>
      <c r="K116" s="302"/>
      <c r="L116" s="363"/>
      <c r="M116" s="330"/>
      <c r="N116" s="331"/>
      <c r="O116" s="338"/>
      <c r="P116" s="339"/>
      <c r="Q116" s="346"/>
      <c r="R116" s="347"/>
      <c r="S116" s="354"/>
      <c r="T116" s="355"/>
      <c r="U116" s="302"/>
    </row>
    <row r="117" spans="2:21" ht="14.1" customHeight="1" x14ac:dyDescent="0.15">
      <c r="B117" s="302"/>
      <c r="C117" s="325">
        <v>104</v>
      </c>
      <c r="D117" s="999"/>
      <c r="E117" s="1000"/>
      <c r="F117" s="1000"/>
      <c r="G117" s="1000"/>
      <c r="H117" s="1000"/>
      <c r="I117" s="1000"/>
      <c r="J117" s="1001"/>
      <c r="K117" s="302"/>
      <c r="L117" s="363"/>
      <c r="M117" s="330"/>
      <c r="N117" s="331"/>
      <c r="O117" s="338"/>
      <c r="P117" s="339"/>
      <c r="Q117" s="346"/>
      <c r="R117" s="347"/>
      <c r="S117" s="354"/>
      <c r="T117" s="355"/>
      <c r="U117" s="302"/>
    </row>
    <row r="118" spans="2:21" ht="14.1" customHeight="1" x14ac:dyDescent="0.15">
      <c r="B118" s="302"/>
      <c r="C118" s="325">
        <v>105</v>
      </c>
      <c r="D118" s="999"/>
      <c r="E118" s="1000"/>
      <c r="F118" s="1000"/>
      <c r="G118" s="1000"/>
      <c r="H118" s="1000"/>
      <c r="I118" s="1000"/>
      <c r="J118" s="1001"/>
      <c r="K118" s="302"/>
      <c r="L118" s="363"/>
      <c r="M118" s="330"/>
      <c r="N118" s="331"/>
      <c r="O118" s="338"/>
      <c r="P118" s="339"/>
      <c r="Q118" s="346"/>
      <c r="R118" s="347"/>
      <c r="S118" s="354"/>
      <c r="T118" s="355"/>
      <c r="U118" s="302"/>
    </row>
    <row r="119" spans="2:21" ht="14.1" customHeight="1" x14ac:dyDescent="0.15">
      <c r="B119" s="302"/>
      <c r="C119" s="325">
        <v>106</v>
      </c>
      <c r="D119" s="999"/>
      <c r="E119" s="1000"/>
      <c r="F119" s="1000"/>
      <c r="G119" s="1000"/>
      <c r="H119" s="1000"/>
      <c r="I119" s="1000"/>
      <c r="J119" s="1001"/>
      <c r="K119" s="302"/>
      <c r="L119" s="363"/>
      <c r="M119" s="330"/>
      <c r="N119" s="331"/>
      <c r="O119" s="338"/>
      <c r="P119" s="339"/>
      <c r="Q119" s="346"/>
      <c r="R119" s="347"/>
      <c r="S119" s="354"/>
      <c r="T119" s="355"/>
      <c r="U119" s="302"/>
    </row>
    <row r="120" spans="2:21" ht="14.1" customHeight="1" x14ac:dyDescent="0.15">
      <c r="B120" s="302"/>
      <c r="C120" s="325">
        <v>107</v>
      </c>
      <c r="D120" s="999"/>
      <c r="E120" s="1000"/>
      <c r="F120" s="1000"/>
      <c r="G120" s="1000"/>
      <c r="H120" s="1000"/>
      <c r="I120" s="1000"/>
      <c r="J120" s="1001"/>
      <c r="K120" s="302"/>
      <c r="L120" s="363"/>
      <c r="M120" s="330"/>
      <c r="N120" s="331"/>
      <c r="O120" s="338"/>
      <c r="P120" s="339"/>
      <c r="Q120" s="346"/>
      <c r="R120" s="347"/>
      <c r="S120" s="354"/>
      <c r="T120" s="355"/>
      <c r="U120" s="302"/>
    </row>
    <row r="121" spans="2:21" ht="14.1" customHeight="1" x14ac:dyDescent="0.15">
      <c r="B121" s="302"/>
      <c r="C121" s="325">
        <v>108</v>
      </c>
      <c r="D121" s="999"/>
      <c r="E121" s="1000"/>
      <c r="F121" s="1000"/>
      <c r="G121" s="1000"/>
      <c r="H121" s="1000"/>
      <c r="I121" s="1000"/>
      <c r="J121" s="1001"/>
      <c r="K121" s="302"/>
      <c r="L121" s="363"/>
      <c r="M121" s="330"/>
      <c r="N121" s="331"/>
      <c r="O121" s="338"/>
      <c r="P121" s="339"/>
      <c r="Q121" s="346"/>
      <c r="R121" s="347"/>
      <c r="S121" s="354"/>
      <c r="T121" s="355"/>
      <c r="U121" s="302"/>
    </row>
    <row r="122" spans="2:21" ht="14.1" customHeight="1" x14ac:dyDescent="0.15">
      <c r="B122" s="302"/>
      <c r="C122" s="325">
        <v>109</v>
      </c>
      <c r="D122" s="999"/>
      <c r="E122" s="1000"/>
      <c r="F122" s="1000"/>
      <c r="G122" s="1000"/>
      <c r="H122" s="1000"/>
      <c r="I122" s="1000"/>
      <c r="J122" s="1001"/>
      <c r="K122" s="302"/>
      <c r="L122" s="363"/>
      <c r="M122" s="330"/>
      <c r="N122" s="331"/>
      <c r="O122" s="338"/>
      <c r="P122" s="339"/>
      <c r="Q122" s="346"/>
      <c r="R122" s="347"/>
      <c r="S122" s="354"/>
      <c r="T122" s="355"/>
      <c r="U122" s="302"/>
    </row>
    <row r="123" spans="2:21" ht="14.1" customHeight="1" x14ac:dyDescent="0.15">
      <c r="B123" s="302"/>
      <c r="C123" s="325">
        <v>110</v>
      </c>
      <c r="D123" s="999"/>
      <c r="E123" s="1000"/>
      <c r="F123" s="1000"/>
      <c r="G123" s="1000"/>
      <c r="H123" s="1000"/>
      <c r="I123" s="1000"/>
      <c r="J123" s="1001"/>
      <c r="K123" s="302"/>
      <c r="L123" s="363"/>
      <c r="M123" s="330"/>
      <c r="N123" s="331"/>
      <c r="O123" s="338"/>
      <c r="P123" s="339"/>
      <c r="Q123" s="346"/>
      <c r="R123" s="347"/>
      <c r="S123" s="354"/>
      <c r="T123" s="355"/>
      <c r="U123" s="302"/>
    </row>
    <row r="124" spans="2:21" ht="14.1" customHeight="1" x14ac:dyDescent="0.15">
      <c r="B124" s="302"/>
      <c r="C124" s="325">
        <v>111</v>
      </c>
      <c r="D124" s="999"/>
      <c r="E124" s="1000"/>
      <c r="F124" s="1000"/>
      <c r="G124" s="1000"/>
      <c r="H124" s="1000"/>
      <c r="I124" s="1000"/>
      <c r="J124" s="1001"/>
      <c r="K124" s="302"/>
      <c r="L124" s="363"/>
      <c r="M124" s="330"/>
      <c r="N124" s="331"/>
      <c r="O124" s="338"/>
      <c r="P124" s="339"/>
      <c r="Q124" s="346"/>
      <c r="R124" s="347"/>
      <c r="S124" s="354"/>
      <c r="T124" s="355"/>
      <c r="U124" s="302"/>
    </row>
    <row r="125" spans="2:21" ht="14.1" customHeight="1" x14ac:dyDescent="0.15">
      <c r="B125" s="302"/>
      <c r="C125" s="325">
        <v>112</v>
      </c>
      <c r="D125" s="999"/>
      <c r="E125" s="1000"/>
      <c r="F125" s="1000"/>
      <c r="G125" s="1000"/>
      <c r="H125" s="1000"/>
      <c r="I125" s="1000"/>
      <c r="J125" s="1001"/>
      <c r="K125" s="302"/>
      <c r="L125" s="363"/>
      <c r="M125" s="330"/>
      <c r="N125" s="331"/>
      <c r="O125" s="338"/>
      <c r="P125" s="339"/>
      <c r="Q125" s="346"/>
      <c r="R125" s="347"/>
      <c r="S125" s="354"/>
      <c r="T125" s="355"/>
      <c r="U125" s="302"/>
    </row>
    <row r="126" spans="2:21" ht="14.1" customHeight="1" x14ac:dyDescent="0.15">
      <c r="B126" s="302"/>
      <c r="C126" s="325">
        <v>113</v>
      </c>
      <c r="D126" s="999"/>
      <c r="E126" s="1000"/>
      <c r="F126" s="1000"/>
      <c r="G126" s="1000"/>
      <c r="H126" s="1000"/>
      <c r="I126" s="1000"/>
      <c r="J126" s="1001"/>
      <c r="K126" s="302"/>
      <c r="L126" s="363"/>
      <c r="M126" s="330"/>
      <c r="N126" s="331"/>
      <c r="O126" s="338"/>
      <c r="P126" s="339"/>
      <c r="Q126" s="346"/>
      <c r="R126" s="347"/>
      <c r="S126" s="354"/>
      <c r="T126" s="355"/>
      <c r="U126" s="302"/>
    </row>
    <row r="127" spans="2:21" ht="14.1" customHeight="1" x14ac:dyDescent="0.15">
      <c r="B127" s="302"/>
      <c r="C127" s="325">
        <v>114</v>
      </c>
      <c r="D127" s="999"/>
      <c r="E127" s="1000"/>
      <c r="F127" s="1000"/>
      <c r="G127" s="1000"/>
      <c r="H127" s="1000"/>
      <c r="I127" s="1000"/>
      <c r="J127" s="1001"/>
      <c r="K127" s="302"/>
      <c r="L127" s="363"/>
      <c r="M127" s="330"/>
      <c r="N127" s="331"/>
      <c r="O127" s="338"/>
      <c r="P127" s="339"/>
      <c r="Q127" s="346"/>
      <c r="R127" s="347"/>
      <c r="S127" s="354"/>
      <c r="T127" s="355"/>
      <c r="U127" s="302"/>
    </row>
    <row r="128" spans="2:21" ht="14.1" customHeight="1" x14ac:dyDescent="0.15">
      <c r="B128" s="302"/>
      <c r="C128" s="325">
        <v>115</v>
      </c>
      <c r="D128" s="999"/>
      <c r="E128" s="1000"/>
      <c r="F128" s="1000"/>
      <c r="G128" s="1000"/>
      <c r="H128" s="1000"/>
      <c r="I128" s="1000"/>
      <c r="J128" s="1001"/>
      <c r="K128" s="302"/>
      <c r="L128" s="363"/>
      <c r="M128" s="330"/>
      <c r="N128" s="331"/>
      <c r="O128" s="338"/>
      <c r="P128" s="339"/>
      <c r="Q128" s="346"/>
      <c r="R128" s="347"/>
      <c r="S128" s="354"/>
      <c r="T128" s="355"/>
      <c r="U128" s="302"/>
    </row>
    <row r="129" spans="2:21" ht="14.1" customHeight="1" x14ac:dyDescent="0.15">
      <c r="B129" s="302"/>
      <c r="C129" s="325">
        <v>116</v>
      </c>
      <c r="D129" s="999"/>
      <c r="E129" s="1000"/>
      <c r="F129" s="1000"/>
      <c r="G129" s="1000"/>
      <c r="H129" s="1000"/>
      <c r="I129" s="1000"/>
      <c r="J129" s="1001"/>
      <c r="K129" s="302"/>
      <c r="L129" s="363"/>
      <c r="M129" s="330"/>
      <c r="N129" s="331"/>
      <c r="O129" s="338"/>
      <c r="P129" s="339"/>
      <c r="Q129" s="346"/>
      <c r="R129" s="347"/>
      <c r="S129" s="354"/>
      <c r="T129" s="355"/>
      <c r="U129" s="302"/>
    </row>
    <row r="130" spans="2:21" ht="14.1" customHeight="1" x14ac:dyDescent="0.15">
      <c r="B130" s="302"/>
      <c r="C130" s="325">
        <v>117</v>
      </c>
      <c r="D130" s="999"/>
      <c r="E130" s="1000"/>
      <c r="F130" s="1000"/>
      <c r="G130" s="1000"/>
      <c r="H130" s="1000"/>
      <c r="I130" s="1000"/>
      <c r="J130" s="1001"/>
      <c r="K130" s="302"/>
      <c r="L130" s="363"/>
      <c r="M130" s="330"/>
      <c r="N130" s="331"/>
      <c r="O130" s="338"/>
      <c r="P130" s="339"/>
      <c r="Q130" s="346"/>
      <c r="R130" s="347"/>
      <c r="S130" s="354"/>
      <c r="T130" s="355"/>
      <c r="U130" s="302"/>
    </row>
    <row r="131" spans="2:21" ht="14.1" customHeight="1" x14ac:dyDescent="0.15">
      <c r="B131" s="302"/>
      <c r="C131" s="325">
        <v>118</v>
      </c>
      <c r="D131" s="999"/>
      <c r="E131" s="1000"/>
      <c r="F131" s="1000"/>
      <c r="G131" s="1000"/>
      <c r="H131" s="1000"/>
      <c r="I131" s="1000"/>
      <c r="J131" s="1001"/>
      <c r="K131" s="302"/>
      <c r="L131" s="363"/>
      <c r="M131" s="330"/>
      <c r="N131" s="331"/>
      <c r="O131" s="338"/>
      <c r="P131" s="339"/>
      <c r="Q131" s="346"/>
      <c r="R131" s="347"/>
      <c r="S131" s="354"/>
      <c r="T131" s="355"/>
      <c r="U131" s="302"/>
    </row>
    <row r="132" spans="2:21" ht="14.1" customHeight="1" x14ac:dyDescent="0.15">
      <c r="B132" s="302"/>
      <c r="C132" s="325">
        <v>119</v>
      </c>
      <c r="D132" s="999"/>
      <c r="E132" s="1000"/>
      <c r="F132" s="1000"/>
      <c r="G132" s="1000"/>
      <c r="H132" s="1000"/>
      <c r="I132" s="1000"/>
      <c r="J132" s="1001"/>
      <c r="K132" s="302"/>
      <c r="L132" s="363"/>
      <c r="M132" s="330"/>
      <c r="N132" s="331"/>
      <c r="O132" s="338"/>
      <c r="P132" s="339"/>
      <c r="Q132" s="346"/>
      <c r="R132" s="347"/>
      <c r="S132" s="354"/>
      <c r="T132" s="355"/>
      <c r="U132" s="302"/>
    </row>
    <row r="133" spans="2:21" ht="14.1" customHeight="1" x14ac:dyDescent="0.15">
      <c r="B133" s="302"/>
      <c r="C133" s="325">
        <v>120</v>
      </c>
      <c r="D133" s="999"/>
      <c r="E133" s="1000"/>
      <c r="F133" s="1000"/>
      <c r="G133" s="1000"/>
      <c r="H133" s="1000"/>
      <c r="I133" s="1000"/>
      <c r="J133" s="1001"/>
      <c r="K133" s="302"/>
      <c r="L133" s="363"/>
      <c r="M133" s="330"/>
      <c r="N133" s="331"/>
      <c r="O133" s="338"/>
      <c r="P133" s="339"/>
      <c r="Q133" s="346"/>
      <c r="R133" s="347"/>
      <c r="S133" s="354"/>
      <c r="T133" s="355"/>
      <c r="U133" s="302"/>
    </row>
    <row r="134" spans="2:21" ht="14.1" customHeight="1" x14ac:dyDescent="0.15">
      <c r="B134" s="302"/>
      <c r="C134" s="325">
        <v>121</v>
      </c>
      <c r="D134" s="999"/>
      <c r="E134" s="1000"/>
      <c r="F134" s="1000"/>
      <c r="G134" s="1000"/>
      <c r="H134" s="1000"/>
      <c r="I134" s="1000"/>
      <c r="J134" s="1001"/>
      <c r="K134" s="302"/>
      <c r="L134" s="363"/>
      <c r="M134" s="330"/>
      <c r="N134" s="331"/>
      <c r="O134" s="338"/>
      <c r="P134" s="339"/>
      <c r="Q134" s="346"/>
      <c r="R134" s="347"/>
      <c r="S134" s="354"/>
      <c r="T134" s="355"/>
      <c r="U134" s="302"/>
    </row>
    <row r="135" spans="2:21" ht="14.1" customHeight="1" x14ac:dyDescent="0.15">
      <c r="B135" s="302"/>
      <c r="C135" s="325">
        <v>122</v>
      </c>
      <c r="D135" s="999"/>
      <c r="E135" s="1000"/>
      <c r="F135" s="1000"/>
      <c r="G135" s="1000"/>
      <c r="H135" s="1000"/>
      <c r="I135" s="1000"/>
      <c r="J135" s="1001"/>
      <c r="K135" s="302"/>
      <c r="L135" s="363"/>
      <c r="M135" s="330"/>
      <c r="N135" s="331"/>
      <c r="O135" s="338"/>
      <c r="P135" s="339"/>
      <c r="Q135" s="346"/>
      <c r="R135" s="347"/>
      <c r="S135" s="354"/>
      <c r="T135" s="355"/>
      <c r="U135" s="302"/>
    </row>
    <row r="136" spans="2:21" ht="14.1" customHeight="1" x14ac:dyDescent="0.15">
      <c r="B136" s="302"/>
      <c r="C136" s="325">
        <v>123</v>
      </c>
      <c r="D136" s="999"/>
      <c r="E136" s="1000"/>
      <c r="F136" s="1000"/>
      <c r="G136" s="1000"/>
      <c r="H136" s="1000"/>
      <c r="I136" s="1000"/>
      <c r="J136" s="1001"/>
      <c r="K136" s="302"/>
      <c r="L136" s="363"/>
      <c r="M136" s="330"/>
      <c r="N136" s="331"/>
      <c r="O136" s="338"/>
      <c r="P136" s="339"/>
      <c r="Q136" s="346"/>
      <c r="R136" s="347"/>
      <c r="S136" s="354"/>
      <c r="T136" s="355"/>
      <c r="U136" s="302"/>
    </row>
    <row r="137" spans="2:21" ht="14.1" customHeight="1" x14ac:dyDescent="0.15">
      <c r="B137" s="302"/>
      <c r="C137" s="325">
        <v>124</v>
      </c>
      <c r="D137" s="999"/>
      <c r="E137" s="1000"/>
      <c r="F137" s="1000"/>
      <c r="G137" s="1000"/>
      <c r="H137" s="1000"/>
      <c r="I137" s="1000"/>
      <c r="J137" s="1001"/>
      <c r="K137" s="302"/>
      <c r="L137" s="363"/>
      <c r="M137" s="330"/>
      <c r="N137" s="331"/>
      <c r="O137" s="338"/>
      <c r="P137" s="339"/>
      <c r="Q137" s="346"/>
      <c r="R137" s="347"/>
      <c r="S137" s="354"/>
      <c r="T137" s="355"/>
      <c r="U137" s="302"/>
    </row>
    <row r="138" spans="2:21" ht="14.1" customHeight="1" x14ac:dyDescent="0.15">
      <c r="B138" s="302"/>
      <c r="C138" s="325">
        <v>125</v>
      </c>
      <c r="D138" s="999"/>
      <c r="E138" s="1000"/>
      <c r="F138" s="1000"/>
      <c r="G138" s="1000"/>
      <c r="H138" s="1000"/>
      <c r="I138" s="1000"/>
      <c r="J138" s="1001"/>
      <c r="K138" s="302"/>
      <c r="L138" s="363"/>
      <c r="M138" s="330"/>
      <c r="N138" s="331"/>
      <c r="O138" s="338"/>
      <c r="P138" s="339"/>
      <c r="Q138" s="346"/>
      <c r="R138" s="347"/>
      <c r="S138" s="354"/>
      <c r="T138" s="355"/>
      <c r="U138" s="302"/>
    </row>
    <row r="139" spans="2:21" ht="14.1" customHeight="1" x14ac:dyDescent="0.15">
      <c r="B139" s="302"/>
      <c r="C139" s="325">
        <v>126</v>
      </c>
      <c r="D139" s="999"/>
      <c r="E139" s="1000"/>
      <c r="F139" s="1000"/>
      <c r="G139" s="1000"/>
      <c r="H139" s="1000"/>
      <c r="I139" s="1000"/>
      <c r="J139" s="1001"/>
      <c r="K139" s="302"/>
      <c r="L139" s="363"/>
      <c r="M139" s="330"/>
      <c r="N139" s="331"/>
      <c r="O139" s="338"/>
      <c r="P139" s="339"/>
      <c r="Q139" s="346"/>
      <c r="R139" s="347"/>
      <c r="S139" s="354"/>
      <c r="T139" s="355"/>
      <c r="U139" s="302"/>
    </row>
    <row r="140" spans="2:21" ht="14.1" customHeight="1" x14ac:dyDescent="0.15">
      <c r="B140" s="302"/>
      <c r="C140" s="325">
        <v>127</v>
      </c>
      <c r="D140" s="999"/>
      <c r="E140" s="1000"/>
      <c r="F140" s="1000"/>
      <c r="G140" s="1000"/>
      <c r="H140" s="1000"/>
      <c r="I140" s="1000"/>
      <c r="J140" s="1001"/>
      <c r="K140" s="302"/>
      <c r="L140" s="363"/>
      <c r="M140" s="330"/>
      <c r="N140" s="331"/>
      <c r="O140" s="338"/>
      <c r="P140" s="339"/>
      <c r="Q140" s="346"/>
      <c r="R140" s="347"/>
      <c r="S140" s="354"/>
      <c r="T140" s="355"/>
      <c r="U140" s="302"/>
    </row>
    <row r="141" spans="2:21" ht="14.1" customHeight="1" x14ac:dyDescent="0.15">
      <c r="B141" s="302"/>
      <c r="C141" s="325">
        <v>128</v>
      </c>
      <c r="D141" s="999"/>
      <c r="E141" s="1000"/>
      <c r="F141" s="1000"/>
      <c r="G141" s="1000"/>
      <c r="H141" s="1000"/>
      <c r="I141" s="1000"/>
      <c r="J141" s="1001"/>
      <c r="K141" s="302"/>
      <c r="L141" s="363"/>
      <c r="M141" s="330"/>
      <c r="N141" s="331"/>
      <c r="O141" s="338"/>
      <c r="P141" s="339"/>
      <c r="Q141" s="346"/>
      <c r="R141" s="347"/>
      <c r="S141" s="354"/>
      <c r="T141" s="355"/>
      <c r="U141" s="302"/>
    </row>
    <row r="142" spans="2:21" ht="14.1" customHeight="1" x14ac:dyDescent="0.15">
      <c r="B142" s="302"/>
      <c r="C142" s="325">
        <v>129</v>
      </c>
      <c r="D142" s="999"/>
      <c r="E142" s="1000"/>
      <c r="F142" s="1000"/>
      <c r="G142" s="1000"/>
      <c r="H142" s="1000"/>
      <c r="I142" s="1000"/>
      <c r="J142" s="1001"/>
      <c r="K142" s="302"/>
      <c r="L142" s="363"/>
      <c r="M142" s="330"/>
      <c r="N142" s="331"/>
      <c r="O142" s="338"/>
      <c r="P142" s="339"/>
      <c r="Q142" s="346"/>
      <c r="R142" s="347"/>
      <c r="S142" s="354"/>
      <c r="T142" s="355"/>
      <c r="U142" s="302"/>
    </row>
    <row r="143" spans="2:21" ht="14.1" customHeight="1" x14ac:dyDescent="0.15">
      <c r="B143" s="302"/>
      <c r="C143" s="325">
        <v>130</v>
      </c>
      <c r="D143" s="999"/>
      <c r="E143" s="1000"/>
      <c r="F143" s="1000"/>
      <c r="G143" s="1000"/>
      <c r="H143" s="1000"/>
      <c r="I143" s="1000"/>
      <c r="J143" s="1001"/>
      <c r="K143" s="302"/>
      <c r="L143" s="363"/>
      <c r="M143" s="330"/>
      <c r="N143" s="331"/>
      <c r="O143" s="338"/>
      <c r="P143" s="339"/>
      <c r="Q143" s="346"/>
      <c r="R143" s="347"/>
      <c r="S143" s="354"/>
      <c r="T143" s="355"/>
      <c r="U143" s="302"/>
    </row>
    <row r="144" spans="2:21" ht="14.1" customHeight="1" x14ac:dyDescent="0.15">
      <c r="B144" s="302"/>
      <c r="C144" s="325">
        <v>131</v>
      </c>
      <c r="D144" s="999"/>
      <c r="E144" s="1000"/>
      <c r="F144" s="1000"/>
      <c r="G144" s="1000"/>
      <c r="H144" s="1000"/>
      <c r="I144" s="1000"/>
      <c r="J144" s="1001"/>
      <c r="K144" s="302"/>
      <c r="L144" s="363"/>
      <c r="M144" s="330"/>
      <c r="N144" s="331"/>
      <c r="O144" s="338"/>
      <c r="P144" s="339"/>
      <c r="Q144" s="346"/>
      <c r="R144" s="347"/>
      <c r="S144" s="354"/>
      <c r="T144" s="355"/>
      <c r="U144" s="302"/>
    </row>
    <row r="145" spans="2:21" ht="14.1" customHeight="1" x14ac:dyDescent="0.15">
      <c r="B145" s="302"/>
      <c r="C145" s="325">
        <v>132</v>
      </c>
      <c r="D145" s="999"/>
      <c r="E145" s="1000"/>
      <c r="F145" s="1000"/>
      <c r="G145" s="1000"/>
      <c r="H145" s="1000"/>
      <c r="I145" s="1000"/>
      <c r="J145" s="1001"/>
      <c r="K145" s="302"/>
      <c r="L145" s="363"/>
      <c r="M145" s="330"/>
      <c r="N145" s="331"/>
      <c r="O145" s="338"/>
      <c r="P145" s="339"/>
      <c r="Q145" s="346"/>
      <c r="R145" s="347"/>
      <c r="S145" s="354"/>
      <c r="T145" s="355"/>
      <c r="U145" s="302"/>
    </row>
    <row r="146" spans="2:21" ht="14.1" customHeight="1" x14ac:dyDescent="0.15">
      <c r="B146" s="302"/>
      <c r="C146" s="325">
        <v>133</v>
      </c>
      <c r="D146" s="999"/>
      <c r="E146" s="1000"/>
      <c r="F146" s="1000"/>
      <c r="G146" s="1000"/>
      <c r="H146" s="1000"/>
      <c r="I146" s="1000"/>
      <c r="J146" s="1001"/>
      <c r="K146" s="302"/>
      <c r="L146" s="363"/>
      <c r="M146" s="330"/>
      <c r="N146" s="331"/>
      <c r="O146" s="338"/>
      <c r="P146" s="339"/>
      <c r="Q146" s="346"/>
      <c r="R146" s="347"/>
      <c r="S146" s="354"/>
      <c r="T146" s="355"/>
      <c r="U146" s="302"/>
    </row>
    <row r="147" spans="2:21" ht="14.1" customHeight="1" x14ac:dyDescent="0.15">
      <c r="B147" s="302"/>
      <c r="C147" s="325">
        <v>134</v>
      </c>
      <c r="D147" s="999"/>
      <c r="E147" s="1000"/>
      <c r="F147" s="1000"/>
      <c r="G147" s="1000"/>
      <c r="H147" s="1000"/>
      <c r="I147" s="1000"/>
      <c r="J147" s="1001"/>
      <c r="K147" s="302"/>
      <c r="L147" s="363"/>
      <c r="M147" s="330"/>
      <c r="N147" s="331"/>
      <c r="O147" s="338"/>
      <c r="P147" s="339"/>
      <c r="Q147" s="346"/>
      <c r="R147" s="347"/>
      <c r="S147" s="354"/>
      <c r="T147" s="355"/>
      <c r="U147" s="302"/>
    </row>
    <row r="148" spans="2:21" ht="14.1" customHeight="1" x14ac:dyDescent="0.15">
      <c r="B148" s="302"/>
      <c r="C148" s="325">
        <v>135</v>
      </c>
      <c r="D148" s="999"/>
      <c r="E148" s="1000"/>
      <c r="F148" s="1000"/>
      <c r="G148" s="1000"/>
      <c r="H148" s="1000"/>
      <c r="I148" s="1000"/>
      <c r="J148" s="1001"/>
      <c r="K148" s="302"/>
      <c r="L148" s="363"/>
      <c r="M148" s="330"/>
      <c r="N148" s="331"/>
      <c r="O148" s="338"/>
      <c r="P148" s="339"/>
      <c r="Q148" s="346"/>
      <c r="R148" s="347"/>
      <c r="S148" s="354"/>
      <c r="T148" s="355"/>
      <c r="U148" s="302"/>
    </row>
    <row r="149" spans="2:21" ht="14.1" customHeight="1" x14ac:dyDescent="0.15">
      <c r="B149" s="302"/>
      <c r="C149" s="325">
        <v>136</v>
      </c>
      <c r="D149" s="999"/>
      <c r="E149" s="1000"/>
      <c r="F149" s="1000"/>
      <c r="G149" s="1000"/>
      <c r="H149" s="1000"/>
      <c r="I149" s="1000"/>
      <c r="J149" s="1001"/>
      <c r="K149" s="302"/>
      <c r="L149" s="363"/>
      <c r="M149" s="330"/>
      <c r="N149" s="331"/>
      <c r="O149" s="338"/>
      <c r="P149" s="339"/>
      <c r="Q149" s="346"/>
      <c r="R149" s="347"/>
      <c r="S149" s="354"/>
      <c r="T149" s="355"/>
      <c r="U149" s="302"/>
    </row>
    <row r="150" spans="2:21" ht="14.1" customHeight="1" x14ac:dyDescent="0.15">
      <c r="B150" s="302"/>
      <c r="C150" s="325">
        <v>137</v>
      </c>
      <c r="D150" s="999"/>
      <c r="E150" s="1000"/>
      <c r="F150" s="1000"/>
      <c r="G150" s="1000"/>
      <c r="H150" s="1000"/>
      <c r="I150" s="1000"/>
      <c r="J150" s="1001"/>
      <c r="K150" s="302"/>
      <c r="L150" s="363"/>
      <c r="M150" s="330"/>
      <c r="N150" s="331"/>
      <c r="O150" s="338"/>
      <c r="P150" s="339"/>
      <c r="Q150" s="346"/>
      <c r="R150" s="347"/>
      <c r="S150" s="354"/>
      <c r="T150" s="355"/>
      <c r="U150" s="302"/>
    </row>
    <row r="151" spans="2:21" ht="14.1" customHeight="1" x14ac:dyDescent="0.15">
      <c r="B151" s="302"/>
      <c r="C151" s="325">
        <v>138</v>
      </c>
      <c r="D151" s="999"/>
      <c r="E151" s="1000"/>
      <c r="F151" s="1000"/>
      <c r="G151" s="1000"/>
      <c r="H151" s="1000"/>
      <c r="I151" s="1000"/>
      <c r="J151" s="1001"/>
      <c r="K151" s="302"/>
      <c r="L151" s="363"/>
      <c r="M151" s="330"/>
      <c r="N151" s="331"/>
      <c r="O151" s="338"/>
      <c r="P151" s="339"/>
      <c r="Q151" s="346"/>
      <c r="R151" s="347"/>
      <c r="S151" s="354"/>
      <c r="T151" s="355"/>
      <c r="U151" s="302"/>
    </row>
    <row r="152" spans="2:21" ht="14.1" customHeight="1" x14ac:dyDescent="0.15">
      <c r="B152" s="302"/>
      <c r="C152" s="325">
        <v>139</v>
      </c>
      <c r="D152" s="999"/>
      <c r="E152" s="1000"/>
      <c r="F152" s="1000"/>
      <c r="G152" s="1000"/>
      <c r="H152" s="1000"/>
      <c r="I152" s="1000"/>
      <c r="J152" s="1001"/>
      <c r="K152" s="302"/>
      <c r="L152" s="363"/>
      <c r="M152" s="330"/>
      <c r="N152" s="331"/>
      <c r="O152" s="338"/>
      <c r="P152" s="339"/>
      <c r="Q152" s="346"/>
      <c r="R152" s="347"/>
      <c r="S152" s="354"/>
      <c r="T152" s="355"/>
      <c r="U152" s="302"/>
    </row>
    <row r="153" spans="2:21" ht="14.1" customHeight="1" x14ac:dyDescent="0.15">
      <c r="B153" s="302"/>
      <c r="C153" s="325">
        <v>140</v>
      </c>
      <c r="D153" s="999"/>
      <c r="E153" s="1000"/>
      <c r="F153" s="1000"/>
      <c r="G153" s="1000"/>
      <c r="H153" s="1000"/>
      <c r="I153" s="1000"/>
      <c r="J153" s="1001"/>
      <c r="K153" s="302"/>
      <c r="L153" s="363"/>
      <c r="M153" s="330"/>
      <c r="N153" s="331"/>
      <c r="O153" s="338"/>
      <c r="P153" s="339"/>
      <c r="Q153" s="346"/>
      <c r="R153" s="347"/>
      <c r="S153" s="354"/>
      <c r="T153" s="355"/>
      <c r="U153" s="302"/>
    </row>
    <row r="154" spans="2:21" ht="14.1" customHeight="1" x14ac:dyDescent="0.15">
      <c r="B154" s="302"/>
      <c r="C154" s="325">
        <v>141</v>
      </c>
      <c r="D154" s="999"/>
      <c r="E154" s="1000"/>
      <c r="F154" s="1000"/>
      <c r="G154" s="1000"/>
      <c r="H154" s="1000"/>
      <c r="I154" s="1000"/>
      <c r="J154" s="1001"/>
      <c r="K154" s="302"/>
      <c r="L154" s="363"/>
      <c r="M154" s="330"/>
      <c r="N154" s="331"/>
      <c r="O154" s="338"/>
      <c r="P154" s="339"/>
      <c r="Q154" s="346"/>
      <c r="R154" s="347"/>
      <c r="S154" s="354"/>
      <c r="T154" s="355"/>
      <c r="U154" s="302"/>
    </row>
    <row r="155" spans="2:21" ht="14.1" customHeight="1" x14ac:dyDescent="0.15">
      <c r="B155" s="302"/>
      <c r="C155" s="325">
        <v>142</v>
      </c>
      <c r="D155" s="999"/>
      <c r="E155" s="1000"/>
      <c r="F155" s="1000"/>
      <c r="G155" s="1000"/>
      <c r="H155" s="1000"/>
      <c r="I155" s="1000"/>
      <c r="J155" s="1001"/>
      <c r="K155" s="302"/>
      <c r="L155" s="363"/>
      <c r="M155" s="330"/>
      <c r="N155" s="331"/>
      <c r="O155" s="338"/>
      <c r="P155" s="339"/>
      <c r="Q155" s="346"/>
      <c r="R155" s="347"/>
      <c r="S155" s="354"/>
      <c r="T155" s="355"/>
      <c r="U155" s="302"/>
    </row>
    <row r="156" spans="2:21" ht="14.1" customHeight="1" x14ac:dyDescent="0.15">
      <c r="B156" s="302"/>
      <c r="C156" s="325">
        <v>143</v>
      </c>
      <c r="D156" s="999"/>
      <c r="E156" s="1000"/>
      <c r="F156" s="1000"/>
      <c r="G156" s="1000"/>
      <c r="H156" s="1000"/>
      <c r="I156" s="1000"/>
      <c r="J156" s="1001"/>
      <c r="K156" s="302"/>
      <c r="L156" s="363"/>
      <c r="M156" s="330"/>
      <c r="N156" s="331"/>
      <c r="O156" s="338"/>
      <c r="P156" s="339"/>
      <c r="Q156" s="346"/>
      <c r="R156" s="347"/>
      <c r="S156" s="354"/>
      <c r="T156" s="355"/>
      <c r="U156" s="302"/>
    </row>
    <row r="157" spans="2:21" ht="14.1" customHeight="1" x14ac:dyDescent="0.15">
      <c r="B157" s="302"/>
      <c r="C157" s="325">
        <v>144</v>
      </c>
      <c r="D157" s="999"/>
      <c r="E157" s="1000"/>
      <c r="F157" s="1000"/>
      <c r="G157" s="1000"/>
      <c r="H157" s="1000"/>
      <c r="I157" s="1000"/>
      <c r="J157" s="1001"/>
      <c r="K157" s="302"/>
      <c r="L157" s="363"/>
      <c r="M157" s="330"/>
      <c r="N157" s="331"/>
      <c r="O157" s="338"/>
      <c r="P157" s="339"/>
      <c r="Q157" s="346"/>
      <c r="R157" s="347"/>
      <c r="S157" s="354"/>
      <c r="T157" s="355"/>
      <c r="U157" s="302"/>
    </row>
    <row r="158" spans="2:21" ht="14.1" customHeight="1" x14ac:dyDescent="0.15">
      <c r="B158" s="302"/>
      <c r="C158" s="325">
        <v>145</v>
      </c>
      <c r="D158" s="999"/>
      <c r="E158" s="1000"/>
      <c r="F158" s="1000"/>
      <c r="G158" s="1000"/>
      <c r="H158" s="1000"/>
      <c r="I158" s="1000"/>
      <c r="J158" s="1001"/>
      <c r="K158" s="302"/>
      <c r="L158" s="363"/>
      <c r="M158" s="330"/>
      <c r="N158" s="331"/>
      <c r="O158" s="338"/>
      <c r="P158" s="339"/>
      <c r="Q158" s="346"/>
      <c r="R158" s="347"/>
      <c r="S158" s="354"/>
      <c r="T158" s="355"/>
      <c r="U158" s="302"/>
    </row>
    <row r="159" spans="2:21" ht="14.1" customHeight="1" x14ac:dyDescent="0.15">
      <c r="B159" s="302"/>
      <c r="C159" s="325">
        <v>146</v>
      </c>
      <c r="D159" s="999"/>
      <c r="E159" s="1000"/>
      <c r="F159" s="1000"/>
      <c r="G159" s="1000"/>
      <c r="H159" s="1000"/>
      <c r="I159" s="1000"/>
      <c r="J159" s="1001"/>
      <c r="K159" s="302"/>
      <c r="L159" s="363"/>
      <c r="M159" s="330"/>
      <c r="N159" s="331"/>
      <c r="O159" s="338"/>
      <c r="P159" s="339"/>
      <c r="Q159" s="346"/>
      <c r="R159" s="347"/>
      <c r="S159" s="354"/>
      <c r="T159" s="355"/>
      <c r="U159" s="302"/>
    </row>
    <row r="160" spans="2:21" ht="14.1" customHeight="1" x14ac:dyDescent="0.15">
      <c r="B160" s="302"/>
      <c r="C160" s="325">
        <v>147</v>
      </c>
      <c r="D160" s="999"/>
      <c r="E160" s="1000"/>
      <c r="F160" s="1000"/>
      <c r="G160" s="1000"/>
      <c r="H160" s="1000"/>
      <c r="I160" s="1000"/>
      <c r="J160" s="1001"/>
      <c r="K160" s="302"/>
      <c r="L160" s="363"/>
      <c r="M160" s="330"/>
      <c r="N160" s="331"/>
      <c r="O160" s="338"/>
      <c r="P160" s="339"/>
      <c r="Q160" s="346"/>
      <c r="R160" s="347"/>
      <c r="S160" s="354"/>
      <c r="T160" s="355"/>
      <c r="U160" s="302"/>
    </row>
    <row r="161" spans="2:21" ht="14.1" customHeight="1" x14ac:dyDescent="0.15">
      <c r="B161" s="302"/>
      <c r="C161" s="325">
        <v>148</v>
      </c>
      <c r="D161" s="999"/>
      <c r="E161" s="1000"/>
      <c r="F161" s="1000"/>
      <c r="G161" s="1000"/>
      <c r="H161" s="1000"/>
      <c r="I161" s="1000"/>
      <c r="J161" s="1001"/>
      <c r="K161" s="302"/>
      <c r="L161" s="363"/>
      <c r="M161" s="330"/>
      <c r="N161" s="331"/>
      <c r="O161" s="338"/>
      <c r="P161" s="339"/>
      <c r="Q161" s="346"/>
      <c r="R161" s="347"/>
      <c r="S161" s="354"/>
      <c r="T161" s="355"/>
      <c r="U161" s="302"/>
    </row>
    <row r="162" spans="2:21" ht="14.1" customHeight="1" x14ac:dyDescent="0.15">
      <c r="B162" s="302"/>
      <c r="C162" s="325">
        <v>149</v>
      </c>
      <c r="D162" s="999"/>
      <c r="E162" s="1000"/>
      <c r="F162" s="1000"/>
      <c r="G162" s="1000"/>
      <c r="H162" s="1000"/>
      <c r="I162" s="1000"/>
      <c r="J162" s="1001"/>
      <c r="K162" s="302"/>
      <c r="L162" s="363"/>
      <c r="M162" s="330"/>
      <c r="N162" s="331"/>
      <c r="O162" s="338"/>
      <c r="P162" s="339"/>
      <c r="Q162" s="346"/>
      <c r="R162" s="347"/>
      <c r="S162" s="354"/>
      <c r="T162" s="355"/>
      <c r="U162" s="302"/>
    </row>
    <row r="163" spans="2:21" ht="14.1" customHeight="1" x14ac:dyDescent="0.15">
      <c r="B163" s="302"/>
      <c r="C163" s="325">
        <v>150</v>
      </c>
      <c r="D163" s="999"/>
      <c r="E163" s="1000"/>
      <c r="F163" s="1000"/>
      <c r="G163" s="1000"/>
      <c r="H163" s="1000"/>
      <c r="I163" s="1000"/>
      <c r="J163" s="1001"/>
      <c r="K163" s="302"/>
      <c r="L163" s="363"/>
      <c r="M163" s="330"/>
      <c r="N163" s="331"/>
      <c r="O163" s="338"/>
      <c r="P163" s="339"/>
      <c r="Q163" s="346"/>
      <c r="R163" s="347"/>
      <c r="S163" s="354"/>
      <c r="T163" s="355"/>
      <c r="U163" s="302"/>
    </row>
    <row r="164" spans="2:21" ht="14.1" customHeight="1" x14ac:dyDescent="0.15">
      <c r="B164" s="302"/>
      <c r="C164" s="325">
        <v>151</v>
      </c>
      <c r="D164" s="999"/>
      <c r="E164" s="1000"/>
      <c r="F164" s="1000"/>
      <c r="G164" s="1000"/>
      <c r="H164" s="1000"/>
      <c r="I164" s="1000"/>
      <c r="J164" s="1001"/>
      <c r="K164" s="302"/>
      <c r="L164" s="363"/>
      <c r="M164" s="330"/>
      <c r="N164" s="331"/>
      <c r="O164" s="338"/>
      <c r="P164" s="339"/>
      <c r="Q164" s="346"/>
      <c r="R164" s="347"/>
      <c r="S164" s="354"/>
      <c r="T164" s="355"/>
      <c r="U164" s="302"/>
    </row>
    <row r="165" spans="2:21" ht="14.1" customHeight="1" x14ac:dyDescent="0.15">
      <c r="B165" s="302"/>
      <c r="C165" s="325">
        <v>152</v>
      </c>
      <c r="D165" s="999"/>
      <c r="E165" s="1000"/>
      <c r="F165" s="1000"/>
      <c r="G165" s="1000"/>
      <c r="H165" s="1000"/>
      <c r="I165" s="1000"/>
      <c r="J165" s="1001"/>
      <c r="K165" s="302"/>
      <c r="L165" s="363"/>
      <c r="M165" s="330"/>
      <c r="N165" s="331"/>
      <c r="O165" s="338"/>
      <c r="P165" s="339"/>
      <c r="Q165" s="346"/>
      <c r="R165" s="347"/>
      <c r="S165" s="354"/>
      <c r="T165" s="355"/>
      <c r="U165" s="302"/>
    </row>
    <row r="166" spans="2:21" ht="14.1" customHeight="1" x14ac:dyDescent="0.15">
      <c r="B166" s="302"/>
      <c r="C166" s="325">
        <v>153</v>
      </c>
      <c r="D166" s="999"/>
      <c r="E166" s="1000"/>
      <c r="F166" s="1000"/>
      <c r="G166" s="1000"/>
      <c r="H166" s="1000"/>
      <c r="I166" s="1000"/>
      <c r="J166" s="1001"/>
      <c r="K166" s="302"/>
      <c r="L166" s="363"/>
      <c r="M166" s="330"/>
      <c r="N166" s="331"/>
      <c r="O166" s="338"/>
      <c r="P166" s="339"/>
      <c r="Q166" s="346"/>
      <c r="R166" s="347"/>
      <c r="S166" s="354"/>
      <c r="T166" s="355"/>
      <c r="U166" s="302"/>
    </row>
    <row r="167" spans="2:21" ht="14.1" customHeight="1" x14ac:dyDescent="0.15">
      <c r="B167" s="302"/>
      <c r="C167" s="325">
        <v>154</v>
      </c>
      <c r="D167" s="999"/>
      <c r="E167" s="1000"/>
      <c r="F167" s="1000"/>
      <c r="G167" s="1000"/>
      <c r="H167" s="1000"/>
      <c r="I167" s="1000"/>
      <c r="J167" s="1001"/>
      <c r="K167" s="302"/>
      <c r="L167" s="363"/>
      <c r="M167" s="330"/>
      <c r="N167" s="331"/>
      <c r="O167" s="338"/>
      <c r="P167" s="339"/>
      <c r="Q167" s="346"/>
      <c r="R167" s="347"/>
      <c r="S167" s="354"/>
      <c r="T167" s="355"/>
      <c r="U167" s="302"/>
    </row>
    <row r="168" spans="2:21" ht="14.1" customHeight="1" x14ac:dyDescent="0.15">
      <c r="B168" s="302"/>
      <c r="C168" s="325">
        <v>155</v>
      </c>
      <c r="D168" s="999"/>
      <c r="E168" s="1000"/>
      <c r="F168" s="1000"/>
      <c r="G168" s="1000"/>
      <c r="H168" s="1000"/>
      <c r="I168" s="1000"/>
      <c r="J168" s="1001"/>
      <c r="K168" s="302"/>
      <c r="L168" s="363"/>
      <c r="M168" s="330"/>
      <c r="N168" s="331"/>
      <c r="O168" s="338"/>
      <c r="P168" s="339"/>
      <c r="Q168" s="346"/>
      <c r="R168" s="347"/>
      <c r="S168" s="354"/>
      <c r="T168" s="355"/>
      <c r="U168" s="302"/>
    </row>
    <row r="169" spans="2:21" ht="14.1" customHeight="1" x14ac:dyDescent="0.15">
      <c r="B169" s="302"/>
      <c r="C169" s="325">
        <v>156</v>
      </c>
      <c r="D169" s="999"/>
      <c r="E169" s="1000"/>
      <c r="F169" s="1000"/>
      <c r="G169" s="1000"/>
      <c r="H169" s="1000"/>
      <c r="I169" s="1000"/>
      <c r="J169" s="1001"/>
      <c r="K169" s="302"/>
      <c r="L169" s="363"/>
      <c r="M169" s="330"/>
      <c r="N169" s="331"/>
      <c r="O169" s="338"/>
      <c r="P169" s="339"/>
      <c r="Q169" s="346"/>
      <c r="R169" s="347"/>
      <c r="S169" s="354"/>
      <c r="T169" s="355"/>
      <c r="U169" s="302"/>
    </row>
    <row r="170" spans="2:21" ht="14.1" customHeight="1" x14ac:dyDescent="0.15">
      <c r="B170" s="302"/>
      <c r="C170" s="325">
        <v>157</v>
      </c>
      <c r="D170" s="999"/>
      <c r="E170" s="1000"/>
      <c r="F170" s="1000"/>
      <c r="G170" s="1000"/>
      <c r="H170" s="1000"/>
      <c r="I170" s="1000"/>
      <c r="J170" s="1001"/>
      <c r="K170" s="302"/>
      <c r="L170" s="363"/>
      <c r="M170" s="330"/>
      <c r="N170" s="331"/>
      <c r="O170" s="338"/>
      <c r="P170" s="339"/>
      <c r="Q170" s="346"/>
      <c r="R170" s="347"/>
      <c r="S170" s="354"/>
      <c r="T170" s="355"/>
      <c r="U170" s="302"/>
    </row>
    <row r="171" spans="2:21" ht="14.1" customHeight="1" x14ac:dyDescent="0.15">
      <c r="B171" s="302"/>
      <c r="C171" s="325">
        <v>158</v>
      </c>
      <c r="D171" s="999"/>
      <c r="E171" s="1000"/>
      <c r="F171" s="1000"/>
      <c r="G171" s="1000"/>
      <c r="H171" s="1000"/>
      <c r="I171" s="1000"/>
      <c r="J171" s="1001"/>
      <c r="K171" s="302"/>
      <c r="L171" s="363"/>
      <c r="M171" s="330"/>
      <c r="N171" s="331"/>
      <c r="O171" s="338"/>
      <c r="P171" s="339"/>
      <c r="Q171" s="346"/>
      <c r="R171" s="347"/>
      <c r="S171" s="354"/>
      <c r="T171" s="355"/>
      <c r="U171" s="302"/>
    </row>
    <row r="172" spans="2:21" ht="14.1" customHeight="1" x14ac:dyDescent="0.15">
      <c r="B172" s="302"/>
      <c r="C172" s="325">
        <v>159</v>
      </c>
      <c r="D172" s="999"/>
      <c r="E172" s="1000"/>
      <c r="F172" s="1000"/>
      <c r="G172" s="1000"/>
      <c r="H172" s="1000"/>
      <c r="I172" s="1000"/>
      <c r="J172" s="1001"/>
      <c r="K172" s="302"/>
      <c r="L172" s="363"/>
      <c r="M172" s="330"/>
      <c r="N172" s="331"/>
      <c r="O172" s="338"/>
      <c r="P172" s="339"/>
      <c r="Q172" s="346"/>
      <c r="R172" s="347"/>
      <c r="S172" s="354"/>
      <c r="T172" s="355"/>
      <c r="U172" s="302"/>
    </row>
    <row r="173" spans="2:21" ht="14.1" customHeight="1" x14ac:dyDescent="0.15">
      <c r="B173" s="302"/>
      <c r="C173" s="325">
        <v>160</v>
      </c>
      <c r="D173" s="999"/>
      <c r="E173" s="1000"/>
      <c r="F173" s="1000"/>
      <c r="G173" s="1000"/>
      <c r="H173" s="1000"/>
      <c r="I173" s="1000"/>
      <c r="J173" s="1001"/>
      <c r="K173" s="302"/>
      <c r="L173" s="363"/>
      <c r="M173" s="330"/>
      <c r="N173" s="331"/>
      <c r="O173" s="338"/>
      <c r="P173" s="339"/>
      <c r="Q173" s="346"/>
      <c r="R173" s="347"/>
      <c r="S173" s="354"/>
      <c r="T173" s="355"/>
      <c r="U173" s="302"/>
    </row>
    <row r="174" spans="2:21" ht="14.1" customHeight="1" x14ac:dyDescent="0.15">
      <c r="B174" s="302"/>
      <c r="C174" s="325">
        <v>161</v>
      </c>
      <c r="D174" s="999"/>
      <c r="E174" s="1000"/>
      <c r="F174" s="1000"/>
      <c r="G174" s="1000"/>
      <c r="H174" s="1000"/>
      <c r="I174" s="1000"/>
      <c r="J174" s="1001"/>
      <c r="K174" s="302"/>
      <c r="L174" s="363"/>
      <c r="M174" s="330"/>
      <c r="N174" s="331"/>
      <c r="O174" s="338"/>
      <c r="P174" s="339"/>
      <c r="Q174" s="346"/>
      <c r="R174" s="347"/>
      <c r="S174" s="354"/>
      <c r="T174" s="355"/>
      <c r="U174" s="302"/>
    </row>
    <row r="175" spans="2:21" ht="14.1" customHeight="1" x14ac:dyDescent="0.15">
      <c r="B175" s="302"/>
      <c r="C175" s="325">
        <v>162</v>
      </c>
      <c r="D175" s="999"/>
      <c r="E175" s="1000"/>
      <c r="F175" s="1000"/>
      <c r="G175" s="1000"/>
      <c r="H175" s="1000"/>
      <c r="I175" s="1000"/>
      <c r="J175" s="1001"/>
      <c r="K175" s="302"/>
      <c r="L175" s="363"/>
      <c r="M175" s="330"/>
      <c r="N175" s="331"/>
      <c r="O175" s="338"/>
      <c r="P175" s="339"/>
      <c r="Q175" s="346"/>
      <c r="R175" s="347"/>
      <c r="S175" s="354"/>
      <c r="T175" s="355"/>
      <c r="U175" s="302"/>
    </row>
    <row r="176" spans="2:21" ht="14.1" customHeight="1" x14ac:dyDescent="0.15">
      <c r="B176" s="302"/>
      <c r="C176" s="325">
        <v>163</v>
      </c>
      <c r="D176" s="999"/>
      <c r="E176" s="1000"/>
      <c r="F176" s="1000"/>
      <c r="G176" s="1000"/>
      <c r="H176" s="1000"/>
      <c r="I176" s="1000"/>
      <c r="J176" s="1001"/>
      <c r="K176" s="302"/>
      <c r="L176" s="363"/>
      <c r="M176" s="330"/>
      <c r="N176" s="331"/>
      <c r="O176" s="338"/>
      <c r="P176" s="339"/>
      <c r="Q176" s="346"/>
      <c r="R176" s="347"/>
      <c r="S176" s="354"/>
      <c r="T176" s="355"/>
      <c r="U176" s="302"/>
    </row>
    <row r="177" spans="2:21" ht="14.1" customHeight="1" x14ac:dyDescent="0.15">
      <c r="B177" s="302"/>
      <c r="C177" s="325">
        <v>164</v>
      </c>
      <c r="D177" s="999"/>
      <c r="E177" s="1000"/>
      <c r="F177" s="1000"/>
      <c r="G177" s="1000"/>
      <c r="H177" s="1000"/>
      <c r="I177" s="1000"/>
      <c r="J177" s="1001"/>
      <c r="K177" s="302"/>
      <c r="L177" s="363"/>
      <c r="M177" s="330"/>
      <c r="N177" s="331"/>
      <c r="O177" s="338"/>
      <c r="P177" s="339"/>
      <c r="Q177" s="346"/>
      <c r="R177" s="347"/>
      <c r="S177" s="354"/>
      <c r="T177" s="355"/>
      <c r="U177" s="302"/>
    </row>
    <row r="178" spans="2:21" ht="14.1" customHeight="1" x14ac:dyDescent="0.15">
      <c r="B178" s="302"/>
      <c r="C178" s="325">
        <v>165</v>
      </c>
      <c r="D178" s="999"/>
      <c r="E178" s="1000"/>
      <c r="F178" s="1000"/>
      <c r="G178" s="1000"/>
      <c r="H178" s="1000"/>
      <c r="I178" s="1000"/>
      <c r="J178" s="1001"/>
      <c r="K178" s="302"/>
      <c r="L178" s="363"/>
      <c r="M178" s="330"/>
      <c r="N178" s="331"/>
      <c r="O178" s="338"/>
      <c r="P178" s="339"/>
      <c r="Q178" s="346"/>
      <c r="R178" s="347"/>
      <c r="S178" s="354"/>
      <c r="T178" s="355"/>
      <c r="U178" s="302"/>
    </row>
    <row r="179" spans="2:21" ht="14.1" customHeight="1" x14ac:dyDescent="0.15">
      <c r="B179" s="302"/>
      <c r="C179" s="325">
        <v>166</v>
      </c>
      <c r="D179" s="999"/>
      <c r="E179" s="1000"/>
      <c r="F179" s="1000"/>
      <c r="G179" s="1000"/>
      <c r="H179" s="1000"/>
      <c r="I179" s="1000"/>
      <c r="J179" s="1001"/>
      <c r="K179" s="302"/>
      <c r="L179" s="363"/>
      <c r="M179" s="330"/>
      <c r="N179" s="331"/>
      <c r="O179" s="338"/>
      <c r="P179" s="339"/>
      <c r="Q179" s="346"/>
      <c r="R179" s="347"/>
      <c r="S179" s="354"/>
      <c r="T179" s="355"/>
      <c r="U179" s="302"/>
    </row>
    <row r="180" spans="2:21" ht="14.1" customHeight="1" x14ac:dyDescent="0.15">
      <c r="B180" s="302"/>
      <c r="C180" s="325">
        <v>167</v>
      </c>
      <c r="D180" s="999"/>
      <c r="E180" s="1000"/>
      <c r="F180" s="1000"/>
      <c r="G180" s="1000"/>
      <c r="H180" s="1000"/>
      <c r="I180" s="1000"/>
      <c r="J180" s="1001"/>
      <c r="K180" s="302"/>
      <c r="L180" s="363"/>
      <c r="M180" s="330"/>
      <c r="N180" s="331"/>
      <c r="O180" s="338"/>
      <c r="P180" s="339"/>
      <c r="Q180" s="346"/>
      <c r="R180" s="347"/>
      <c r="S180" s="354"/>
      <c r="T180" s="355"/>
      <c r="U180" s="302"/>
    </row>
    <row r="181" spans="2:21" ht="14.1" customHeight="1" x14ac:dyDescent="0.15">
      <c r="B181" s="302"/>
      <c r="C181" s="325">
        <v>168</v>
      </c>
      <c r="D181" s="999"/>
      <c r="E181" s="1000"/>
      <c r="F181" s="1000"/>
      <c r="G181" s="1000"/>
      <c r="H181" s="1000"/>
      <c r="I181" s="1000"/>
      <c r="J181" s="1001"/>
      <c r="K181" s="302"/>
      <c r="L181" s="363"/>
      <c r="M181" s="330"/>
      <c r="N181" s="331"/>
      <c r="O181" s="338"/>
      <c r="P181" s="339"/>
      <c r="Q181" s="346"/>
      <c r="R181" s="347"/>
      <c r="S181" s="354"/>
      <c r="T181" s="355"/>
      <c r="U181" s="302"/>
    </row>
    <row r="182" spans="2:21" ht="14.1" customHeight="1" x14ac:dyDescent="0.15">
      <c r="B182" s="302"/>
      <c r="C182" s="325">
        <v>169</v>
      </c>
      <c r="D182" s="999"/>
      <c r="E182" s="1000"/>
      <c r="F182" s="1000"/>
      <c r="G182" s="1000"/>
      <c r="H182" s="1000"/>
      <c r="I182" s="1000"/>
      <c r="J182" s="1001"/>
      <c r="K182" s="302"/>
      <c r="L182" s="363"/>
      <c r="M182" s="330"/>
      <c r="N182" s="331"/>
      <c r="O182" s="338"/>
      <c r="P182" s="339"/>
      <c r="Q182" s="346"/>
      <c r="R182" s="347"/>
      <c r="S182" s="354"/>
      <c r="T182" s="355"/>
      <c r="U182" s="302"/>
    </row>
    <row r="183" spans="2:21" ht="14.1" customHeight="1" x14ac:dyDescent="0.15">
      <c r="B183" s="302"/>
      <c r="C183" s="325">
        <v>170</v>
      </c>
      <c r="D183" s="999"/>
      <c r="E183" s="1000"/>
      <c r="F183" s="1000"/>
      <c r="G183" s="1000"/>
      <c r="H183" s="1000"/>
      <c r="I183" s="1000"/>
      <c r="J183" s="1001"/>
      <c r="K183" s="302"/>
      <c r="L183" s="363"/>
      <c r="M183" s="330"/>
      <c r="N183" s="331"/>
      <c r="O183" s="338"/>
      <c r="P183" s="339"/>
      <c r="Q183" s="346"/>
      <c r="R183" s="347"/>
      <c r="S183" s="354"/>
      <c r="T183" s="355"/>
      <c r="U183" s="302"/>
    </row>
    <row r="184" spans="2:21" ht="14.1" customHeight="1" x14ac:dyDescent="0.15">
      <c r="B184" s="302"/>
      <c r="C184" s="325">
        <v>171</v>
      </c>
      <c r="D184" s="999"/>
      <c r="E184" s="1000"/>
      <c r="F184" s="1000"/>
      <c r="G184" s="1000"/>
      <c r="H184" s="1000"/>
      <c r="I184" s="1000"/>
      <c r="J184" s="1001"/>
      <c r="K184" s="302"/>
      <c r="L184" s="363"/>
      <c r="M184" s="330"/>
      <c r="N184" s="331"/>
      <c r="O184" s="338"/>
      <c r="P184" s="339"/>
      <c r="Q184" s="346"/>
      <c r="R184" s="347"/>
      <c r="S184" s="354"/>
      <c r="T184" s="355"/>
      <c r="U184" s="302"/>
    </row>
    <row r="185" spans="2:21" ht="14.1" customHeight="1" x14ac:dyDescent="0.15">
      <c r="B185" s="302"/>
      <c r="C185" s="325">
        <v>172</v>
      </c>
      <c r="D185" s="999"/>
      <c r="E185" s="1000"/>
      <c r="F185" s="1000"/>
      <c r="G185" s="1000"/>
      <c r="H185" s="1000"/>
      <c r="I185" s="1000"/>
      <c r="J185" s="1001"/>
      <c r="K185" s="302"/>
      <c r="L185" s="363"/>
      <c r="M185" s="330"/>
      <c r="N185" s="331"/>
      <c r="O185" s="338"/>
      <c r="P185" s="339"/>
      <c r="Q185" s="346"/>
      <c r="R185" s="347"/>
      <c r="S185" s="354"/>
      <c r="T185" s="355"/>
      <c r="U185" s="302"/>
    </row>
    <row r="186" spans="2:21" ht="14.1" customHeight="1" x14ac:dyDescent="0.15">
      <c r="B186" s="302"/>
      <c r="C186" s="325">
        <v>173</v>
      </c>
      <c r="D186" s="999"/>
      <c r="E186" s="1000"/>
      <c r="F186" s="1000"/>
      <c r="G186" s="1000"/>
      <c r="H186" s="1000"/>
      <c r="I186" s="1000"/>
      <c r="J186" s="1001"/>
      <c r="K186" s="302"/>
      <c r="L186" s="363"/>
      <c r="M186" s="330"/>
      <c r="N186" s="331"/>
      <c r="O186" s="338"/>
      <c r="P186" s="339"/>
      <c r="Q186" s="346"/>
      <c r="R186" s="347"/>
      <c r="S186" s="354"/>
      <c r="T186" s="355"/>
      <c r="U186" s="302"/>
    </row>
    <row r="187" spans="2:21" ht="14.1" customHeight="1" x14ac:dyDescent="0.15">
      <c r="B187" s="302"/>
      <c r="C187" s="325">
        <v>174</v>
      </c>
      <c r="D187" s="999"/>
      <c r="E187" s="1000"/>
      <c r="F187" s="1000"/>
      <c r="G187" s="1000"/>
      <c r="H187" s="1000"/>
      <c r="I187" s="1000"/>
      <c r="J187" s="1001"/>
      <c r="K187" s="302"/>
      <c r="L187" s="363"/>
      <c r="M187" s="330"/>
      <c r="N187" s="331"/>
      <c r="O187" s="338"/>
      <c r="P187" s="339"/>
      <c r="Q187" s="346"/>
      <c r="R187" s="347"/>
      <c r="S187" s="354"/>
      <c r="T187" s="355"/>
      <c r="U187" s="302"/>
    </row>
    <row r="188" spans="2:21" ht="14.1" customHeight="1" x14ac:dyDescent="0.15">
      <c r="B188" s="302"/>
      <c r="C188" s="325">
        <v>175</v>
      </c>
      <c r="D188" s="999"/>
      <c r="E188" s="1000"/>
      <c r="F188" s="1000"/>
      <c r="G188" s="1000"/>
      <c r="H188" s="1000"/>
      <c r="I188" s="1000"/>
      <c r="J188" s="1001"/>
      <c r="K188" s="302"/>
      <c r="L188" s="363"/>
      <c r="M188" s="330"/>
      <c r="N188" s="331"/>
      <c r="O188" s="338"/>
      <c r="P188" s="339"/>
      <c r="Q188" s="346"/>
      <c r="R188" s="347"/>
      <c r="S188" s="354"/>
      <c r="T188" s="355"/>
      <c r="U188" s="302"/>
    </row>
    <row r="189" spans="2:21" ht="14.1" customHeight="1" x14ac:dyDescent="0.15">
      <c r="B189" s="302"/>
      <c r="C189" s="325">
        <v>176</v>
      </c>
      <c r="D189" s="999"/>
      <c r="E189" s="1000"/>
      <c r="F189" s="1000"/>
      <c r="G189" s="1000"/>
      <c r="H189" s="1000"/>
      <c r="I189" s="1000"/>
      <c r="J189" s="1001"/>
      <c r="K189" s="302"/>
      <c r="L189" s="363"/>
      <c r="M189" s="330"/>
      <c r="N189" s="331"/>
      <c r="O189" s="338"/>
      <c r="P189" s="339"/>
      <c r="Q189" s="346"/>
      <c r="R189" s="347"/>
      <c r="S189" s="354"/>
      <c r="T189" s="355"/>
      <c r="U189" s="302"/>
    </row>
    <row r="190" spans="2:21" ht="14.1" customHeight="1" x14ac:dyDescent="0.15">
      <c r="B190" s="302"/>
      <c r="C190" s="325">
        <v>177</v>
      </c>
      <c r="D190" s="999"/>
      <c r="E190" s="1000"/>
      <c r="F190" s="1000"/>
      <c r="G190" s="1000"/>
      <c r="H190" s="1000"/>
      <c r="I190" s="1000"/>
      <c r="J190" s="1001"/>
      <c r="K190" s="302"/>
      <c r="L190" s="363"/>
      <c r="M190" s="330"/>
      <c r="N190" s="331"/>
      <c r="O190" s="338"/>
      <c r="P190" s="339"/>
      <c r="Q190" s="346"/>
      <c r="R190" s="347"/>
      <c r="S190" s="354"/>
      <c r="T190" s="355"/>
      <c r="U190" s="302"/>
    </row>
    <row r="191" spans="2:21" ht="14.1" customHeight="1" x14ac:dyDescent="0.15">
      <c r="B191" s="302"/>
      <c r="C191" s="325">
        <v>178</v>
      </c>
      <c r="D191" s="999"/>
      <c r="E191" s="1000"/>
      <c r="F191" s="1000"/>
      <c r="G191" s="1000"/>
      <c r="H191" s="1000"/>
      <c r="I191" s="1000"/>
      <c r="J191" s="1001"/>
      <c r="K191" s="302"/>
      <c r="L191" s="363"/>
      <c r="M191" s="330"/>
      <c r="N191" s="331"/>
      <c r="O191" s="338"/>
      <c r="P191" s="339"/>
      <c r="Q191" s="346"/>
      <c r="R191" s="347"/>
      <c r="S191" s="354"/>
      <c r="T191" s="355"/>
      <c r="U191" s="302"/>
    </row>
    <row r="192" spans="2:21" ht="14.1" customHeight="1" x14ac:dyDescent="0.15">
      <c r="B192" s="302"/>
      <c r="C192" s="325">
        <v>179</v>
      </c>
      <c r="D192" s="999"/>
      <c r="E192" s="1000"/>
      <c r="F192" s="1000"/>
      <c r="G192" s="1000"/>
      <c r="H192" s="1000"/>
      <c r="I192" s="1000"/>
      <c r="J192" s="1001"/>
      <c r="K192" s="302"/>
      <c r="L192" s="363"/>
      <c r="M192" s="330"/>
      <c r="N192" s="331"/>
      <c r="O192" s="338"/>
      <c r="P192" s="339"/>
      <c r="Q192" s="346"/>
      <c r="R192" s="347"/>
      <c r="S192" s="354"/>
      <c r="T192" s="355"/>
      <c r="U192" s="302"/>
    </row>
    <row r="193" spans="2:21" ht="14.1" customHeight="1" x14ac:dyDescent="0.15">
      <c r="B193" s="302"/>
      <c r="C193" s="325">
        <v>180</v>
      </c>
      <c r="D193" s="999"/>
      <c r="E193" s="1000"/>
      <c r="F193" s="1000"/>
      <c r="G193" s="1000"/>
      <c r="H193" s="1000"/>
      <c r="I193" s="1000"/>
      <c r="J193" s="1001"/>
      <c r="K193" s="302"/>
      <c r="L193" s="363"/>
      <c r="M193" s="330"/>
      <c r="N193" s="331"/>
      <c r="O193" s="338"/>
      <c r="P193" s="339"/>
      <c r="Q193" s="346"/>
      <c r="R193" s="347"/>
      <c r="S193" s="354"/>
      <c r="T193" s="355"/>
      <c r="U193" s="302"/>
    </row>
    <row r="194" spans="2:21" ht="14.1" customHeight="1" x14ac:dyDescent="0.15">
      <c r="B194" s="302"/>
      <c r="C194" s="325">
        <v>181</v>
      </c>
      <c r="D194" s="999"/>
      <c r="E194" s="1000"/>
      <c r="F194" s="1000"/>
      <c r="G194" s="1000"/>
      <c r="H194" s="1000"/>
      <c r="I194" s="1000"/>
      <c r="J194" s="1001"/>
      <c r="K194" s="302"/>
      <c r="L194" s="363"/>
      <c r="M194" s="330"/>
      <c r="N194" s="331"/>
      <c r="O194" s="338"/>
      <c r="P194" s="339"/>
      <c r="Q194" s="346"/>
      <c r="R194" s="347"/>
      <c r="S194" s="354"/>
      <c r="T194" s="355"/>
      <c r="U194" s="302"/>
    </row>
    <row r="195" spans="2:21" ht="14.1" customHeight="1" x14ac:dyDescent="0.15">
      <c r="B195" s="302"/>
      <c r="C195" s="325">
        <v>182</v>
      </c>
      <c r="D195" s="999"/>
      <c r="E195" s="1000"/>
      <c r="F195" s="1000"/>
      <c r="G195" s="1000"/>
      <c r="H195" s="1000"/>
      <c r="I195" s="1000"/>
      <c r="J195" s="1001"/>
      <c r="K195" s="302"/>
      <c r="L195" s="363"/>
      <c r="M195" s="330"/>
      <c r="N195" s="331"/>
      <c r="O195" s="338"/>
      <c r="P195" s="339"/>
      <c r="Q195" s="346"/>
      <c r="R195" s="347"/>
      <c r="S195" s="354"/>
      <c r="T195" s="355"/>
      <c r="U195" s="302"/>
    </row>
    <row r="196" spans="2:21" ht="14.1" customHeight="1" x14ac:dyDescent="0.15">
      <c r="B196" s="302"/>
      <c r="C196" s="325">
        <v>183</v>
      </c>
      <c r="D196" s="999"/>
      <c r="E196" s="1000"/>
      <c r="F196" s="1000"/>
      <c r="G196" s="1000"/>
      <c r="H196" s="1000"/>
      <c r="I196" s="1000"/>
      <c r="J196" s="1001"/>
      <c r="K196" s="302"/>
      <c r="L196" s="363"/>
      <c r="M196" s="330"/>
      <c r="N196" s="331"/>
      <c r="O196" s="338"/>
      <c r="P196" s="339"/>
      <c r="Q196" s="346"/>
      <c r="R196" s="347"/>
      <c r="S196" s="354"/>
      <c r="T196" s="355"/>
      <c r="U196" s="302"/>
    </row>
    <row r="197" spans="2:21" ht="14.1" customHeight="1" x14ac:dyDescent="0.15">
      <c r="B197" s="302"/>
      <c r="C197" s="325">
        <v>184</v>
      </c>
      <c r="D197" s="999"/>
      <c r="E197" s="1000"/>
      <c r="F197" s="1000"/>
      <c r="G197" s="1000"/>
      <c r="H197" s="1000"/>
      <c r="I197" s="1000"/>
      <c r="J197" s="1001"/>
      <c r="K197" s="302"/>
      <c r="L197" s="363"/>
      <c r="M197" s="330"/>
      <c r="N197" s="331"/>
      <c r="O197" s="338"/>
      <c r="P197" s="339"/>
      <c r="Q197" s="346"/>
      <c r="R197" s="347"/>
      <c r="S197" s="354"/>
      <c r="T197" s="355"/>
      <c r="U197" s="302"/>
    </row>
    <row r="198" spans="2:21" ht="14.1" customHeight="1" x14ac:dyDescent="0.15">
      <c r="B198" s="302"/>
      <c r="C198" s="325">
        <v>185</v>
      </c>
      <c r="D198" s="999"/>
      <c r="E198" s="1000"/>
      <c r="F198" s="1000"/>
      <c r="G198" s="1000"/>
      <c r="H198" s="1000"/>
      <c r="I198" s="1000"/>
      <c r="J198" s="1001"/>
      <c r="K198" s="302"/>
      <c r="L198" s="363"/>
      <c r="M198" s="330"/>
      <c r="N198" s="331"/>
      <c r="O198" s="338"/>
      <c r="P198" s="339"/>
      <c r="Q198" s="346"/>
      <c r="R198" s="347"/>
      <c r="S198" s="354"/>
      <c r="T198" s="355"/>
      <c r="U198" s="302"/>
    </row>
    <row r="199" spans="2:21" ht="14.1" customHeight="1" x14ac:dyDescent="0.15">
      <c r="B199" s="302"/>
      <c r="C199" s="325">
        <v>186</v>
      </c>
      <c r="D199" s="999"/>
      <c r="E199" s="1000"/>
      <c r="F199" s="1000"/>
      <c r="G199" s="1000"/>
      <c r="H199" s="1000"/>
      <c r="I199" s="1000"/>
      <c r="J199" s="1001"/>
      <c r="K199" s="302"/>
      <c r="L199" s="363"/>
      <c r="M199" s="330"/>
      <c r="N199" s="331"/>
      <c r="O199" s="338"/>
      <c r="P199" s="339"/>
      <c r="Q199" s="346"/>
      <c r="R199" s="347"/>
      <c r="S199" s="354"/>
      <c r="T199" s="355"/>
      <c r="U199" s="302"/>
    </row>
    <row r="200" spans="2:21" ht="14.1" customHeight="1" x14ac:dyDescent="0.15">
      <c r="B200" s="302"/>
      <c r="C200" s="325">
        <v>187</v>
      </c>
      <c r="D200" s="999"/>
      <c r="E200" s="1000"/>
      <c r="F200" s="1000"/>
      <c r="G200" s="1000"/>
      <c r="H200" s="1000"/>
      <c r="I200" s="1000"/>
      <c r="J200" s="1001"/>
      <c r="K200" s="302"/>
      <c r="L200" s="363"/>
      <c r="M200" s="330"/>
      <c r="N200" s="331"/>
      <c r="O200" s="338"/>
      <c r="P200" s="339"/>
      <c r="Q200" s="346"/>
      <c r="R200" s="347"/>
      <c r="S200" s="354"/>
      <c r="T200" s="355"/>
      <c r="U200" s="302"/>
    </row>
    <row r="201" spans="2:21" ht="14.1" customHeight="1" x14ac:dyDescent="0.15">
      <c r="B201" s="302"/>
      <c r="C201" s="325">
        <v>188</v>
      </c>
      <c r="D201" s="999"/>
      <c r="E201" s="1000"/>
      <c r="F201" s="1000"/>
      <c r="G201" s="1000"/>
      <c r="H201" s="1000"/>
      <c r="I201" s="1000"/>
      <c r="J201" s="1001"/>
      <c r="K201" s="302"/>
      <c r="L201" s="363"/>
      <c r="M201" s="330"/>
      <c r="N201" s="331"/>
      <c r="O201" s="338"/>
      <c r="P201" s="339"/>
      <c r="Q201" s="346"/>
      <c r="R201" s="347"/>
      <c r="S201" s="354"/>
      <c r="T201" s="355"/>
      <c r="U201" s="302"/>
    </row>
    <row r="202" spans="2:21" ht="14.1" customHeight="1" x14ac:dyDescent="0.15">
      <c r="B202" s="302"/>
      <c r="C202" s="325">
        <v>189</v>
      </c>
      <c r="D202" s="999"/>
      <c r="E202" s="1000"/>
      <c r="F202" s="1000"/>
      <c r="G202" s="1000"/>
      <c r="H202" s="1000"/>
      <c r="I202" s="1000"/>
      <c r="J202" s="1001"/>
      <c r="K202" s="302"/>
      <c r="L202" s="363"/>
      <c r="M202" s="330"/>
      <c r="N202" s="331"/>
      <c r="O202" s="338"/>
      <c r="P202" s="339"/>
      <c r="Q202" s="346"/>
      <c r="R202" s="347"/>
      <c r="S202" s="354"/>
      <c r="T202" s="355"/>
      <c r="U202" s="302"/>
    </row>
    <row r="203" spans="2:21" ht="14.1" customHeight="1" x14ac:dyDescent="0.15">
      <c r="B203" s="302"/>
      <c r="C203" s="325">
        <v>190</v>
      </c>
      <c r="D203" s="999"/>
      <c r="E203" s="1000"/>
      <c r="F203" s="1000"/>
      <c r="G203" s="1000"/>
      <c r="H203" s="1000"/>
      <c r="I203" s="1000"/>
      <c r="J203" s="1001"/>
      <c r="K203" s="302"/>
      <c r="L203" s="363"/>
      <c r="M203" s="330"/>
      <c r="N203" s="331"/>
      <c r="O203" s="338"/>
      <c r="P203" s="339"/>
      <c r="Q203" s="346"/>
      <c r="R203" s="347"/>
      <c r="S203" s="354"/>
      <c r="T203" s="355"/>
      <c r="U203" s="302"/>
    </row>
    <row r="204" spans="2:21" ht="14.1" customHeight="1" x14ac:dyDescent="0.15">
      <c r="B204" s="302"/>
      <c r="C204" s="325">
        <v>191</v>
      </c>
      <c r="D204" s="999"/>
      <c r="E204" s="1000"/>
      <c r="F204" s="1000"/>
      <c r="G204" s="1000"/>
      <c r="H204" s="1000"/>
      <c r="I204" s="1000"/>
      <c r="J204" s="1001"/>
      <c r="K204" s="302"/>
      <c r="L204" s="363"/>
      <c r="M204" s="330"/>
      <c r="N204" s="331"/>
      <c r="O204" s="338"/>
      <c r="P204" s="339"/>
      <c r="Q204" s="346"/>
      <c r="R204" s="347"/>
      <c r="S204" s="354"/>
      <c r="T204" s="355"/>
      <c r="U204" s="302"/>
    </row>
    <row r="205" spans="2:21" ht="14.1" customHeight="1" x14ac:dyDescent="0.15">
      <c r="B205" s="302"/>
      <c r="C205" s="325">
        <v>192</v>
      </c>
      <c r="D205" s="999"/>
      <c r="E205" s="1000"/>
      <c r="F205" s="1000"/>
      <c r="G205" s="1000"/>
      <c r="H205" s="1000"/>
      <c r="I205" s="1000"/>
      <c r="J205" s="1001"/>
      <c r="K205" s="302"/>
      <c r="L205" s="363"/>
      <c r="M205" s="330"/>
      <c r="N205" s="331"/>
      <c r="O205" s="338"/>
      <c r="P205" s="339"/>
      <c r="Q205" s="346"/>
      <c r="R205" s="347"/>
      <c r="S205" s="354"/>
      <c r="T205" s="355"/>
      <c r="U205" s="302"/>
    </row>
    <row r="206" spans="2:21" ht="14.1" customHeight="1" x14ac:dyDescent="0.15">
      <c r="B206" s="302"/>
      <c r="C206" s="325">
        <v>193</v>
      </c>
      <c r="D206" s="999"/>
      <c r="E206" s="1000"/>
      <c r="F206" s="1000"/>
      <c r="G206" s="1000"/>
      <c r="H206" s="1000"/>
      <c r="I206" s="1000"/>
      <c r="J206" s="1001"/>
      <c r="K206" s="302"/>
      <c r="L206" s="363"/>
      <c r="M206" s="330"/>
      <c r="N206" s="331"/>
      <c r="O206" s="338"/>
      <c r="P206" s="339"/>
      <c r="Q206" s="346"/>
      <c r="R206" s="347"/>
      <c r="S206" s="354"/>
      <c r="T206" s="355"/>
      <c r="U206" s="302"/>
    </row>
    <row r="207" spans="2:21" ht="14.1" customHeight="1" x14ac:dyDescent="0.15">
      <c r="B207" s="302"/>
      <c r="C207" s="325">
        <v>194</v>
      </c>
      <c r="D207" s="999"/>
      <c r="E207" s="1000"/>
      <c r="F207" s="1000"/>
      <c r="G207" s="1000"/>
      <c r="H207" s="1000"/>
      <c r="I207" s="1000"/>
      <c r="J207" s="1001"/>
      <c r="K207" s="302"/>
      <c r="L207" s="363"/>
      <c r="M207" s="330"/>
      <c r="N207" s="331"/>
      <c r="O207" s="338"/>
      <c r="P207" s="339"/>
      <c r="Q207" s="346"/>
      <c r="R207" s="347"/>
      <c r="S207" s="354"/>
      <c r="T207" s="355"/>
      <c r="U207" s="302"/>
    </row>
    <row r="208" spans="2:21" ht="14.1" customHeight="1" x14ac:dyDescent="0.15">
      <c r="B208" s="302"/>
      <c r="C208" s="325">
        <v>195</v>
      </c>
      <c r="D208" s="999"/>
      <c r="E208" s="1000"/>
      <c r="F208" s="1000"/>
      <c r="G208" s="1000"/>
      <c r="H208" s="1000"/>
      <c r="I208" s="1000"/>
      <c r="J208" s="1001"/>
      <c r="K208" s="302"/>
      <c r="L208" s="363"/>
      <c r="M208" s="330"/>
      <c r="N208" s="331"/>
      <c r="O208" s="338"/>
      <c r="P208" s="339"/>
      <c r="Q208" s="346"/>
      <c r="R208" s="347"/>
      <c r="S208" s="354"/>
      <c r="T208" s="355"/>
      <c r="U208" s="302"/>
    </row>
    <row r="209" spans="2:21" ht="14.1" customHeight="1" x14ac:dyDescent="0.15">
      <c r="B209" s="302"/>
      <c r="C209" s="325">
        <v>196</v>
      </c>
      <c r="D209" s="999"/>
      <c r="E209" s="1000"/>
      <c r="F209" s="1000"/>
      <c r="G209" s="1000"/>
      <c r="H209" s="1000"/>
      <c r="I209" s="1000"/>
      <c r="J209" s="1001"/>
      <c r="K209" s="302"/>
      <c r="L209" s="363"/>
      <c r="M209" s="330"/>
      <c r="N209" s="331"/>
      <c r="O209" s="338"/>
      <c r="P209" s="339"/>
      <c r="Q209" s="346"/>
      <c r="R209" s="347"/>
      <c r="S209" s="354"/>
      <c r="T209" s="355"/>
      <c r="U209" s="302"/>
    </row>
    <row r="210" spans="2:21" ht="14.1" customHeight="1" x14ac:dyDescent="0.15">
      <c r="B210" s="302"/>
      <c r="C210" s="325">
        <v>197</v>
      </c>
      <c r="D210" s="999"/>
      <c r="E210" s="1000"/>
      <c r="F210" s="1000"/>
      <c r="G210" s="1000"/>
      <c r="H210" s="1000"/>
      <c r="I210" s="1000"/>
      <c r="J210" s="1001"/>
      <c r="K210" s="302"/>
      <c r="L210" s="363"/>
      <c r="M210" s="330"/>
      <c r="N210" s="331"/>
      <c r="O210" s="338"/>
      <c r="P210" s="339"/>
      <c r="Q210" s="346"/>
      <c r="R210" s="347"/>
      <c r="S210" s="354"/>
      <c r="T210" s="355"/>
      <c r="U210" s="302"/>
    </row>
    <row r="211" spans="2:21" ht="14.1" customHeight="1" x14ac:dyDescent="0.15">
      <c r="B211" s="302"/>
      <c r="C211" s="325">
        <v>198</v>
      </c>
      <c r="D211" s="999"/>
      <c r="E211" s="1000"/>
      <c r="F211" s="1000"/>
      <c r="G211" s="1000"/>
      <c r="H211" s="1000"/>
      <c r="I211" s="1000"/>
      <c r="J211" s="1001"/>
      <c r="K211" s="302"/>
      <c r="L211" s="363"/>
      <c r="M211" s="330"/>
      <c r="N211" s="331"/>
      <c r="O211" s="338"/>
      <c r="P211" s="339"/>
      <c r="Q211" s="346"/>
      <c r="R211" s="347"/>
      <c r="S211" s="354"/>
      <c r="T211" s="355"/>
      <c r="U211" s="302"/>
    </row>
    <row r="212" spans="2:21" ht="14.1" customHeight="1" x14ac:dyDescent="0.15">
      <c r="B212" s="302"/>
      <c r="C212" s="325">
        <v>199</v>
      </c>
      <c r="D212" s="999"/>
      <c r="E212" s="1000"/>
      <c r="F212" s="1000"/>
      <c r="G212" s="1000"/>
      <c r="H212" s="1000"/>
      <c r="I212" s="1000"/>
      <c r="J212" s="1001"/>
      <c r="K212" s="302"/>
      <c r="L212" s="363"/>
      <c r="M212" s="330"/>
      <c r="N212" s="331"/>
      <c r="O212" s="338"/>
      <c r="P212" s="339"/>
      <c r="Q212" s="346"/>
      <c r="R212" s="347"/>
      <c r="S212" s="354"/>
      <c r="T212" s="355"/>
      <c r="U212" s="302"/>
    </row>
    <row r="213" spans="2:21" ht="14.1" customHeight="1" x14ac:dyDescent="0.15">
      <c r="B213" s="302"/>
      <c r="C213" s="325">
        <v>200</v>
      </c>
      <c r="D213" s="999"/>
      <c r="E213" s="1000"/>
      <c r="F213" s="1000"/>
      <c r="G213" s="1000"/>
      <c r="H213" s="1000"/>
      <c r="I213" s="1000"/>
      <c r="J213" s="1001"/>
      <c r="K213" s="302"/>
      <c r="L213" s="363"/>
      <c r="M213" s="330"/>
      <c r="N213" s="331"/>
      <c r="O213" s="338"/>
      <c r="P213" s="339"/>
      <c r="Q213" s="346"/>
      <c r="R213" s="347"/>
      <c r="S213" s="354"/>
      <c r="T213" s="355"/>
      <c r="U213" s="302"/>
    </row>
    <row r="214" spans="2:21" ht="14.1" customHeight="1" x14ac:dyDescent="0.15">
      <c r="B214" s="302"/>
      <c r="C214" s="325">
        <v>201</v>
      </c>
      <c r="D214" s="999"/>
      <c r="E214" s="1000"/>
      <c r="F214" s="1000"/>
      <c r="G214" s="1000"/>
      <c r="H214" s="1000"/>
      <c r="I214" s="1000"/>
      <c r="J214" s="1001"/>
      <c r="K214" s="302"/>
      <c r="L214" s="363"/>
      <c r="M214" s="330"/>
      <c r="N214" s="331"/>
      <c r="O214" s="338"/>
      <c r="P214" s="339"/>
      <c r="Q214" s="346"/>
      <c r="R214" s="347"/>
      <c r="S214" s="354"/>
      <c r="T214" s="355"/>
      <c r="U214" s="302"/>
    </row>
    <row r="215" spans="2:21" ht="14.1" customHeight="1" x14ac:dyDescent="0.15">
      <c r="B215" s="302"/>
      <c r="C215" s="325">
        <v>202</v>
      </c>
      <c r="D215" s="999"/>
      <c r="E215" s="1000"/>
      <c r="F215" s="1000"/>
      <c r="G215" s="1000"/>
      <c r="H215" s="1000"/>
      <c r="I215" s="1000"/>
      <c r="J215" s="1001"/>
      <c r="K215" s="302"/>
      <c r="L215" s="363"/>
      <c r="M215" s="330"/>
      <c r="N215" s="331"/>
      <c r="O215" s="338"/>
      <c r="P215" s="339"/>
      <c r="Q215" s="346"/>
      <c r="R215" s="347"/>
      <c r="S215" s="354"/>
      <c r="T215" s="355"/>
      <c r="U215" s="302"/>
    </row>
    <row r="216" spans="2:21" ht="14.1" customHeight="1" x14ac:dyDescent="0.15">
      <c r="B216" s="302"/>
      <c r="C216" s="325">
        <v>203</v>
      </c>
      <c r="D216" s="999"/>
      <c r="E216" s="1000"/>
      <c r="F216" s="1000"/>
      <c r="G216" s="1000"/>
      <c r="H216" s="1000"/>
      <c r="I216" s="1000"/>
      <c r="J216" s="1001"/>
      <c r="K216" s="302"/>
      <c r="L216" s="363"/>
      <c r="M216" s="330"/>
      <c r="N216" s="331"/>
      <c r="O216" s="338"/>
      <c r="P216" s="339"/>
      <c r="Q216" s="346"/>
      <c r="R216" s="347"/>
      <c r="S216" s="354"/>
      <c r="T216" s="355"/>
      <c r="U216" s="302"/>
    </row>
    <row r="217" spans="2:21" ht="14.1" customHeight="1" x14ac:dyDescent="0.15">
      <c r="B217" s="302"/>
      <c r="C217" s="325">
        <v>204</v>
      </c>
      <c r="D217" s="999"/>
      <c r="E217" s="1000"/>
      <c r="F217" s="1000"/>
      <c r="G217" s="1000"/>
      <c r="H217" s="1000"/>
      <c r="I217" s="1000"/>
      <c r="J217" s="1001"/>
      <c r="K217" s="302"/>
      <c r="L217" s="363"/>
      <c r="M217" s="330"/>
      <c r="N217" s="331"/>
      <c r="O217" s="338"/>
      <c r="P217" s="339"/>
      <c r="Q217" s="346"/>
      <c r="R217" s="347"/>
      <c r="S217" s="354"/>
      <c r="T217" s="355"/>
      <c r="U217" s="302"/>
    </row>
    <row r="218" spans="2:21" ht="14.1" customHeight="1" x14ac:dyDescent="0.15">
      <c r="B218" s="302"/>
      <c r="C218" s="325">
        <v>205</v>
      </c>
      <c r="D218" s="999"/>
      <c r="E218" s="1000"/>
      <c r="F218" s="1000"/>
      <c r="G218" s="1000"/>
      <c r="H218" s="1000"/>
      <c r="I218" s="1000"/>
      <c r="J218" s="1001"/>
      <c r="K218" s="302"/>
      <c r="L218" s="363"/>
      <c r="M218" s="330"/>
      <c r="N218" s="331"/>
      <c r="O218" s="338"/>
      <c r="P218" s="339"/>
      <c r="Q218" s="346"/>
      <c r="R218" s="347"/>
      <c r="S218" s="354"/>
      <c r="T218" s="355"/>
      <c r="U218" s="302"/>
    </row>
    <row r="219" spans="2:21" ht="14.1" customHeight="1" x14ac:dyDescent="0.15">
      <c r="B219" s="302"/>
      <c r="C219" s="325">
        <v>206</v>
      </c>
      <c r="D219" s="999"/>
      <c r="E219" s="1000"/>
      <c r="F219" s="1000"/>
      <c r="G219" s="1000"/>
      <c r="H219" s="1000"/>
      <c r="I219" s="1000"/>
      <c r="J219" s="1001"/>
      <c r="K219" s="302"/>
      <c r="L219" s="363"/>
      <c r="M219" s="330"/>
      <c r="N219" s="331"/>
      <c r="O219" s="338"/>
      <c r="P219" s="339"/>
      <c r="Q219" s="346"/>
      <c r="R219" s="347"/>
      <c r="S219" s="354"/>
      <c r="T219" s="355"/>
      <c r="U219" s="302"/>
    </row>
    <row r="220" spans="2:21" ht="14.1" customHeight="1" x14ac:dyDescent="0.15">
      <c r="B220" s="302"/>
      <c r="C220" s="325">
        <v>207</v>
      </c>
      <c r="D220" s="999"/>
      <c r="E220" s="1000"/>
      <c r="F220" s="1000"/>
      <c r="G220" s="1000"/>
      <c r="H220" s="1000"/>
      <c r="I220" s="1000"/>
      <c r="J220" s="1001"/>
      <c r="K220" s="302"/>
      <c r="L220" s="363"/>
      <c r="M220" s="330"/>
      <c r="N220" s="331"/>
      <c r="O220" s="338"/>
      <c r="P220" s="339"/>
      <c r="Q220" s="346"/>
      <c r="R220" s="347"/>
      <c r="S220" s="354"/>
      <c r="T220" s="355"/>
      <c r="U220" s="302"/>
    </row>
    <row r="221" spans="2:21" ht="14.1" customHeight="1" x14ac:dyDescent="0.15">
      <c r="B221" s="302"/>
      <c r="C221" s="325">
        <v>208</v>
      </c>
      <c r="D221" s="999"/>
      <c r="E221" s="1000"/>
      <c r="F221" s="1000"/>
      <c r="G221" s="1000"/>
      <c r="H221" s="1000"/>
      <c r="I221" s="1000"/>
      <c r="J221" s="1001"/>
      <c r="K221" s="302"/>
      <c r="L221" s="363"/>
      <c r="M221" s="330"/>
      <c r="N221" s="331"/>
      <c r="O221" s="338"/>
      <c r="P221" s="339"/>
      <c r="Q221" s="346"/>
      <c r="R221" s="347"/>
      <c r="S221" s="354"/>
      <c r="T221" s="355"/>
      <c r="U221" s="302"/>
    </row>
    <row r="222" spans="2:21" ht="14.1" customHeight="1" x14ac:dyDescent="0.15">
      <c r="B222" s="302"/>
      <c r="C222" s="325">
        <v>209</v>
      </c>
      <c r="D222" s="999"/>
      <c r="E222" s="1000"/>
      <c r="F222" s="1000"/>
      <c r="G222" s="1000"/>
      <c r="H222" s="1000"/>
      <c r="I222" s="1000"/>
      <c r="J222" s="1001"/>
      <c r="K222" s="302"/>
      <c r="L222" s="363"/>
      <c r="M222" s="330"/>
      <c r="N222" s="331"/>
      <c r="O222" s="338"/>
      <c r="P222" s="339"/>
      <c r="Q222" s="346"/>
      <c r="R222" s="347"/>
      <c r="S222" s="354"/>
      <c r="T222" s="355"/>
      <c r="U222" s="302"/>
    </row>
    <row r="223" spans="2:21" ht="14.1" customHeight="1" x14ac:dyDescent="0.15">
      <c r="B223" s="302"/>
      <c r="C223" s="325">
        <v>210</v>
      </c>
      <c r="D223" s="999"/>
      <c r="E223" s="1000"/>
      <c r="F223" s="1000"/>
      <c r="G223" s="1000"/>
      <c r="H223" s="1000"/>
      <c r="I223" s="1000"/>
      <c r="J223" s="1001"/>
      <c r="K223" s="302"/>
      <c r="L223" s="363"/>
      <c r="M223" s="330"/>
      <c r="N223" s="331"/>
      <c r="O223" s="338"/>
      <c r="P223" s="339"/>
      <c r="Q223" s="346"/>
      <c r="R223" s="347"/>
      <c r="S223" s="354"/>
      <c r="T223" s="355"/>
      <c r="U223" s="302"/>
    </row>
    <row r="224" spans="2:21" ht="14.1" customHeight="1" x14ac:dyDescent="0.15">
      <c r="B224" s="302"/>
      <c r="C224" s="325">
        <v>211</v>
      </c>
      <c r="D224" s="999"/>
      <c r="E224" s="1000"/>
      <c r="F224" s="1000"/>
      <c r="G224" s="1000"/>
      <c r="H224" s="1000"/>
      <c r="I224" s="1000"/>
      <c r="J224" s="1001"/>
      <c r="K224" s="302"/>
      <c r="L224" s="363"/>
      <c r="M224" s="330"/>
      <c r="N224" s="331"/>
      <c r="O224" s="338"/>
      <c r="P224" s="339"/>
      <c r="Q224" s="346"/>
      <c r="R224" s="347"/>
      <c r="S224" s="354"/>
      <c r="T224" s="355"/>
      <c r="U224" s="302"/>
    </row>
    <row r="225" spans="2:21" ht="14.1" customHeight="1" x14ac:dyDescent="0.15">
      <c r="B225" s="302"/>
      <c r="C225" s="325">
        <v>212</v>
      </c>
      <c r="D225" s="999"/>
      <c r="E225" s="1000"/>
      <c r="F225" s="1000"/>
      <c r="G225" s="1000"/>
      <c r="H225" s="1000"/>
      <c r="I225" s="1000"/>
      <c r="J225" s="1001"/>
      <c r="K225" s="302"/>
      <c r="L225" s="363"/>
      <c r="M225" s="330"/>
      <c r="N225" s="331"/>
      <c r="O225" s="338"/>
      <c r="P225" s="339"/>
      <c r="Q225" s="346"/>
      <c r="R225" s="347"/>
      <c r="S225" s="354"/>
      <c r="T225" s="355"/>
      <c r="U225" s="302"/>
    </row>
    <row r="226" spans="2:21" ht="14.1" customHeight="1" x14ac:dyDescent="0.15">
      <c r="B226" s="302"/>
      <c r="C226" s="325">
        <v>213</v>
      </c>
      <c r="D226" s="999"/>
      <c r="E226" s="1000"/>
      <c r="F226" s="1000"/>
      <c r="G226" s="1000"/>
      <c r="H226" s="1000"/>
      <c r="I226" s="1000"/>
      <c r="J226" s="1001"/>
      <c r="K226" s="302"/>
      <c r="L226" s="363"/>
      <c r="M226" s="330"/>
      <c r="N226" s="331"/>
      <c r="O226" s="338"/>
      <c r="P226" s="339"/>
      <c r="Q226" s="346"/>
      <c r="R226" s="347"/>
      <c r="S226" s="354"/>
      <c r="T226" s="355"/>
      <c r="U226" s="302"/>
    </row>
    <row r="227" spans="2:21" ht="14.1" customHeight="1" x14ac:dyDescent="0.15">
      <c r="B227" s="302"/>
      <c r="C227" s="325">
        <v>214</v>
      </c>
      <c r="D227" s="999"/>
      <c r="E227" s="1000"/>
      <c r="F227" s="1000"/>
      <c r="G227" s="1000"/>
      <c r="H227" s="1000"/>
      <c r="I227" s="1000"/>
      <c r="J227" s="1001"/>
      <c r="K227" s="302"/>
      <c r="L227" s="363"/>
      <c r="M227" s="330"/>
      <c r="N227" s="331"/>
      <c r="O227" s="338"/>
      <c r="P227" s="339"/>
      <c r="Q227" s="346"/>
      <c r="R227" s="347"/>
      <c r="S227" s="354"/>
      <c r="T227" s="355"/>
      <c r="U227" s="302"/>
    </row>
    <row r="228" spans="2:21" ht="14.1" customHeight="1" x14ac:dyDescent="0.15">
      <c r="B228" s="302"/>
      <c r="C228" s="325">
        <v>215</v>
      </c>
      <c r="D228" s="999"/>
      <c r="E228" s="1000"/>
      <c r="F228" s="1000"/>
      <c r="G228" s="1000"/>
      <c r="H228" s="1000"/>
      <c r="I228" s="1000"/>
      <c r="J228" s="1001"/>
      <c r="K228" s="302"/>
      <c r="L228" s="363"/>
      <c r="M228" s="330"/>
      <c r="N228" s="331"/>
      <c r="O228" s="338"/>
      <c r="P228" s="339"/>
      <c r="Q228" s="346"/>
      <c r="R228" s="347"/>
      <c r="S228" s="354"/>
      <c r="T228" s="355"/>
      <c r="U228" s="302"/>
    </row>
    <row r="229" spans="2:21" ht="14.1" customHeight="1" x14ac:dyDescent="0.15">
      <c r="B229" s="302"/>
      <c r="C229" s="325">
        <v>216</v>
      </c>
      <c r="D229" s="999"/>
      <c r="E229" s="1000"/>
      <c r="F229" s="1000"/>
      <c r="G229" s="1000"/>
      <c r="H229" s="1000"/>
      <c r="I229" s="1000"/>
      <c r="J229" s="1001"/>
      <c r="K229" s="302"/>
      <c r="L229" s="363"/>
      <c r="M229" s="330"/>
      <c r="N229" s="331"/>
      <c r="O229" s="338"/>
      <c r="P229" s="339"/>
      <c r="Q229" s="346"/>
      <c r="R229" s="347"/>
      <c r="S229" s="354"/>
      <c r="T229" s="355"/>
      <c r="U229" s="302"/>
    </row>
    <row r="230" spans="2:21" ht="14.1" customHeight="1" x14ac:dyDescent="0.15">
      <c r="B230" s="302"/>
      <c r="C230" s="325">
        <v>217</v>
      </c>
      <c r="D230" s="999"/>
      <c r="E230" s="1000"/>
      <c r="F230" s="1000"/>
      <c r="G230" s="1000"/>
      <c r="H230" s="1000"/>
      <c r="I230" s="1000"/>
      <c r="J230" s="1001"/>
      <c r="K230" s="302"/>
      <c r="L230" s="363"/>
      <c r="M230" s="330"/>
      <c r="N230" s="331"/>
      <c r="O230" s="338"/>
      <c r="P230" s="339"/>
      <c r="Q230" s="346"/>
      <c r="R230" s="347"/>
      <c r="S230" s="354"/>
      <c r="T230" s="355"/>
      <c r="U230" s="302"/>
    </row>
    <row r="231" spans="2:21" ht="14.1" customHeight="1" x14ac:dyDescent="0.15">
      <c r="B231" s="302"/>
      <c r="C231" s="325">
        <v>218</v>
      </c>
      <c r="D231" s="999"/>
      <c r="E231" s="1000"/>
      <c r="F231" s="1000"/>
      <c r="G231" s="1000"/>
      <c r="H231" s="1000"/>
      <c r="I231" s="1000"/>
      <c r="J231" s="1001"/>
      <c r="K231" s="302"/>
      <c r="L231" s="363"/>
      <c r="M231" s="330"/>
      <c r="N231" s="331"/>
      <c r="O231" s="338"/>
      <c r="P231" s="339"/>
      <c r="Q231" s="346"/>
      <c r="R231" s="347"/>
      <c r="S231" s="354"/>
      <c r="T231" s="355"/>
      <c r="U231" s="302"/>
    </row>
    <row r="232" spans="2:21" ht="14.1" customHeight="1" x14ac:dyDescent="0.15">
      <c r="B232" s="302"/>
      <c r="C232" s="325">
        <v>219</v>
      </c>
      <c r="D232" s="999"/>
      <c r="E232" s="1000"/>
      <c r="F232" s="1000"/>
      <c r="G232" s="1000"/>
      <c r="H232" s="1000"/>
      <c r="I232" s="1000"/>
      <c r="J232" s="1001"/>
      <c r="K232" s="302"/>
      <c r="L232" s="363"/>
      <c r="M232" s="330"/>
      <c r="N232" s="331"/>
      <c r="O232" s="338"/>
      <c r="P232" s="339"/>
      <c r="Q232" s="346"/>
      <c r="R232" s="347"/>
      <c r="S232" s="354"/>
      <c r="T232" s="355"/>
      <c r="U232" s="302"/>
    </row>
    <row r="233" spans="2:21" ht="14.1" customHeight="1" x14ac:dyDescent="0.15">
      <c r="B233" s="302"/>
      <c r="C233" s="325">
        <v>220</v>
      </c>
      <c r="D233" s="999"/>
      <c r="E233" s="1000"/>
      <c r="F233" s="1000"/>
      <c r="G233" s="1000"/>
      <c r="H233" s="1000"/>
      <c r="I233" s="1000"/>
      <c r="J233" s="1001"/>
      <c r="K233" s="302"/>
      <c r="L233" s="363"/>
      <c r="M233" s="330"/>
      <c r="N233" s="331"/>
      <c r="O233" s="338"/>
      <c r="P233" s="339"/>
      <c r="Q233" s="346"/>
      <c r="R233" s="347"/>
      <c r="S233" s="354"/>
      <c r="T233" s="355"/>
      <c r="U233" s="302"/>
    </row>
    <row r="234" spans="2:21" ht="14.1" customHeight="1" x14ac:dyDescent="0.15">
      <c r="B234" s="302"/>
      <c r="C234" s="325">
        <v>221</v>
      </c>
      <c r="D234" s="999"/>
      <c r="E234" s="1000"/>
      <c r="F234" s="1000"/>
      <c r="G234" s="1000"/>
      <c r="H234" s="1000"/>
      <c r="I234" s="1000"/>
      <c r="J234" s="1001"/>
      <c r="K234" s="302"/>
      <c r="L234" s="363"/>
      <c r="M234" s="330"/>
      <c r="N234" s="331"/>
      <c r="O234" s="338"/>
      <c r="P234" s="339"/>
      <c r="Q234" s="346"/>
      <c r="R234" s="347"/>
      <c r="S234" s="354"/>
      <c r="T234" s="355"/>
      <c r="U234" s="302"/>
    </row>
    <row r="235" spans="2:21" ht="14.1" customHeight="1" x14ac:dyDescent="0.15">
      <c r="B235" s="302"/>
      <c r="C235" s="325">
        <v>222</v>
      </c>
      <c r="D235" s="999"/>
      <c r="E235" s="1000"/>
      <c r="F235" s="1000"/>
      <c r="G235" s="1000"/>
      <c r="H235" s="1000"/>
      <c r="I235" s="1000"/>
      <c r="J235" s="1001"/>
      <c r="K235" s="302"/>
      <c r="L235" s="363"/>
      <c r="M235" s="330"/>
      <c r="N235" s="331"/>
      <c r="O235" s="338"/>
      <c r="P235" s="339"/>
      <c r="Q235" s="346"/>
      <c r="R235" s="347"/>
      <c r="S235" s="354"/>
      <c r="T235" s="355"/>
      <c r="U235" s="302"/>
    </row>
    <row r="236" spans="2:21" ht="14.1" customHeight="1" x14ac:dyDescent="0.15">
      <c r="B236" s="302"/>
      <c r="C236" s="325">
        <v>223</v>
      </c>
      <c r="D236" s="999"/>
      <c r="E236" s="1000"/>
      <c r="F236" s="1000"/>
      <c r="G236" s="1000"/>
      <c r="H236" s="1000"/>
      <c r="I236" s="1000"/>
      <c r="J236" s="1001"/>
      <c r="K236" s="302"/>
      <c r="L236" s="363"/>
      <c r="M236" s="330"/>
      <c r="N236" s="331"/>
      <c r="O236" s="338"/>
      <c r="P236" s="339"/>
      <c r="Q236" s="346"/>
      <c r="R236" s="347"/>
      <c r="S236" s="354"/>
      <c r="T236" s="355"/>
      <c r="U236" s="302"/>
    </row>
    <row r="237" spans="2:21" ht="14.1" customHeight="1" x14ac:dyDescent="0.15">
      <c r="B237" s="302"/>
      <c r="C237" s="325">
        <v>224</v>
      </c>
      <c r="D237" s="999"/>
      <c r="E237" s="1000"/>
      <c r="F237" s="1000"/>
      <c r="G237" s="1000"/>
      <c r="H237" s="1000"/>
      <c r="I237" s="1000"/>
      <c r="J237" s="1001"/>
      <c r="K237" s="302"/>
      <c r="L237" s="363"/>
      <c r="M237" s="330"/>
      <c r="N237" s="331"/>
      <c r="O237" s="338"/>
      <c r="P237" s="339"/>
      <c r="Q237" s="346"/>
      <c r="R237" s="347"/>
      <c r="S237" s="354"/>
      <c r="T237" s="355"/>
      <c r="U237" s="302"/>
    </row>
    <row r="238" spans="2:21" ht="14.1" customHeight="1" x14ac:dyDescent="0.15">
      <c r="B238" s="302"/>
      <c r="C238" s="325">
        <v>225</v>
      </c>
      <c r="D238" s="999"/>
      <c r="E238" s="1000"/>
      <c r="F238" s="1000"/>
      <c r="G238" s="1000"/>
      <c r="H238" s="1000"/>
      <c r="I238" s="1000"/>
      <c r="J238" s="1001"/>
      <c r="K238" s="302"/>
      <c r="L238" s="363"/>
      <c r="M238" s="330"/>
      <c r="N238" s="331"/>
      <c r="O238" s="338"/>
      <c r="P238" s="339"/>
      <c r="Q238" s="346"/>
      <c r="R238" s="347"/>
      <c r="S238" s="354"/>
      <c r="T238" s="355"/>
      <c r="U238" s="302"/>
    </row>
    <row r="239" spans="2:21" ht="14.1" customHeight="1" x14ac:dyDescent="0.15">
      <c r="B239" s="302"/>
      <c r="C239" s="325">
        <v>226</v>
      </c>
      <c r="D239" s="999"/>
      <c r="E239" s="1000"/>
      <c r="F239" s="1000"/>
      <c r="G239" s="1000"/>
      <c r="H239" s="1000"/>
      <c r="I239" s="1000"/>
      <c r="J239" s="1001"/>
      <c r="K239" s="302"/>
      <c r="L239" s="363"/>
      <c r="M239" s="330"/>
      <c r="N239" s="331"/>
      <c r="O239" s="338"/>
      <c r="P239" s="339"/>
      <c r="Q239" s="346"/>
      <c r="R239" s="347"/>
      <c r="S239" s="354"/>
      <c r="T239" s="355"/>
      <c r="U239" s="302"/>
    </row>
    <row r="240" spans="2:21" ht="14.1" customHeight="1" x14ac:dyDescent="0.15">
      <c r="B240" s="302"/>
      <c r="C240" s="325">
        <v>227</v>
      </c>
      <c r="D240" s="999"/>
      <c r="E240" s="1000"/>
      <c r="F240" s="1000"/>
      <c r="G240" s="1000"/>
      <c r="H240" s="1000"/>
      <c r="I240" s="1000"/>
      <c r="J240" s="1001"/>
      <c r="K240" s="302"/>
      <c r="L240" s="363"/>
      <c r="M240" s="330"/>
      <c r="N240" s="331"/>
      <c r="O240" s="338"/>
      <c r="P240" s="339"/>
      <c r="Q240" s="346"/>
      <c r="R240" s="347"/>
      <c r="S240" s="354"/>
      <c r="T240" s="355"/>
      <c r="U240" s="302"/>
    </row>
    <row r="241" spans="2:21" ht="14.1" customHeight="1" x14ac:dyDescent="0.15">
      <c r="B241" s="302"/>
      <c r="C241" s="325">
        <v>228</v>
      </c>
      <c r="D241" s="999"/>
      <c r="E241" s="1000"/>
      <c r="F241" s="1000"/>
      <c r="G241" s="1000"/>
      <c r="H241" s="1000"/>
      <c r="I241" s="1000"/>
      <c r="J241" s="1001"/>
      <c r="K241" s="302"/>
      <c r="L241" s="363"/>
      <c r="M241" s="330"/>
      <c r="N241" s="331"/>
      <c r="O241" s="338"/>
      <c r="P241" s="339"/>
      <c r="Q241" s="346"/>
      <c r="R241" s="347"/>
      <c r="S241" s="354"/>
      <c r="T241" s="355"/>
      <c r="U241" s="302"/>
    </row>
    <row r="242" spans="2:21" ht="14.1" customHeight="1" x14ac:dyDescent="0.15">
      <c r="B242" s="302"/>
      <c r="C242" s="325">
        <v>229</v>
      </c>
      <c r="D242" s="999"/>
      <c r="E242" s="1000"/>
      <c r="F242" s="1000"/>
      <c r="G242" s="1000"/>
      <c r="H242" s="1000"/>
      <c r="I242" s="1000"/>
      <c r="J242" s="1001"/>
      <c r="K242" s="302"/>
      <c r="L242" s="363"/>
      <c r="M242" s="330"/>
      <c r="N242" s="331"/>
      <c r="O242" s="338"/>
      <c r="P242" s="339"/>
      <c r="Q242" s="346"/>
      <c r="R242" s="347"/>
      <c r="S242" s="354"/>
      <c r="T242" s="355"/>
      <c r="U242" s="302"/>
    </row>
    <row r="243" spans="2:21" ht="14.1" customHeight="1" x14ac:dyDescent="0.15">
      <c r="B243" s="302"/>
      <c r="C243" s="325">
        <v>230</v>
      </c>
      <c r="D243" s="999"/>
      <c r="E243" s="1000"/>
      <c r="F243" s="1000"/>
      <c r="G243" s="1000"/>
      <c r="H243" s="1000"/>
      <c r="I243" s="1000"/>
      <c r="J243" s="1001"/>
      <c r="K243" s="302"/>
      <c r="L243" s="363"/>
      <c r="M243" s="330"/>
      <c r="N243" s="331"/>
      <c r="O243" s="338"/>
      <c r="P243" s="339"/>
      <c r="Q243" s="346"/>
      <c r="R243" s="347"/>
      <c r="S243" s="354"/>
      <c r="T243" s="355"/>
      <c r="U243" s="302"/>
    </row>
    <row r="244" spans="2:21" ht="14.1" customHeight="1" x14ac:dyDescent="0.15">
      <c r="B244" s="302"/>
      <c r="C244" s="325">
        <v>231</v>
      </c>
      <c r="D244" s="999"/>
      <c r="E244" s="1000"/>
      <c r="F244" s="1000"/>
      <c r="G244" s="1000"/>
      <c r="H244" s="1000"/>
      <c r="I244" s="1000"/>
      <c r="J244" s="1001"/>
      <c r="K244" s="302"/>
      <c r="L244" s="363"/>
      <c r="M244" s="330"/>
      <c r="N244" s="331"/>
      <c r="O244" s="338"/>
      <c r="P244" s="339"/>
      <c r="Q244" s="346"/>
      <c r="R244" s="347"/>
      <c r="S244" s="354"/>
      <c r="T244" s="355"/>
      <c r="U244" s="302"/>
    </row>
    <row r="245" spans="2:21" ht="14.1" customHeight="1" x14ac:dyDescent="0.15">
      <c r="B245" s="302"/>
      <c r="C245" s="325">
        <v>232</v>
      </c>
      <c r="D245" s="999"/>
      <c r="E245" s="1000"/>
      <c r="F245" s="1000"/>
      <c r="G245" s="1000"/>
      <c r="H245" s="1000"/>
      <c r="I245" s="1000"/>
      <c r="J245" s="1001"/>
      <c r="K245" s="302"/>
      <c r="L245" s="363"/>
      <c r="M245" s="330"/>
      <c r="N245" s="331"/>
      <c r="O245" s="338"/>
      <c r="P245" s="339"/>
      <c r="Q245" s="346"/>
      <c r="R245" s="347"/>
      <c r="S245" s="354"/>
      <c r="T245" s="355"/>
      <c r="U245" s="302"/>
    </row>
    <row r="246" spans="2:21" ht="14.1" customHeight="1" x14ac:dyDescent="0.15">
      <c r="B246" s="302"/>
      <c r="C246" s="325">
        <v>233</v>
      </c>
      <c r="D246" s="999"/>
      <c r="E246" s="1000"/>
      <c r="F246" s="1000"/>
      <c r="G246" s="1000"/>
      <c r="H246" s="1000"/>
      <c r="I246" s="1000"/>
      <c r="J246" s="1001"/>
      <c r="K246" s="302"/>
      <c r="L246" s="363"/>
      <c r="M246" s="330"/>
      <c r="N246" s="331"/>
      <c r="O246" s="338"/>
      <c r="P246" s="339"/>
      <c r="Q246" s="346"/>
      <c r="R246" s="347"/>
      <c r="S246" s="354"/>
      <c r="T246" s="355"/>
      <c r="U246" s="302"/>
    </row>
    <row r="247" spans="2:21" ht="14.1" customHeight="1" x14ac:dyDescent="0.15">
      <c r="B247" s="302"/>
      <c r="C247" s="325">
        <v>234</v>
      </c>
      <c r="D247" s="999"/>
      <c r="E247" s="1000"/>
      <c r="F247" s="1000"/>
      <c r="G247" s="1000"/>
      <c r="H247" s="1000"/>
      <c r="I247" s="1000"/>
      <c r="J247" s="1001"/>
      <c r="K247" s="302"/>
      <c r="L247" s="363"/>
      <c r="M247" s="330"/>
      <c r="N247" s="331"/>
      <c r="O247" s="338"/>
      <c r="P247" s="339"/>
      <c r="Q247" s="346"/>
      <c r="R247" s="347"/>
      <c r="S247" s="354"/>
      <c r="T247" s="355"/>
      <c r="U247" s="302"/>
    </row>
    <row r="248" spans="2:21" ht="14.1" customHeight="1" x14ac:dyDescent="0.15">
      <c r="B248" s="302"/>
      <c r="C248" s="325">
        <v>235</v>
      </c>
      <c r="D248" s="999"/>
      <c r="E248" s="1000"/>
      <c r="F248" s="1000"/>
      <c r="G248" s="1000"/>
      <c r="H248" s="1000"/>
      <c r="I248" s="1000"/>
      <c r="J248" s="1001"/>
      <c r="K248" s="302"/>
      <c r="L248" s="363"/>
      <c r="M248" s="330"/>
      <c r="N248" s="331"/>
      <c r="O248" s="338"/>
      <c r="P248" s="339"/>
      <c r="Q248" s="346"/>
      <c r="R248" s="347"/>
      <c r="S248" s="354"/>
      <c r="T248" s="355"/>
      <c r="U248" s="302"/>
    </row>
    <row r="249" spans="2:21" ht="14.1" customHeight="1" x14ac:dyDescent="0.15">
      <c r="B249" s="302"/>
      <c r="C249" s="325">
        <v>236</v>
      </c>
      <c r="D249" s="999"/>
      <c r="E249" s="1000"/>
      <c r="F249" s="1000"/>
      <c r="G249" s="1000"/>
      <c r="H249" s="1000"/>
      <c r="I249" s="1000"/>
      <c r="J249" s="1001"/>
      <c r="K249" s="302"/>
      <c r="L249" s="363"/>
      <c r="M249" s="330"/>
      <c r="N249" s="331"/>
      <c r="O249" s="338"/>
      <c r="P249" s="339"/>
      <c r="Q249" s="346"/>
      <c r="R249" s="347"/>
      <c r="S249" s="354"/>
      <c r="T249" s="355"/>
      <c r="U249" s="302"/>
    </row>
    <row r="250" spans="2:21" ht="14.1" customHeight="1" x14ac:dyDescent="0.15">
      <c r="B250" s="302"/>
      <c r="C250" s="325">
        <v>237</v>
      </c>
      <c r="D250" s="999"/>
      <c r="E250" s="1000"/>
      <c r="F250" s="1000"/>
      <c r="G250" s="1000"/>
      <c r="H250" s="1000"/>
      <c r="I250" s="1000"/>
      <c r="J250" s="1001"/>
      <c r="K250" s="302"/>
      <c r="L250" s="363"/>
      <c r="M250" s="330"/>
      <c r="N250" s="331"/>
      <c r="O250" s="338"/>
      <c r="P250" s="339"/>
      <c r="Q250" s="346"/>
      <c r="R250" s="347"/>
      <c r="S250" s="354"/>
      <c r="T250" s="355"/>
      <c r="U250" s="302"/>
    </row>
    <row r="251" spans="2:21" ht="14.1" customHeight="1" x14ac:dyDescent="0.15">
      <c r="B251" s="302"/>
      <c r="C251" s="325">
        <v>238</v>
      </c>
      <c r="D251" s="999"/>
      <c r="E251" s="1000"/>
      <c r="F251" s="1000"/>
      <c r="G251" s="1000"/>
      <c r="H251" s="1000"/>
      <c r="I251" s="1000"/>
      <c r="J251" s="1001"/>
      <c r="K251" s="302"/>
      <c r="L251" s="363"/>
      <c r="M251" s="330"/>
      <c r="N251" s="331"/>
      <c r="O251" s="338"/>
      <c r="P251" s="339"/>
      <c r="Q251" s="346"/>
      <c r="R251" s="347"/>
      <c r="S251" s="354"/>
      <c r="T251" s="355"/>
      <c r="U251" s="302"/>
    </row>
    <row r="252" spans="2:21" ht="14.1" customHeight="1" x14ac:dyDescent="0.15">
      <c r="B252" s="302"/>
      <c r="C252" s="325">
        <v>239</v>
      </c>
      <c r="D252" s="999"/>
      <c r="E252" s="1000"/>
      <c r="F252" s="1000"/>
      <c r="G252" s="1000"/>
      <c r="H252" s="1000"/>
      <c r="I252" s="1000"/>
      <c r="J252" s="1001"/>
      <c r="K252" s="302"/>
      <c r="L252" s="363"/>
      <c r="M252" s="330"/>
      <c r="N252" s="331"/>
      <c r="O252" s="338"/>
      <c r="P252" s="339"/>
      <c r="Q252" s="346"/>
      <c r="R252" s="347"/>
      <c r="S252" s="354"/>
      <c r="T252" s="355"/>
      <c r="U252" s="302"/>
    </row>
    <row r="253" spans="2:21" ht="14.1" customHeight="1" x14ac:dyDescent="0.15">
      <c r="B253" s="302"/>
      <c r="C253" s="325">
        <v>240</v>
      </c>
      <c r="D253" s="999"/>
      <c r="E253" s="1000"/>
      <c r="F253" s="1000"/>
      <c r="G253" s="1000"/>
      <c r="H253" s="1000"/>
      <c r="I253" s="1000"/>
      <c r="J253" s="1001"/>
      <c r="K253" s="302"/>
      <c r="L253" s="363"/>
      <c r="M253" s="330"/>
      <c r="N253" s="331"/>
      <c r="O253" s="338"/>
      <c r="P253" s="339"/>
      <c r="Q253" s="346"/>
      <c r="R253" s="347"/>
      <c r="S253" s="354"/>
      <c r="T253" s="355"/>
      <c r="U253" s="302"/>
    </row>
    <row r="254" spans="2:21" ht="14.1" customHeight="1" x14ac:dyDescent="0.15">
      <c r="B254" s="302"/>
      <c r="C254" s="325">
        <v>241</v>
      </c>
      <c r="D254" s="999"/>
      <c r="E254" s="1000"/>
      <c r="F254" s="1000"/>
      <c r="G254" s="1000"/>
      <c r="H254" s="1000"/>
      <c r="I254" s="1000"/>
      <c r="J254" s="1001"/>
      <c r="K254" s="302"/>
      <c r="L254" s="363"/>
      <c r="M254" s="330"/>
      <c r="N254" s="331"/>
      <c r="O254" s="338"/>
      <c r="P254" s="339"/>
      <c r="Q254" s="346"/>
      <c r="R254" s="347"/>
      <c r="S254" s="354"/>
      <c r="T254" s="355"/>
      <c r="U254" s="302"/>
    </row>
    <row r="255" spans="2:21" ht="14.1" customHeight="1" x14ac:dyDescent="0.15">
      <c r="B255" s="302"/>
      <c r="C255" s="325">
        <v>242</v>
      </c>
      <c r="D255" s="999"/>
      <c r="E255" s="1000"/>
      <c r="F255" s="1000"/>
      <c r="G255" s="1000"/>
      <c r="H255" s="1000"/>
      <c r="I255" s="1000"/>
      <c r="J255" s="1001"/>
      <c r="K255" s="302"/>
      <c r="L255" s="363"/>
      <c r="M255" s="330"/>
      <c r="N255" s="331"/>
      <c r="O255" s="338"/>
      <c r="P255" s="339"/>
      <c r="Q255" s="346"/>
      <c r="R255" s="347"/>
      <c r="S255" s="354"/>
      <c r="T255" s="355"/>
      <c r="U255" s="302"/>
    </row>
    <row r="256" spans="2:21" ht="14.1" customHeight="1" x14ac:dyDescent="0.15">
      <c r="B256" s="302"/>
      <c r="C256" s="325">
        <v>243</v>
      </c>
      <c r="D256" s="999"/>
      <c r="E256" s="1000"/>
      <c r="F256" s="1000"/>
      <c r="G256" s="1000"/>
      <c r="H256" s="1000"/>
      <c r="I256" s="1000"/>
      <c r="J256" s="1001"/>
      <c r="K256" s="302"/>
      <c r="L256" s="363"/>
      <c r="M256" s="330"/>
      <c r="N256" s="331"/>
      <c r="O256" s="338"/>
      <c r="P256" s="339"/>
      <c r="Q256" s="346"/>
      <c r="R256" s="347"/>
      <c r="S256" s="354"/>
      <c r="T256" s="355"/>
      <c r="U256" s="302"/>
    </row>
    <row r="257" spans="2:21" ht="14.1" customHeight="1" x14ac:dyDescent="0.15">
      <c r="B257" s="302"/>
      <c r="C257" s="325">
        <v>244</v>
      </c>
      <c r="D257" s="999"/>
      <c r="E257" s="1000"/>
      <c r="F257" s="1000"/>
      <c r="G257" s="1000"/>
      <c r="H257" s="1000"/>
      <c r="I257" s="1000"/>
      <c r="J257" s="1001"/>
      <c r="K257" s="302"/>
      <c r="L257" s="363"/>
      <c r="M257" s="330"/>
      <c r="N257" s="331"/>
      <c r="O257" s="338"/>
      <c r="P257" s="339"/>
      <c r="Q257" s="346"/>
      <c r="R257" s="347"/>
      <c r="S257" s="354"/>
      <c r="T257" s="355"/>
      <c r="U257" s="302"/>
    </row>
    <row r="258" spans="2:21" ht="14.1" customHeight="1" x14ac:dyDescent="0.15">
      <c r="B258" s="302"/>
      <c r="C258" s="325">
        <v>245</v>
      </c>
      <c r="D258" s="999"/>
      <c r="E258" s="1000"/>
      <c r="F258" s="1000"/>
      <c r="G258" s="1000"/>
      <c r="H258" s="1000"/>
      <c r="I258" s="1000"/>
      <c r="J258" s="1001"/>
      <c r="K258" s="302"/>
      <c r="L258" s="363"/>
      <c r="M258" s="330"/>
      <c r="N258" s="331"/>
      <c r="O258" s="338"/>
      <c r="P258" s="339"/>
      <c r="Q258" s="346"/>
      <c r="R258" s="347"/>
      <c r="S258" s="354"/>
      <c r="T258" s="355"/>
      <c r="U258" s="302"/>
    </row>
    <row r="259" spans="2:21" ht="14.1" customHeight="1" x14ac:dyDescent="0.15">
      <c r="B259" s="302"/>
      <c r="C259" s="325">
        <v>246</v>
      </c>
      <c r="D259" s="999"/>
      <c r="E259" s="1000"/>
      <c r="F259" s="1000"/>
      <c r="G259" s="1000"/>
      <c r="H259" s="1000"/>
      <c r="I259" s="1000"/>
      <c r="J259" s="1001"/>
      <c r="K259" s="302"/>
      <c r="L259" s="363"/>
      <c r="M259" s="330"/>
      <c r="N259" s="331"/>
      <c r="O259" s="338"/>
      <c r="P259" s="339"/>
      <c r="Q259" s="346"/>
      <c r="R259" s="347"/>
      <c r="S259" s="354"/>
      <c r="T259" s="355"/>
      <c r="U259" s="302"/>
    </row>
    <row r="260" spans="2:21" ht="14.1" customHeight="1" x14ac:dyDescent="0.15">
      <c r="B260" s="302"/>
      <c r="C260" s="325">
        <v>247</v>
      </c>
      <c r="D260" s="999"/>
      <c r="E260" s="1000"/>
      <c r="F260" s="1000"/>
      <c r="G260" s="1000"/>
      <c r="H260" s="1000"/>
      <c r="I260" s="1000"/>
      <c r="J260" s="1001"/>
      <c r="K260" s="302"/>
      <c r="L260" s="363"/>
      <c r="M260" s="330"/>
      <c r="N260" s="331"/>
      <c r="O260" s="338"/>
      <c r="P260" s="339"/>
      <c r="Q260" s="346"/>
      <c r="R260" s="347"/>
      <c r="S260" s="354"/>
      <c r="T260" s="355"/>
      <c r="U260" s="302"/>
    </row>
    <row r="261" spans="2:21" ht="14.1" customHeight="1" x14ac:dyDescent="0.15">
      <c r="B261" s="302"/>
      <c r="C261" s="325">
        <v>248</v>
      </c>
      <c r="D261" s="999"/>
      <c r="E261" s="1000"/>
      <c r="F261" s="1000"/>
      <c r="G261" s="1000"/>
      <c r="H261" s="1000"/>
      <c r="I261" s="1000"/>
      <c r="J261" s="1001"/>
      <c r="K261" s="302"/>
      <c r="L261" s="363"/>
      <c r="M261" s="330"/>
      <c r="N261" s="331"/>
      <c r="O261" s="338"/>
      <c r="P261" s="339"/>
      <c r="Q261" s="346"/>
      <c r="R261" s="347"/>
      <c r="S261" s="354"/>
      <c r="T261" s="355"/>
      <c r="U261" s="302"/>
    </row>
    <row r="262" spans="2:21" ht="14.1" customHeight="1" x14ac:dyDescent="0.15">
      <c r="B262" s="302"/>
      <c r="C262" s="325">
        <v>249</v>
      </c>
      <c r="D262" s="999"/>
      <c r="E262" s="1000"/>
      <c r="F262" s="1000"/>
      <c r="G262" s="1000"/>
      <c r="H262" s="1000"/>
      <c r="I262" s="1000"/>
      <c r="J262" s="1001"/>
      <c r="K262" s="302"/>
      <c r="L262" s="363"/>
      <c r="M262" s="330"/>
      <c r="N262" s="331"/>
      <c r="O262" s="338"/>
      <c r="P262" s="339"/>
      <c r="Q262" s="346"/>
      <c r="R262" s="347"/>
      <c r="S262" s="354"/>
      <c r="T262" s="355"/>
      <c r="U262" s="302"/>
    </row>
    <row r="263" spans="2:21" ht="14.1" customHeight="1" x14ac:dyDescent="0.15">
      <c r="B263" s="302"/>
      <c r="C263" s="325">
        <v>250</v>
      </c>
      <c r="D263" s="999"/>
      <c r="E263" s="1000"/>
      <c r="F263" s="1000"/>
      <c r="G263" s="1000"/>
      <c r="H263" s="1000"/>
      <c r="I263" s="1000"/>
      <c r="J263" s="1001"/>
      <c r="K263" s="302"/>
      <c r="L263" s="363"/>
      <c r="M263" s="330"/>
      <c r="N263" s="331"/>
      <c r="O263" s="338"/>
      <c r="P263" s="339"/>
      <c r="Q263" s="346"/>
      <c r="R263" s="347"/>
      <c r="S263" s="354"/>
      <c r="T263" s="355"/>
      <c r="U263" s="302"/>
    </row>
    <row r="264" spans="2:21" ht="14.1" customHeight="1" x14ac:dyDescent="0.15">
      <c r="B264" s="302"/>
      <c r="C264" s="325">
        <v>251</v>
      </c>
      <c r="D264" s="999"/>
      <c r="E264" s="1000"/>
      <c r="F264" s="1000"/>
      <c r="G264" s="1000"/>
      <c r="H264" s="1000"/>
      <c r="I264" s="1000"/>
      <c r="J264" s="1001"/>
      <c r="K264" s="302"/>
      <c r="L264" s="363"/>
      <c r="M264" s="330"/>
      <c r="N264" s="331"/>
      <c r="O264" s="338"/>
      <c r="P264" s="339"/>
      <c r="Q264" s="346"/>
      <c r="R264" s="347"/>
      <c r="S264" s="354"/>
      <c r="T264" s="355"/>
      <c r="U264" s="302"/>
    </row>
    <row r="265" spans="2:21" ht="14.1" customHeight="1" x14ac:dyDescent="0.15">
      <c r="B265" s="302"/>
      <c r="C265" s="325">
        <v>252</v>
      </c>
      <c r="D265" s="999"/>
      <c r="E265" s="1000"/>
      <c r="F265" s="1000"/>
      <c r="G265" s="1000"/>
      <c r="H265" s="1000"/>
      <c r="I265" s="1000"/>
      <c r="J265" s="1001"/>
      <c r="K265" s="302"/>
      <c r="L265" s="363"/>
      <c r="M265" s="330"/>
      <c r="N265" s="331"/>
      <c r="O265" s="338"/>
      <c r="P265" s="339"/>
      <c r="Q265" s="346"/>
      <c r="R265" s="347"/>
      <c r="S265" s="354"/>
      <c r="T265" s="355"/>
      <c r="U265" s="302"/>
    </row>
    <row r="266" spans="2:21" ht="14.1" customHeight="1" x14ac:dyDescent="0.15">
      <c r="B266" s="302"/>
      <c r="C266" s="325">
        <v>253</v>
      </c>
      <c r="D266" s="999"/>
      <c r="E266" s="1000"/>
      <c r="F266" s="1000"/>
      <c r="G266" s="1000"/>
      <c r="H266" s="1000"/>
      <c r="I266" s="1000"/>
      <c r="J266" s="1001"/>
      <c r="K266" s="302"/>
      <c r="L266" s="363"/>
      <c r="M266" s="330"/>
      <c r="N266" s="331"/>
      <c r="O266" s="338"/>
      <c r="P266" s="339"/>
      <c r="Q266" s="346"/>
      <c r="R266" s="347"/>
      <c r="S266" s="354"/>
      <c r="T266" s="355"/>
      <c r="U266" s="302"/>
    </row>
    <row r="267" spans="2:21" ht="14.1" customHeight="1" x14ac:dyDescent="0.15">
      <c r="B267" s="302"/>
      <c r="C267" s="325">
        <v>254</v>
      </c>
      <c r="D267" s="999"/>
      <c r="E267" s="1000"/>
      <c r="F267" s="1000"/>
      <c r="G267" s="1000"/>
      <c r="H267" s="1000"/>
      <c r="I267" s="1000"/>
      <c r="J267" s="1001"/>
      <c r="K267" s="302"/>
      <c r="L267" s="363"/>
      <c r="M267" s="330"/>
      <c r="N267" s="331"/>
      <c r="O267" s="338"/>
      <c r="P267" s="339"/>
      <c r="Q267" s="346"/>
      <c r="R267" s="347"/>
      <c r="S267" s="354"/>
      <c r="T267" s="355"/>
      <c r="U267" s="302"/>
    </row>
    <row r="268" spans="2:21" ht="14.1" customHeight="1" x14ac:dyDescent="0.15">
      <c r="B268" s="302"/>
      <c r="C268" s="325">
        <v>255</v>
      </c>
      <c r="D268" s="999"/>
      <c r="E268" s="1000"/>
      <c r="F268" s="1000"/>
      <c r="G268" s="1000"/>
      <c r="H268" s="1000"/>
      <c r="I268" s="1000"/>
      <c r="J268" s="1001"/>
      <c r="K268" s="302"/>
      <c r="L268" s="363"/>
      <c r="M268" s="330"/>
      <c r="N268" s="331"/>
      <c r="O268" s="338"/>
      <c r="P268" s="339"/>
      <c r="Q268" s="346"/>
      <c r="R268" s="347"/>
      <c r="S268" s="354"/>
      <c r="T268" s="355"/>
      <c r="U268" s="302"/>
    </row>
    <row r="269" spans="2:21" ht="14.1" customHeight="1" x14ac:dyDescent="0.15">
      <c r="B269" s="302"/>
      <c r="C269" s="325">
        <v>256</v>
      </c>
      <c r="D269" s="999"/>
      <c r="E269" s="1000"/>
      <c r="F269" s="1000"/>
      <c r="G269" s="1000"/>
      <c r="H269" s="1000"/>
      <c r="I269" s="1000"/>
      <c r="J269" s="1001"/>
      <c r="K269" s="302"/>
      <c r="L269" s="363"/>
      <c r="M269" s="330"/>
      <c r="N269" s="331"/>
      <c r="O269" s="338"/>
      <c r="P269" s="339"/>
      <c r="Q269" s="346"/>
      <c r="R269" s="347"/>
      <c r="S269" s="354"/>
      <c r="T269" s="355"/>
      <c r="U269" s="302"/>
    </row>
    <row r="270" spans="2:21" ht="14.1" customHeight="1" x14ac:dyDescent="0.15">
      <c r="B270" s="302"/>
      <c r="C270" s="325">
        <v>257</v>
      </c>
      <c r="D270" s="999"/>
      <c r="E270" s="1000"/>
      <c r="F270" s="1000"/>
      <c r="G270" s="1000"/>
      <c r="H270" s="1000"/>
      <c r="I270" s="1000"/>
      <c r="J270" s="1001"/>
      <c r="K270" s="302"/>
      <c r="L270" s="363"/>
      <c r="M270" s="330"/>
      <c r="N270" s="331"/>
      <c r="O270" s="338"/>
      <c r="P270" s="339"/>
      <c r="Q270" s="346"/>
      <c r="R270" s="347"/>
      <c r="S270" s="354"/>
      <c r="T270" s="355"/>
      <c r="U270" s="302"/>
    </row>
    <row r="271" spans="2:21" ht="14.1" customHeight="1" x14ac:dyDescent="0.15">
      <c r="B271" s="302"/>
      <c r="C271" s="325">
        <v>258</v>
      </c>
      <c r="D271" s="999"/>
      <c r="E271" s="1000"/>
      <c r="F271" s="1000"/>
      <c r="G271" s="1000"/>
      <c r="H271" s="1000"/>
      <c r="I271" s="1000"/>
      <c r="J271" s="1001"/>
      <c r="K271" s="302"/>
      <c r="L271" s="363"/>
      <c r="M271" s="330"/>
      <c r="N271" s="331"/>
      <c r="O271" s="338"/>
      <c r="P271" s="339"/>
      <c r="Q271" s="346"/>
      <c r="R271" s="347"/>
      <c r="S271" s="354"/>
      <c r="T271" s="355"/>
      <c r="U271" s="302"/>
    </row>
    <row r="272" spans="2:21" ht="14.1" customHeight="1" x14ac:dyDescent="0.15">
      <c r="B272" s="302"/>
      <c r="C272" s="325">
        <v>259</v>
      </c>
      <c r="D272" s="999"/>
      <c r="E272" s="1000"/>
      <c r="F272" s="1000"/>
      <c r="G272" s="1000"/>
      <c r="H272" s="1000"/>
      <c r="I272" s="1000"/>
      <c r="J272" s="1001"/>
      <c r="K272" s="302"/>
      <c r="L272" s="363"/>
      <c r="M272" s="330"/>
      <c r="N272" s="331"/>
      <c r="O272" s="338"/>
      <c r="P272" s="339"/>
      <c r="Q272" s="346"/>
      <c r="R272" s="347"/>
      <c r="S272" s="354"/>
      <c r="T272" s="355"/>
      <c r="U272" s="302"/>
    </row>
    <row r="273" spans="2:21" ht="14.1" customHeight="1" x14ac:dyDescent="0.15">
      <c r="B273" s="302"/>
      <c r="C273" s="325">
        <v>260</v>
      </c>
      <c r="D273" s="999"/>
      <c r="E273" s="1000"/>
      <c r="F273" s="1000"/>
      <c r="G273" s="1000"/>
      <c r="H273" s="1000"/>
      <c r="I273" s="1000"/>
      <c r="J273" s="1001"/>
      <c r="K273" s="302"/>
      <c r="L273" s="363"/>
      <c r="M273" s="330"/>
      <c r="N273" s="331"/>
      <c r="O273" s="338"/>
      <c r="P273" s="339"/>
      <c r="Q273" s="346"/>
      <c r="R273" s="347"/>
      <c r="S273" s="354"/>
      <c r="T273" s="355"/>
      <c r="U273" s="302"/>
    </row>
    <row r="274" spans="2:21" ht="14.1" customHeight="1" x14ac:dyDescent="0.15">
      <c r="B274" s="302"/>
      <c r="C274" s="325">
        <v>261</v>
      </c>
      <c r="D274" s="999"/>
      <c r="E274" s="1000"/>
      <c r="F274" s="1000"/>
      <c r="G274" s="1000"/>
      <c r="H274" s="1000"/>
      <c r="I274" s="1000"/>
      <c r="J274" s="1001"/>
      <c r="K274" s="302"/>
      <c r="L274" s="363"/>
      <c r="M274" s="330"/>
      <c r="N274" s="331"/>
      <c r="O274" s="338"/>
      <c r="P274" s="339"/>
      <c r="Q274" s="346"/>
      <c r="R274" s="347"/>
      <c r="S274" s="354"/>
      <c r="T274" s="355"/>
      <c r="U274" s="302"/>
    </row>
    <row r="275" spans="2:21" ht="14.1" customHeight="1" x14ac:dyDescent="0.15">
      <c r="B275" s="302"/>
      <c r="C275" s="325">
        <v>262</v>
      </c>
      <c r="D275" s="999"/>
      <c r="E275" s="1000"/>
      <c r="F275" s="1000"/>
      <c r="G275" s="1000"/>
      <c r="H275" s="1000"/>
      <c r="I275" s="1000"/>
      <c r="J275" s="1001"/>
      <c r="K275" s="302"/>
      <c r="L275" s="363"/>
      <c r="M275" s="330"/>
      <c r="N275" s="331"/>
      <c r="O275" s="338"/>
      <c r="P275" s="339"/>
      <c r="Q275" s="346"/>
      <c r="R275" s="347"/>
      <c r="S275" s="354"/>
      <c r="T275" s="355"/>
      <c r="U275" s="302"/>
    </row>
    <row r="276" spans="2:21" ht="14.1" customHeight="1" x14ac:dyDescent="0.15">
      <c r="B276" s="302"/>
      <c r="C276" s="325">
        <v>263</v>
      </c>
      <c r="D276" s="999"/>
      <c r="E276" s="1000"/>
      <c r="F276" s="1000"/>
      <c r="G276" s="1000"/>
      <c r="H276" s="1000"/>
      <c r="I276" s="1000"/>
      <c r="J276" s="1001"/>
      <c r="K276" s="302"/>
      <c r="L276" s="363"/>
      <c r="M276" s="330"/>
      <c r="N276" s="331"/>
      <c r="O276" s="338"/>
      <c r="P276" s="339"/>
      <c r="Q276" s="346"/>
      <c r="R276" s="347"/>
      <c r="S276" s="354"/>
      <c r="T276" s="355"/>
      <c r="U276" s="302"/>
    </row>
    <row r="277" spans="2:21" ht="14.1" customHeight="1" x14ac:dyDescent="0.15">
      <c r="B277" s="302"/>
      <c r="C277" s="325">
        <v>264</v>
      </c>
      <c r="D277" s="999"/>
      <c r="E277" s="1000"/>
      <c r="F277" s="1000"/>
      <c r="G277" s="1000"/>
      <c r="H277" s="1000"/>
      <c r="I277" s="1000"/>
      <c r="J277" s="1001"/>
      <c r="K277" s="302"/>
      <c r="L277" s="363"/>
      <c r="M277" s="330"/>
      <c r="N277" s="331"/>
      <c r="O277" s="338"/>
      <c r="P277" s="339"/>
      <c r="Q277" s="346"/>
      <c r="R277" s="347"/>
      <c r="S277" s="354"/>
      <c r="T277" s="355"/>
      <c r="U277" s="302"/>
    </row>
    <row r="278" spans="2:21" ht="14.1" customHeight="1" x14ac:dyDescent="0.15">
      <c r="B278" s="302"/>
      <c r="C278" s="325">
        <v>265</v>
      </c>
      <c r="D278" s="999"/>
      <c r="E278" s="1000"/>
      <c r="F278" s="1000"/>
      <c r="G278" s="1000"/>
      <c r="H278" s="1000"/>
      <c r="I278" s="1000"/>
      <c r="J278" s="1001"/>
      <c r="K278" s="302"/>
      <c r="L278" s="363"/>
      <c r="M278" s="330"/>
      <c r="N278" s="331"/>
      <c r="O278" s="338"/>
      <c r="P278" s="339"/>
      <c r="Q278" s="346"/>
      <c r="R278" s="347"/>
      <c r="S278" s="354"/>
      <c r="T278" s="355"/>
      <c r="U278" s="302"/>
    </row>
    <row r="279" spans="2:21" ht="14.1" customHeight="1" x14ac:dyDescent="0.15">
      <c r="B279" s="302"/>
      <c r="C279" s="325">
        <v>266</v>
      </c>
      <c r="D279" s="999"/>
      <c r="E279" s="1000"/>
      <c r="F279" s="1000"/>
      <c r="G279" s="1000"/>
      <c r="H279" s="1000"/>
      <c r="I279" s="1000"/>
      <c r="J279" s="1001"/>
      <c r="K279" s="302"/>
      <c r="L279" s="363"/>
      <c r="M279" s="330"/>
      <c r="N279" s="331"/>
      <c r="O279" s="338"/>
      <c r="P279" s="339"/>
      <c r="Q279" s="346"/>
      <c r="R279" s="347"/>
      <c r="S279" s="354"/>
      <c r="T279" s="355"/>
      <c r="U279" s="302"/>
    </row>
    <row r="280" spans="2:21" ht="14.1" customHeight="1" x14ac:dyDescent="0.15">
      <c r="B280" s="302"/>
      <c r="C280" s="325">
        <v>267</v>
      </c>
      <c r="D280" s="999"/>
      <c r="E280" s="1000"/>
      <c r="F280" s="1000"/>
      <c r="G280" s="1000"/>
      <c r="H280" s="1000"/>
      <c r="I280" s="1000"/>
      <c r="J280" s="1001"/>
      <c r="K280" s="302"/>
      <c r="L280" s="363"/>
      <c r="M280" s="330"/>
      <c r="N280" s="331"/>
      <c r="O280" s="338"/>
      <c r="P280" s="339"/>
      <c r="Q280" s="346"/>
      <c r="R280" s="347"/>
      <c r="S280" s="354"/>
      <c r="T280" s="355"/>
      <c r="U280" s="302"/>
    </row>
    <row r="281" spans="2:21" ht="14.1" customHeight="1" x14ac:dyDescent="0.15">
      <c r="B281" s="302"/>
      <c r="C281" s="325">
        <v>268</v>
      </c>
      <c r="D281" s="999"/>
      <c r="E281" s="1000"/>
      <c r="F281" s="1000"/>
      <c r="G281" s="1000"/>
      <c r="H281" s="1000"/>
      <c r="I281" s="1000"/>
      <c r="J281" s="1001"/>
      <c r="K281" s="302"/>
      <c r="L281" s="363"/>
      <c r="M281" s="330"/>
      <c r="N281" s="331"/>
      <c r="O281" s="338"/>
      <c r="P281" s="339"/>
      <c r="Q281" s="346"/>
      <c r="R281" s="347"/>
      <c r="S281" s="354"/>
      <c r="T281" s="355"/>
      <c r="U281" s="302"/>
    </row>
    <row r="282" spans="2:21" ht="14.1" customHeight="1" x14ac:dyDescent="0.15">
      <c r="B282" s="302"/>
      <c r="C282" s="325">
        <v>269</v>
      </c>
      <c r="D282" s="999"/>
      <c r="E282" s="1000"/>
      <c r="F282" s="1000"/>
      <c r="G282" s="1000"/>
      <c r="H282" s="1000"/>
      <c r="I282" s="1000"/>
      <c r="J282" s="1001"/>
      <c r="K282" s="302"/>
      <c r="L282" s="363"/>
      <c r="M282" s="330"/>
      <c r="N282" s="331"/>
      <c r="O282" s="338"/>
      <c r="P282" s="339"/>
      <c r="Q282" s="346"/>
      <c r="R282" s="347"/>
      <c r="S282" s="354"/>
      <c r="T282" s="355"/>
      <c r="U282" s="302"/>
    </row>
    <row r="283" spans="2:21" ht="14.1" customHeight="1" x14ac:dyDescent="0.15">
      <c r="B283" s="302"/>
      <c r="C283" s="325">
        <v>270</v>
      </c>
      <c r="D283" s="999"/>
      <c r="E283" s="1000"/>
      <c r="F283" s="1000"/>
      <c r="G283" s="1000"/>
      <c r="H283" s="1000"/>
      <c r="I283" s="1000"/>
      <c r="J283" s="1001"/>
      <c r="K283" s="302"/>
      <c r="L283" s="363"/>
      <c r="M283" s="330"/>
      <c r="N283" s="331"/>
      <c r="O283" s="338"/>
      <c r="P283" s="339"/>
      <c r="Q283" s="346"/>
      <c r="R283" s="347"/>
      <c r="S283" s="354"/>
      <c r="T283" s="355"/>
      <c r="U283" s="302"/>
    </row>
    <row r="284" spans="2:21" ht="14.1" customHeight="1" x14ac:dyDescent="0.15">
      <c r="B284" s="302"/>
      <c r="C284" s="325">
        <v>271</v>
      </c>
      <c r="D284" s="999"/>
      <c r="E284" s="1000"/>
      <c r="F284" s="1000"/>
      <c r="G284" s="1000"/>
      <c r="H284" s="1000"/>
      <c r="I284" s="1000"/>
      <c r="J284" s="1001"/>
      <c r="K284" s="302"/>
      <c r="L284" s="363"/>
      <c r="M284" s="330"/>
      <c r="N284" s="331"/>
      <c r="O284" s="338"/>
      <c r="P284" s="339"/>
      <c r="Q284" s="346"/>
      <c r="R284" s="347"/>
      <c r="S284" s="354"/>
      <c r="T284" s="355"/>
      <c r="U284" s="302"/>
    </row>
    <row r="285" spans="2:21" ht="14.1" customHeight="1" x14ac:dyDescent="0.15">
      <c r="B285" s="302"/>
      <c r="C285" s="325">
        <v>272</v>
      </c>
      <c r="D285" s="999"/>
      <c r="E285" s="1000"/>
      <c r="F285" s="1000"/>
      <c r="G285" s="1000"/>
      <c r="H285" s="1000"/>
      <c r="I285" s="1000"/>
      <c r="J285" s="1001"/>
      <c r="K285" s="302"/>
      <c r="L285" s="363"/>
      <c r="M285" s="330"/>
      <c r="N285" s="331"/>
      <c r="O285" s="338"/>
      <c r="P285" s="339"/>
      <c r="Q285" s="346"/>
      <c r="R285" s="347"/>
      <c r="S285" s="354"/>
      <c r="T285" s="355"/>
      <c r="U285" s="302"/>
    </row>
    <row r="286" spans="2:21" ht="14.1" customHeight="1" x14ac:dyDescent="0.15">
      <c r="B286" s="302"/>
      <c r="C286" s="325">
        <v>273</v>
      </c>
      <c r="D286" s="999"/>
      <c r="E286" s="1000"/>
      <c r="F286" s="1000"/>
      <c r="G286" s="1000"/>
      <c r="H286" s="1000"/>
      <c r="I286" s="1000"/>
      <c r="J286" s="1001"/>
      <c r="K286" s="302"/>
      <c r="L286" s="363"/>
      <c r="M286" s="330"/>
      <c r="N286" s="331"/>
      <c r="O286" s="338"/>
      <c r="P286" s="339"/>
      <c r="Q286" s="346"/>
      <c r="R286" s="347"/>
      <c r="S286" s="354"/>
      <c r="T286" s="355"/>
      <c r="U286" s="302"/>
    </row>
    <row r="287" spans="2:21" ht="14.1" customHeight="1" x14ac:dyDescent="0.15">
      <c r="B287" s="302"/>
      <c r="C287" s="325">
        <v>274</v>
      </c>
      <c r="D287" s="999"/>
      <c r="E287" s="1000"/>
      <c r="F287" s="1000"/>
      <c r="G287" s="1000"/>
      <c r="H287" s="1000"/>
      <c r="I287" s="1000"/>
      <c r="J287" s="1001"/>
      <c r="K287" s="302"/>
      <c r="L287" s="363"/>
      <c r="M287" s="330"/>
      <c r="N287" s="331"/>
      <c r="O287" s="338"/>
      <c r="P287" s="339"/>
      <c r="Q287" s="346"/>
      <c r="R287" s="347"/>
      <c r="S287" s="354"/>
      <c r="T287" s="355"/>
      <c r="U287" s="302"/>
    </row>
    <row r="288" spans="2:21" ht="14.1" customHeight="1" x14ac:dyDescent="0.15">
      <c r="B288" s="302"/>
      <c r="C288" s="325">
        <v>275</v>
      </c>
      <c r="D288" s="999"/>
      <c r="E288" s="1000"/>
      <c r="F288" s="1000"/>
      <c r="G288" s="1000"/>
      <c r="H288" s="1000"/>
      <c r="I288" s="1000"/>
      <c r="J288" s="1001"/>
      <c r="K288" s="302"/>
      <c r="L288" s="363"/>
      <c r="M288" s="330"/>
      <c r="N288" s="331"/>
      <c r="O288" s="338"/>
      <c r="P288" s="339"/>
      <c r="Q288" s="346"/>
      <c r="R288" s="347"/>
      <c r="S288" s="354"/>
      <c r="T288" s="355"/>
      <c r="U288" s="302"/>
    </row>
    <row r="289" spans="2:21" ht="14.1" customHeight="1" x14ac:dyDescent="0.15">
      <c r="B289" s="302"/>
      <c r="C289" s="325">
        <v>276</v>
      </c>
      <c r="D289" s="999"/>
      <c r="E289" s="1000"/>
      <c r="F289" s="1000"/>
      <c r="G289" s="1000"/>
      <c r="H289" s="1000"/>
      <c r="I289" s="1000"/>
      <c r="J289" s="1001"/>
      <c r="K289" s="302"/>
      <c r="L289" s="363"/>
      <c r="M289" s="330"/>
      <c r="N289" s="331"/>
      <c r="O289" s="338"/>
      <c r="P289" s="339"/>
      <c r="Q289" s="346"/>
      <c r="R289" s="347"/>
      <c r="S289" s="354"/>
      <c r="T289" s="355"/>
      <c r="U289" s="302"/>
    </row>
    <row r="290" spans="2:21" ht="14.1" customHeight="1" x14ac:dyDescent="0.15">
      <c r="B290" s="302"/>
      <c r="C290" s="325">
        <v>277</v>
      </c>
      <c r="D290" s="999"/>
      <c r="E290" s="1000"/>
      <c r="F290" s="1000"/>
      <c r="G290" s="1000"/>
      <c r="H290" s="1000"/>
      <c r="I290" s="1000"/>
      <c r="J290" s="1001"/>
      <c r="K290" s="302"/>
      <c r="L290" s="363"/>
      <c r="M290" s="330"/>
      <c r="N290" s="331"/>
      <c r="O290" s="338"/>
      <c r="P290" s="339"/>
      <c r="Q290" s="346"/>
      <c r="R290" s="347"/>
      <c r="S290" s="354"/>
      <c r="T290" s="355"/>
      <c r="U290" s="302"/>
    </row>
    <row r="291" spans="2:21" ht="14.1" customHeight="1" x14ac:dyDescent="0.15">
      <c r="B291" s="302"/>
      <c r="C291" s="325">
        <v>278</v>
      </c>
      <c r="D291" s="999"/>
      <c r="E291" s="1000"/>
      <c r="F291" s="1000"/>
      <c r="G291" s="1000"/>
      <c r="H291" s="1000"/>
      <c r="I291" s="1000"/>
      <c r="J291" s="1001"/>
      <c r="K291" s="302"/>
      <c r="L291" s="363"/>
      <c r="M291" s="330"/>
      <c r="N291" s="331"/>
      <c r="O291" s="338"/>
      <c r="P291" s="339"/>
      <c r="Q291" s="346"/>
      <c r="R291" s="347"/>
      <c r="S291" s="354"/>
      <c r="T291" s="355"/>
      <c r="U291" s="302"/>
    </row>
    <row r="292" spans="2:21" ht="14.1" customHeight="1" x14ac:dyDescent="0.15">
      <c r="B292" s="302"/>
      <c r="C292" s="325">
        <v>279</v>
      </c>
      <c r="D292" s="999"/>
      <c r="E292" s="1000"/>
      <c r="F292" s="1000"/>
      <c r="G292" s="1000"/>
      <c r="H292" s="1000"/>
      <c r="I292" s="1000"/>
      <c r="J292" s="1001"/>
      <c r="K292" s="302"/>
      <c r="L292" s="363"/>
      <c r="M292" s="330"/>
      <c r="N292" s="331"/>
      <c r="O292" s="338"/>
      <c r="P292" s="339"/>
      <c r="Q292" s="346"/>
      <c r="R292" s="347"/>
      <c r="S292" s="354"/>
      <c r="T292" s="355"/>
      <c r="U292" s="302"/>
    </row>
    <row r="293" spans="2:21" ht="14.1" customHeight="1" x14ac:dyDescent="0.15">
      <c r="B293" s="302"/>
      <c r="C293" s="325">
        <v>280</v>
      </c>
      <c r="D293" s="999"/>
      <c r="E293" s="1000"/>
      <c r="F293" s="1000"/>
      <c r="G293" s="1000"/>
      <c r="H293" s="1000"/>
      <c r="I293" s="1000"/>
      <c r="J293" s="1001"/>
      <c r="K293" s="302"/>
      <c r="L293" s="363"/>
      <c r="M293" s="330"/>
      <c r="N293" s="331"/>
      <c r="O293" s="338"/>
      <c r="P293" s="339"/>
      <c r="Q293" s="346"/>
      <c r="R293" s="347"/>
      <c r="S293" s="354"/>
      <c r="T293" s="355"/>
      <c r="U293" s="302"/>
    </row>
    <row r="294" spans="2:21" ht="14.1" customHeight="1" x14ac:dyDescent="0.15">
      <c r="B294" s="302"/>
      <c r="C294" s="325">
        <v>281</v>
      </c>
      <c r="D294" s="999"/>
      <c r="E294" s="1000"/>
      <c r="F294" s="1000"/>
      <c r="G294" s="1000"/>
      <c r="H294" s="1000"/>
      <c r="I294" s="1000"/>
      <c r="J294" s="1001"/>
      <c r="K294" s="302"/>
      <c r="L294" s="363"/>
      <c r="M294" s="330"/>
      <c r="N294" s="331"/>
      <c r="O294" s="338"/>
      <c r="P294" s="339"/>
      <c r="Q294" s="346"/>
      <c r="R294" s="347"/>
      <c r="S294" s="354"/>
      <c r="T294" s="355"/>
      <c r="U294" s="302"/>
    </row>
    <row r="295" spans="2:21" ht="14.1" customHeight="1" x14ac:dyDescent="0.15">
      <c r="B295" s="302"/>
      <c r="C295" s="325">
        <v>282</v>
      </c>
      <c r="D295" s="999"/>
      <c r="E295" s="1000"/>
      <c r="F295" s="1000"/>
      <c r="G295" s="1000"/>
      <c r="H295" s="1000"/>
      <c r="I295" s="1000"/>
      <c r="J295" s="1001"/>
      <c r="K295" s="302"/>
      <c r="L295" s="363"/>
      <c r="M295" s="330"/>
      <c r="N295" s="331"/>
      <c r="O295" s="338"/>
      <c r="P295" s="339"/>
      <c r="Q295" s="346"/>
      <c r="R295" s="347"/>
      <c r="S295" s="354"/>
      <c r="T295" s="355"/>
      <c r="U295" s="302"/>
    </row>
    <row r="296" spans="2:21" ht="14.1" customHeight="1" x14ac:dyDescent="0.15">
      <c r="B296" s="302"/>
      <c r="C296" s="325">
        <v>283</v>
      </c>
      <c r="D296" s="999"/>
      <c r="E296" s="1000"/>
      <c r="F296" s="1000"/>
      <c r="G296" s="1000"/>
      <c r="H296" s="1000"/>
      <c r="I296" s="1000"/>
      <c r="J296" s="1001"/>
      <c r="K296" s="302"/>
      <c r="L296" s="363"/>
      <c r="M296" s="330"/>
      <c r="N296" s="331"/>
      <c r="O296" s="338"/>
      <c r="P296" s="339"/>
      <c r="Q296" s="346"/>
      <c r="R296" s="347"/>
      <c r="S296" s="354"/>
      <c r="T296" s="355"/>
      <c r="U296" s="302"/>
    </row>
    <row r="297" spans="2:21" ht="14.1" customHeight="1" x14ac:dyDescent="0.15">
      <c r="B297" s="302"/>
      <c r="C297" s="325">
        <v>284</v>
      </c>
      <c r="D297" s="999"/>
      <c r="E297" s="1000"/>
      <c r="F297" s="1000"/>
      <c r="G297" s="1000"/>
      <c r="H297" s="1000"/>
      <c r="I297" s="1000"/>
      <c r="J297" s="1001"/>
      <c r="K297" s="302"/>
      <c r="L297" s="363"/>
      <c r="M297" s="330"/>
      <c r="N297" s="331"/>
      <c r="O297" s="338"/>
      <c r="P297" s="339"/>
      <c r="Q297" s="346"/>
      <c r="R297" s="347"/>
      <c r="S297" s="354"/>
      <c r="T297" s="355"/>
      <c r="U297" s="302"/>
    </row>
    <row r="298" spans="2:21" ht="14.1" customHeight="1" x14ac:dyDescent="0.15">
      <c r="B298" s="302"/>
      <c r="C298" s="325">
        <v>285</v>
      </c>
      <c r="D298" s="999"/>
      <c r="E298" s="1000"/>
      <c r="F298" s="1000"/>
      <c r="G298" s="1000"/>
      <c r="H298" s="1000"/>
      <c r="I298" s="1000"/>
      <c r="J298" s="1001"/>
      <c r="K298" s="302"/>
      <c r="L298" s="363"/>
      <c r="M298" s="330"/>
      <c r="N298" s="331"/>
      <c r="O298" s="338"/>
      <c r="P298" s="339"/>
      <c r="Q298" s="346"/>
      <c r="R298" s="347"/>
      <c r="S298" s="354"/>
      <c r="T298" s="355"/>
      <c r="U298" s="302"/>
    </row>
    <row r="299" spans="2:21" ht="14.1" customHeight="1" x14ac:dyDescent="0.15">
      <c r="B299" s="302"/>
      <c r="C299" s="325">
        <v>286</v>
      </c>
      <c r="D299" s="999"/>
      <c r="E299" s="1000"/>
      <c r="F299" s="1000"/>
      <c r="G299" s="1000"/>
      <c r="H299" s="1000"/>
      <c r="I299" s="1000"/>
      <c r="J299" s="1001"/>
      <c r="K299" s="302"/>
      <c r="L299" s="363"/>
      <c r="M299" s="330"/>
      <c r="N299" s="331"/>
      <c r="O299" s="338"/>
      <c r="P299" s="339"/>
      <c r="Q299" s="346"/>
      <c r="R299" s="347"/>
      <c r="S299" s="354"/>
      <c r="T299" s="355"/>
      <c r="U299" s="302"/>
    </row>
    <row r="300" spans="2:21" ht="14.1" customHeight="1" x14ac:dyDescent="0.15">
      <c r="B300" s="302"/>
      <c r="C300" s="325">
        <v>287</v>
      </c>
      <c r="D300" s="999"/>
      <c r="E300" s="1000"/>
      <c r="F300" s="1000"/>
      <c r="G300" s="1000"/>
      <c r="H300" s="1000"/>
      <c r="I300" s="1000"/>
      <c r="J300" s="1001"/>
      <c r="K300" s="302"/>
      <c r="L300" s="363"/>
      <c r="M300" s="330"/>
      <c r="N300" s="331"/>
      <c r="O300" s="338"/>
      <c r="P300" s="339"/>
      <c r="Q300" s="346"/>
      <c r="R300" s="347"/>
      <c r="S300" s="354"/>
      <c r="T300" s="355"/>
      <c r="U300" s="302"/>
    </row>
    <row r="301" spans="2:21" ht="14.1" customHeight="1" x14ac:dyDescent="0.15">
      <c r="B301" s="302"/>
      <c r="C301" s="325">
        <v>288</v>
      </c>
      <c r="D301" s="999"/>
      <c r="E301" s="1000"/>
      <c r="F301" s="1000"/>
      <c r="G301" s="1000"/>
      <c r="H301" s="1000"/>
      <c r="I301" s="1000"/>
      <c r="J301" s="1001"/>
      <c r="K301" s="302"/>
      <c r="L301" s="363"/>
      <c r="M301" s="330"/>
      <c r="N301" s="331"/>
      <c r="O301" s="338"/>
      <c r="P301" s="339"/>
      <c r="Q301" s="346"/>
      <c r="R301" s="347"/>
      <c r="S301" s="354"/>
      <c r="T301" s="355"/>
      <c r="U301" s="302"/>
    </row>
    <row r="302" spans="2:21" ht="14.1" customHeight="1" x14ac:dyDescent="0.15">
      <c r="B302" s="302"/>
      <c r="C302" s="325">
        <v>289</v>
      </c>
      <c r="D302" s="999"/>
      <c r="E302" s="1000"/>
      <c r="F302" s="1000"/>
      <c r="G302" s="1000"/>
      <c r="H302" s="1000"/>
      <c r="I302" s="1000"/>
      <c r="J302" s="1001"/>
      <c r="K302" s="302"/>
      <c r="L302" s="363"/>
      <c r="M302" s="330"/>
      <c r="N302" s="331"/>
      <c r="O302" s="338"/>
      <c r="P302" s="339"/>
      <c r="Q302" s="346"/>
      <c r="R302" s="347"/>
      <c r="S302" s="354"/>
      <c r="T302" s="355"/>
      <c r="U302" s="302"/>
    </row>
    <row r="303" spans="2:21" ht="14.1" customHeight="1" x14ac:dyDescent="0.15">
      <c r="B303" s="302"/>
      <c r="C303" s="325">
        <v>290</v>
      </c>
      <c r="D303" s="999"/>
      <c r="E303" s="1000"/>
      <c r="F303" s="1000"/>
      <c r="G303" s="1000"/>
      <c r="H303" s="1000"/>
      <c r="I303" s="1000"/>
      <c r="J303" s="1001"/>
      <c r="K303" s="302"/>
      <c r="L303" s="363"/>
      <c r="M303" s="330"/>
      <c r="N303" s="331"/>
      <c r="O303" s="338"/>
      <c r="P303" s="339"/>
      <c r="Q303" s="346"/>
      <c r="R303" s="347"/>
      <c r="S303" s="354"/>
      <c r="T303" s="355"/>
      <c r="U303" s="302"/>
    </row>
    <row r="304" spans="2:21" ht="14.1" customHeight="1" x14ac:dyDescent="0.15">
      <c r="B304" s="302"/>
      <c r="C304" s="325">
        <v>291</v>
      </c>
      <c r="D304" s="999"/>
      <c r="E304" s="1000"/>
      <c r="F304" s="1000"/>
      <c r="G304" s="1000"/>
      <c r="H304" s="1000"/>
      <c r="I304" s="1000"/>
      <c r="J304" s="1001"/>
      <c r="K304" s="302"/>
      <c r="L304" s="363"/>
      <c r="M304" s="330"/>
      <c r="N304" s="331"/>
      <c r="O304" s="338"/>
      <c r="P304" s="339"/>
      <c r="Q304" s="346"/>
      <c r="R304" s="347"/>
      <c r="S304" s="354"/>
      <c r="T304" s="355"/>
      <c r="U304" s="302"/>
    </row>
    <row r="305" spans="2:21" ht="14.1" customHeight="1" x14ac:dyDescent="0.15">
      <c r="B305" s="302"/>
      <c r="C305" s="325">
        <v>292</v>
      </c>
      <c r="D305" s="999"/>
      <c r="E305" s="1000"/>
      <c r="F305" s="1000"/>
      <c r="G305" s="1000"/>
      <c r="H305" s="1000"/>
      <c r="I305" s="1000"/>
      <c r="J305" s="1001"/>
      <c r="K305" s="302"/>
      <c r="L305" s="363"/>
      <c r="M305" s="330"/>
      <c r="N305" s="331"/>
      <c r="O305" s="338"/>
      <c r="P305" s="339"/>
      <c r="Q305" s="346"/>
      <c r="R305" s="347"/>
      <c r="S305" s="354"/>
      <c r="T305" s="355"/>
      <c r="U305" s="302"/>
    </row>
    <row r="306" spans="2:21" ht="14.1" customHeight="1" x14ac:dyDescent="0.15">
      <c r="B306" s="302"/>
      <c r="C306" s="325">
        <v>293</v>
      </c>
      <c r="D306" s="999"/>
      <c r="E306" s="1000"/>
      <c r="F306" s="1000"/>
      <c r="G306" s="1000"/>
      <c r="H306" s="1000"/>
      <c r="I306" s="1000"/>
      <c r="J306" s="1001"/>
      <c r="K306" s="302"/>
      <c r="L306" s="363"/>
      <c r="M306" s="330"/>
      <c r="N306" s="331"/>
      <c r="O306" s="338"/>
      <c r="P306" s="339"/>
      <c r="Q306" s="346"/>
      <c r="R306" s="347"/>
      <c r="S306" s="354"/>
      <c r="T306" s="355"/>
      <c r="U306" s="302"/>
    </row>
    <row r="307" spans="2:21" ht="14.1" customHeight="1" x14ac:dyDescent="0.15">
      <c r="B307" s="302"/>
      <c r="C307" s="325">
        <v>294</v>
      </c>
      <c r="D307" s="999"/>
      <c r="E307" s="1000"/>
      <c r="F307" s="1000"/>
      <c r="G307" s="1000"/>
      <c r="H307" s="1000"/>
      <c r="I307" s="1000"/>
      <c r="J307" s="1001"/>
      <c r="K307" s="302"/>
      <c r="L307" s="363"/>
      <c r="M307" s="330"/>
      <c r="N307" s="331"/>
      <c r="O307" s="338"/>
      <c r="P307" s="339"/>
      <c r="Q307" s="346"/>
      <c r="R307" s="347"/>
      <c r="S307" s="354"/>
      <c r="T307" s="355"/>
      <c r="U307" s="302"/>
    </row>
    <row r="308" spans="2:21" ht="14.1" customHeight="1" x14ac:dyDescent="0.15">
      <c r="B308" s="302"/>
      <c r="C308" s="325">
        <v>295</v>
      </c>
      <c r="D308" s="999"/>
      <c r="E308" s="1000"/>
      <c r="F308" s="1000"/>
      <c r="G308" s="1000"/>
      <c r="H308" s="1000"/>
      <c r="I308" s="1000"/>
      <c r="J308" s="1001"/>
      <c r="K308" s="302"/>
      <c r="L308" s="363"/>
      <c r="M308" s="330"/>
      <c r="N308" s="331"/>
      <c r="O308" s="338"/>
      <c r="P308" s="339"/>
      <c r="Q308" s="346"/>
      <c r="R308" s="347"/>
      <c r="S308" s="354"/>
      <c r="T308" s="355"/>
      <c r="U308" s="302"/>
    </row>
    <row r="309" spans="2:21" ht="14.1" customHeight="1" x14ac:dyDescent="0.15">
      <c r="B309" s="302"/>
      <c r="C309" s="325">
        <v>296</v>
      </c>
      <c r="D309" s="999"/>
      <c r="E309" s="1000"/>
      <c r="F309" s="1000"/>
      <c r="G309" s="1000"/>
      <c r="H309" s="1000"/>
      <c r="I309" s="1000"/>
      <c r="J309" s="1001"/>
      <c r="K309" s="302"/>
      <c r="L309" s="363"/>
      <c r="M309" s="330"/>
      <c r="N309" s="331"/>
      <c r="O309" s="338"/>
      <c r="P309" s="339"/>
      <c r="Q309" s="346"/>
      <c r="R309" s="347"/>
      <c r="S309" s="354"/>
      <c r="T309" s="355"/>
      <c r="U309" s="302"/>
    </row>
    <row r="310" spans="2:21" ht="14.1" customHeight="1" x14ac:dyDescent="0.15">
      <c r="B310" s="302"/>
      <c r="C310" s="325">
        <v>297</v>
      </c>
      <c r="D310" s="999"/>
      <c r="E310" s="1000"/>
      <c r="F310" s="1000"/>
      <c r="G310" s="1000"/>
      <c r="H310" s="1000"/>
      <c r="I310" s="1000"/>
      <c r="J310" s="1001"/>
      <c r="K310" s="302"/>
      <c r="L310" s="363"/>
      <c r="M310" s="330"/>
      <c r="N310" s="331"/>
      <c r="O310" s="338"/>
      <c r="P310" s="339"/>
      <c r="Q310" s="346"/>
      <c r="R310" s="347"/>
      <c r="S310" s="354"/>
      <c r="T310" s="355"/>
      <c r="U310" s="302"/>
    </row>
    <row r="311" spans="2:21" ht="14.1" customHeight="1" x14ac:dyDescent="0.15">
      <c r="B311" s="302"/>
      <c r="C311" s="325">
        <v>298</v>
      </c>
      <c r="D311" s="999"/>
      <c r="E311" s="1000"/>
      <c r="F311" s="1000"/>
      <c r="G311" s="1000"/>
      <c r="H311" s="1000"/>
      <c r="I311" s="1000"/>
      <c r="J311" s="1001"/>
      <c r="K311" s="302"/>
      <c r="L311" s="363"/>
      <c r="M311" s="330"/>
      <c r="N311" s="331"/>
      <c r="O311" s="338"/>
      <c r="P311" s="339"/>
      <c r="Q311" s="346"/>
      <c r="R311" s="347"/>
      <c r="S311" s="354"/>
      <c r="T311" s="355"/>
      <c r="U311" s="302"/>
    </row>
    <row r="312" spans="2:21" ht="14.1" customHeight="1" x14ac:dyDescent="0.15">
      <c r="B312" s="302"/>
      <c r="C312" s="325">
        <v>299</v>
      </c>
      <c r="D312" s="999"/>
      <c r="E312" s="1000"/>
      <c r="F312" s="1000"/>
      <c r="G312" s="1000"/>
      <c r="H312" s="1000"/>
      <c r="I312" s="1000"/>
      <c r="J312" s="1001"/>
      <c r="K312" s="302"/>
      <c r="L312" s="363"/>
      <c r="M312" s="330"/>
      <c r="N312" s="331"/>
      <c r="O312" s="338"/>
      <c r="P312" s="339"/>
      <c r="Q312" s="346"/>
      <c r="R312" s="347"/>
      <c r="S312" s="354"/>
      <c r="T312" s="355"/>
      <c r="U312" s="302"/>
    </row>
    <row r="313" spans="2:21" ht="14.1" customHeight="1" x14ac:dyDescent="0.15">
      <c r="B313" s="302"/>
      <c r="C313" s="325">
        <v>300</v>
      </c>
      <c r="D313" s="999"/>
      <c r="E313" s="1000"/>
      <c r="F313" s="1000"/>
      <c r="G313" s="1000"/>
      <c r="H313" s="1000"/>
      <c r="I313" s="1000"/>
      <c r="J313" s="1001"/>
      <c r="K313" s="302"/>
      <c r="L313" s="363"/>
      <c r="M313" s="330"/>
      <c r="N313" s="331"/>
      <c r="O313" s="338"/>
      <c r="P313" s="339"/>
      <c r="Q313" s="346"/>
      <c r="R313" s="347"/>
      <c r="S313" s="354"/>
      <c r="T313" s="355"/>
      <c r="U313" s="302"/>
    </row>
    <row r="314" spans="2:21" ht="14.1" customHeight="1" x14ac:dyDescent="0.15">
      <c r="B314" s="302"/>
      <c r="C314" s="325">
        <v>301</v>
      </c>
      <c r="D314" s="999"/>
      <c r="E314" s="1000"/>
      <c r="F314" s="1000"/>
      <c r="G314" s="1000"/>
      <c r="H314" s="1000"/>
      <c r="I314" s="1000"/>
      <c r="J314" s="1001"/>
      <c r="K314" s="302"/>
      <c r="L314" s="363"/>
      <c r="M314" s="330"/>
      <c r="N314" s="331"/>
      <c r="O314" s="338"/>
      <c r="P314" s="339"/>
      <c r="Q314" s="346"/>
      <c r="R314" s="347"/>
      <c r="S314" s="354"/>
      <c r="T314" s="355"/>
      <c r="U314" s="302"/>
    </row>
    <row r="315" spans="2:21" ht="14.1" customHeight="1" x14ac:dyDescent="0.15">
      <c r="B315" s="302"/>
      <c r="C315" s="325">
        <v>302</v>
      </c>
      <c r="D315" s="999"/>
      <c r="E315" s="1000"/>
      <c r="F315" s="1000"/>
      <c r="G315" s="1000"/>
      <c r="H315" s="1000"/>
      <c r="I315" s="1000"/>
      <c r="J315" s="1001"/>
      <c r="K315" s="302"/>
      <c r="L315" s="363"/>
      <c r="M315" s="330"/>
      <c r="N315" s="331"/>
      <c r="O315" s="338"/>
      <c r="P315" s="339"/>
      <c r="Q315" s="346"/>
      <c r="R315" s="347"/>
      <c r="S315" s="354"/>
      <c r="T315" s="355"/>
      <c r="U315" s="302"/>
    </row>
    <row r="316" spans="2:21" ht="14.1" customHeight="1" x14ac:dyDescent="0.15">
      <c r="B316" s="302"/>
      <c r="C316" s="325">
        <v>303</v>
      </c>
      <c r="D316" s="999"/>
      <c r="E316" s="1000"/>
      <c r="F316" s="1000"/>
      <c r="G316" s="1000"/>
      <c r="H316" s="1000"/>
      <c r="I316" s="1000"/>
      <c r="J316" s="1001"/>
      <c r="K316" s="302"/>
      <c r="L316" s="363"/>
      <c r="M316" s="330"/>
      <c r="N316" s="331"/>
      <c r="O316" s="338"/>
      <c r="P316" s="339"/>
      <c r="Q316" s="346"/>
      <c r="R316" s="347"/>
      <c r="S316" s="354"/>
      <c r="T316" s="355"/>
      <c r="U316" s="302"/>
    </row>
    <row r="317" spans="2:21" ht="14.1" customHeight="1" x14ac:dyDescent="0.15">
      <c r="B317" s="302"/>
      <c r="C317" s="325">
        <v>304</v>
      </c>
      <c r="D317" s="999"/>
      <c r="E317" s="1000"/>
      <c r="F317" s="1000"/>
      <c r="G317" s="1000"/>
      <c r="H317" s="1000"/>
      <c r="I317" s="1000"/>
      <c r="J317" s="1001"/>
      <c r="K317" s="302"/>
      <c r="L317" s="363"/>
      <c r="M317" s="330"/>
      <c r="N317" s="331"/>
      <c r="O317" s="338"/>
      <c r="P317" s="339"/>
      <c r="Q317" s="346"/>
      <c r="R317" s="347"/>
      <c r="S317" s="354"/>
      <c r="T317" s="355"/>
      <c r="U317" s="302"/>
    </row>
    <row r="318" spans="2:21" ht="14.1" customHeight="1" x14ac:dyDescent="0.15">
      <c r="B318" s="302"/>
      <c r="C318" s="325">
        <v>305</v>
      </c>
      <c r="D318" s="999"/>
      <c r="E318" s="1000"/>
      <c r="F318" s="1000"/>
      <c r="G318" s="1000"/>
      <c r="H318" s="1000"/>
      <c r="I318" s="1000"/>
      <c r="J318" s="1001"/>
      <c r="K318" s="302"/>
      <c r="L318" s="363"/>
      <c r="M318" s="330"/>
      <c r="N318" s="331"/>
      <c r="O318" s="338"/>
      <c r="P318" s="339"/>
      <c r="Q318" s="346"/>
      <c r="R318" s="347"/>
      <c r="S318" s="354"/>
      <c r="T318" s="355"/>
      <c r="U318" s="302"/>
    </row>
    <row r="319" spans="2:21" ht="14.1" customHeight="1" x14ac:dyDescent="0.15">
      <c r="B319" s="302"/>
      <c r="C319" s="325">
        <v>306</v>
      </c>
      <c r="D319" s="999"/>
      <c r="E319" s="1000"/>
      <c r="F319" s="1000"/>
      <c r="G319" s="1000"/>
      <c r="H319" s="1000"/>
      <c r="I319" s="1000"/>
      <c r="J319" s="1001"/>
      <c r="K319" s="302"/>
      <c r="L319" s="363"/>
      <c r="M319" s="330"/>
      <c r="N319" s="331"/>
      <c r="O319" s="338"/>
      <c r="P319" s="339"/>
      <c r="Q319" s="346"/>
      <c r="R319" s="347"/>
      <c r="S319" s="354"/>
      <c r="T319" s="355"/>
      <c r="U319" s="302"/>
    </row>
    <row r="320" spans="2:21" ht="14.1" customHeight="1" x14ac:dyDescent="0.15">
      <c r="B320" s="302"/>
      <c r="C320" s="325">
        <v>307</v>
      </c>
      <c r="D320" s="999"/>
      <c r="E320" s="1000"/>
      <c r="F320" s="1000"/>
      <c r="G320" s="1000"/>
      <c r="H320" s="1000"/>
      <c r="I320" s="1000"/>
      <c r="J320" s="1001"/>
      <c r="K320" s="302"/>
      <c r="L320" s="363"/>
      <c r="M320" s="330"/>
      <c r="N320" s="331"/>
      <c r="O320" s="338"/>
      <c r="P320" s="339"/>
      <c r="Q320" s="346"/>
      <c r="R320" s="347"/>
      <c r="S320" s="354"/>
      <c r="T320" s="355"/>
      <c r="U320" s="302"/>
    </row>
    <row r="321" spans="2:21" ht="14.1" customHeight="1" x14ac:dyDescent="0.15">
      <c r="B321" s="302"/>
      <c r="C321" s="325">
        <v>308</v>
      </c>
      <c r="D321" s="999"/>
      <c r="E321" s="1000"/>
      <c r="F321" s="1000"/>
      <c r="G321" s="1000"/>
      <c r="H321" s="1000"/>
      <c r="I321" s="1000"/>
      <c r="J321" s="1001"/>
      <c r="K321" s="302"/>
      <c r="L321" s="363"/>
      <c r="M321" s="330"/>
      <c r="N321" s="331"/>
      <c r="O321" s="338"/>
      <c r="P321" s="339"/>
      <c r="Q321" s="346"/>
      <c r="R321" s="347"/>
      <c r="S321" s="354"/>
      <c r="T321" s="355"/>
      <c r="U321" s="302"/>
    </row>
    <row r="322" spans="2:21" ht="14.1" customHeight="1" x14ac:dyDescent="0.15">
      <c r="B322" s="302"/>
      <c r="C322" s="325">
        <v>309</v>
      </c>
      <c r="D322" s="999"/>
      <c r="E322" s="1000"/>
      <c r="F322" s="1000"/>
      <c r="G322" s="1000"/>
      <c r="H322" s="1000"/>
      <c r="I322" s="1000"/>
      <c r="J322" s="1001"/>
      <c r="K322" s="302"/>
      <c r="L322" s="363"/>
      <c r="M322" s="330"/>
      <c r="N322" s="331"/>
      <c r="O322" s="338"/>
      <c r="P322" s="339"/>
      <c r="Q322" s="346"/>
      <c r="R322" s="347"/>
      <c r="S322" s="354"/>
      <c r="T322" s="355"/>
      <c r="U322" s="302"/>
    </row>
    <row r="323" spans="2:21" ht="14.1" customHeight="1" x14ac:dyDescent="0.15">
      <c r="B323" s="302"/>
      <c r="C323" s="325">
        <v>310</v>
      </c>
      <c r="D323" s="999"/>
      <c r="E323" s="1000"/>
      <c r="F323" s="1000"/>
      <c r="G323" s="1000"/>
      <c r="H323" s="1000"/>
      <c r="I323" s="1000"/>
      <c r="J323" s="1001"/>
      <c r="K323" s="302"/>
      <c r="L323" s="363"/>
      <c r="M323" s="330"/>
      <c r="N323" s="331"/>
      <c r="O323" s="338"/>
      <c r="P323" s="339"/>
      <c r="Q323" s="346"/>
      <c r="R323" s="347"/>
      <c r="S323" s="354"/>
      <c r="T323" s="355"/>
      <c r="U323" s="302"/>
    </row>
    <row r="324" spans="2:21" ht="14.1" customHeight="1" x14ac:dyDescent="0.15">
      <c r="B324" s="302"/>
      <c r="C324" s="325">
        <v>311</v>
      </c>
      <c r="D324" s="999"/>
      <c r="E324" s="1000"/>
      <c r="F324" s="1000"/>
      <c r="G324" s="1000"/>
      <c r="H324" s="1000"/>
      <c r="I324" s="1000"/>
      <c r="J324" s="1001"/>
      <c r="K324" s="302"/>
      <c r="L324" s="363"/>
      <c r="M324" s="330"/>
      <c r="N324" s="331"/>
      <c r="O324" s="338"/>
      <c r="P324" s="339"/>
      <c r="Q324" s="346"/>
      <c r="R324" s="347"/>
      <c r="S324" s="354"/>
      <c r="T324" s="355"/>
      <c r="U324" s="302"/>
    </row>
    <row r="325" spans="2:21" ht="14.1" customHeight="1" x14ac:dyDescent="0.15">
      <c r="B325" s="302"/>
      <c r="C325" s="325">
        <v>312</v>
      </c>
      <c r="D325" s="999"/>
      <c r="E325" s="1000"/>
      <c r="F325" s="1000"/>
      <c r="G325" s="1000"/>
      <c r="H325" s="1000"/>
      <c r="I325" s="1000"/>
      <c r="J325" s="1001"/>
      <c r="K325" s="302"/>
      <c r="L325" s="363"/>
      <c r="M325" s="330"/>
      <c r="N325" s="331"/>
      <c r="O325" s="338"/>
      <c r="P325" s="339"/>
      <c r="Q325" s="346"/>
      <c r="R325" s="347"/>
      <c r="S325" s="354"/>
      <c r="T325" s="355"/>
      <c r="U325" s="302"/>
    </row>
    <row r="326" spans="2:21" ht="14.1" customHeight="1" x14ac:dyDescent="0.15">
      <c r="B326" s="302"/>
      <c r="C326" s="325">
        <v>313</v>
      </c>
      <c r="D326" s="999"/>
      <c r="E326" s="1000"/>
      <c r="F326" s="1000"/>
      <c r="G326" s="1000"/>
      <c r="H326" s="1000"/>
      <c r="I326" s="1000"/>
      <c r="J326" s="1001"/>
      <c r="K326" s="302"/>
      <c r="L326" s="363"/>
      <c r="M326" s="330"/>
      <c r="N326" s="331"/>
      <c r="O326" s="338"/>
      <c r="P326" s="339"/>
      <c r="Q326" s="346"/>
      <c r="R326" s="347"/>
      <c r="S326" s="354"/>
      <c r="T326" s="355"/>
      <c r="U326" s="302"/>
    </row>
    <row r="327" spans="2:21" ht="14.1" customHeight="1" x14ac:dyDescent="0.15">
      <c r="B327" s="302"/>
      <c r="C327" s="325">
        <v>314</v>
      </c>
      <c r="D327" s="999"/>
      <c r="E327" s="1000"/>
      <c r="F327" s="1000"/>
      <c r="G327" s="1000"/>
      <c r="H327" s="1000"/>
      <c r="I327" s="1000"/>
      <c r="J327" s="1001"/>
      <c r="K327" s="302"/>
      <c r="L327" s="363"/>
      <c r="M327" s="330"/>
      <c r="N327" s="331"/>
      <c r="O327" s="338"/>
      <c r="P327" s="339"/>
      <c r="Q327" s="346"/>
      <c r="R327" s="347"/>
      <c r="S327" s="354"/>
      <c r="T327" s="355"/>
      <c r="U327" s="302"/>
    </row>
    <row r="328" spans="2:21" ht="14.1" customHeight="1" x14ac:dyDescent="0.15">
      <c r="B328" s="302"/>
      <c r="C328" s="325">
        <v>315</v>
      </c>
      <c r="D328" s="999"/>
      <c r="E328" s="1000"/>
      <c r="F328" s="1000"/>
      <c r="G328" s="1000"/>
      <c r="H328" s="1000"/>
      <c r="I328" s="1000"/>
      <c r="J328" s="1001"/>
      <c r="K328" s="302"/>
      <c r="L328" s="363"/>
      <c r="M328" s="330"/>
      <c r="N328" s="331"/>
      <c r="O328" s="338"/>
      <c r="P328" s="339"/>
      <c r="Q328" s="346"/>
      <c r="R328" s="347"/>
      <c r="S328" s="354"/>
      <c r="T328" s="355"/>
      <c r="U328" s="302"/>
    </row>
    <row r="329" spans="2:21" ht="14.1" customHeight="1" x14ac:dyDescent="0.15">
      <c r="B329" s="302"/>
      <c r="C329" s="325">
        <v>316</v>
      </c>
      <c r="D329" s="999"/>
      <c r="E329" s="1000"/>
      <c r="F329" s="1000"/>
      <c r="G329" s="1000"/>
      <c r="H329" s="1000"/>
      <c r="I329" s="1000"/>
      <c r="J329" s="1001"/>
      <c r="K329" s="302"/>
      <c r="L329" s="363"/>
      <c r="M329" s="330"/>
      <c r="N329" s="331"/>
      <c r="O329" s="338"/>
      <c r="P329" s="339"/>
      <c r="Q329" s="346"/>
      <c r="R329" s="347"/>
      <c r="S329" s="354"/>
      <c r="T329" s="355"/>
      <c r="U329" s="302"/>
    </row>
    <row r="330" spans="2:21" ht="14.1" customHeight="1" x14ac:dyDescent="0.15">
      <c r="B330" s="302"/>
      <c r="C330" s="325">
        <v>317</v>
      </c>
      <c r="D330" s="999"/>
      <c r="E330" s="1000"/>
      <c r="F330" s="1000"/>
      <c r="G330" s="1000"/>
      <c r="H330" s="1000"/>
      <c r="I330" s="1000"/>
      <c r="J330" s="1001"/>
      <c r="K330" s="302"/>
      <c r="L330" s="363"/>
      <c r="M330" s="330"/>
      <c r="N330" s="331"/>
      <c r="O330" s="338"/>
      <c r="P330" s="339"/>
      <c r="Q330" s="346"/>
      <c r="R330" s="347"/>
      <c r="S330" s="354"/>
      <c r="T330" s="355"/>
      <c r="U330" s="302"/>
    </row>
    <row r="331" spans="2:21" ht="14.1" customHeight="1" x14ac:dyDescent="0.15">
      <c r="B331" s="302"/>
      <c r="C331" s="325">
        <v>318</v>
      </c>
      <c r="D331" s="999"/>
      <c r="E331" s="1000"/>
      <c r="F331" s="1000"/>
      <c r="G331" s="1000"/>
      <c r="H331" s="1000"/>
      <c r="I331" s="1000"/>
      <c r="J331" s="1001"/>
      <c r="K331" s="302"/>
      <c r="L331" s="363"/>
      <c r="M331" s="330"/>
      <c r="N331" s="331"/>
      <c r="O331" s="338"/>
      <c r="P331" s="339"/>
      <c r="Q331" s="346"/>
      <c r="R331" s="347"/>
      <c r="S331" s="354"/>
      <c r="T331" s="355"/>
      <c r="U331" s="302"/>
    </row>
    <row r="332" spans="2:21" ht="14.1" customHeight="1" x14ac:dyDescent="0.15">
      <c r="B332" s="302"/>
      <c r="C332" s="325">
        <v>319</v>
      </c>
      <c r="D332" s="999"/>
      <c r="E332" s="1000"/>
      <c r="F332" s="1000"/>
      <c r="G332" s="1000"/>
      <c r="H332" s="1000"/>
      <c r="I332" s="1000"/>
      <c r="J332" s="1001"/>
      <c r="K332" s="302"/>
      <c r="L332" s="363"/>
      <c r="M332" s="330"/>
      <c r="N332" s="331"/>
      <c r="O332" s="338"/>
      <c r="P332" s="339"/>
      <c r="Q332" s="346"/>
      <c r="R332" s="347"/>
      <c r="S332" s="354"/>
      <c r="T332" s="355"/>
      <c r="U332" s="302"/>
    </row>
    <row r="333" spans="2:21" ht="14.1" customHeight="1" x14ac:dyDescent="0.15">
      <c r="B333" s="302"/>
      <c r="C333" s="325">
        <v>320</v>
      </c>
      <c r="D333" s="999"/>
      <c r="E333" s="1000"/>
      <c r="F333" s="1000"/>
      <c r="G333" s="1000"/>
      <c r="H333" s="1000"/>
      <c r="I333" s="1000"/>
      <c r="J333" s="1001"/>
      <c r="K333" s="302"/>
      <c r="L333" s="363"/>
      <c r="M333" s="330"/>
      <c r="N333" s="331"/>
      <c r="O333" s="338"/>
      <c r="P333" s="339"/>
      <c r="Q333" s="346"/>
      <c r="R333" s="347"/>
      <c r="S333" s="354"/>
      <c r="T333" s="355"/>
      <c r="U333" s="302"/>
    </row>
    <row r="334" spans="2:21" ht="14.1" customHeight="1" x14ac:dyDescent="0.15">
      <c r="B334" s="302"/>
      <c r="C334" s="325">
        <v>321</v>
      </c>
      <c r="D334" s="999"/>
      <c r="E334" s="1000"/>
      <c r="F334" s="1000"/>
      <c r="G334" s="1000"/>
      <c r="H334" s="1000"/>
      <c r="I334" s="1000"/>
      <c r="J334" s="1001"/>
      <c r="K334" s="302"/>
      <c r="L334" s="363"/>
      <c r="M334" s="330"/>
      <c r="N334" s="331"/>
      <c r="O334" s="338"/>
      <c r="P334" s="339"/>
      <c r="Q334" s="346"/>
      <c r="R334" s="347"/>
      <c r="S334" s="354"/>
      <c r="T334" s="355"/>
      <c r="U334" s="302"/>
    </row>
    <row r="335" spans="2:21" ht="14.1" customHeight="1" x14ac:dyDescent="0.15">
      <c r="B335" s="302"/>
      <c r="C335" s="325">
        <v>322</v>
      </c>
      <c r="D335" s="999"/>
      <c r="E335" s="1000"/>
      <c r="F335" s="1000"/>
      <c r="G335" s="1000"/>
      <c r="H335" s="1000"/>
      <c r="I335" s="1000"/>
      <c r="J335" s="1001"/>
      <c r="K335" s="302"/>
      <c r="L335" s="363"/>
      <c r="M335" s="330"/>
      <c r="N335" s="331"/>
      <c r="O335" s="338"/>
      <c r="P335" s="339"/>
      <c r="Q335" s="346"/>
      <c r="R335" s="347"/>
      <c r="S335" s="354"/>
      <c r="T335" s="355"/>
      <c r="U335" s="302"/>
    </row>
    <row r="336" spans="2:21" ht="14.1" customHeight="1" x14ac:dyDescent="0.15">
      <c r="B336" s="302"/>
      <c r="C336" s="325">
        <v>323</v>
      </c>
      <c r="D336" s="999"/>
      <c r="E336" s="1000"/>
      <c r="F336" s="1000"/>
      <c r="G336" s="1000"/>
      <c r="H336" s="1000"/>
      <c r="I336" s="1000"/>
      <c r="J336" s="1001"/>
      <c r="K336" s="302"/>
      <c r="L336" s="363"/>
      <c r="M336" s="330"/>
      <c r="N336" s="331"/>
      <c r="O336" s="338"/>
      <c r="P336" s="339"/>
      <c r="Q336" s="346"/>
      <c r="R336" s="347"/>
      <c r="S336" s="354"/>
      <c r="T336" s="355"/>
      <c r="U336" s="302"/>
    </row>
    <row r="337" spans="2:21" ht="14.1" customHeight="1" x14ac:dyDescent="0.15">
      <c r="B337" s="302"/>
      <c r="C337" s="325">
        <v>324</v>
      </c>
      <c r="D337" s="999"/>
      <c r="E337" s="1000"/>
      <c r="F337" s="1000"/>
      <c r="G337" s="1000"/>
      <c r="H337" s="1000"/>
      <c r="I337" s="1000"/>
      <c r="J337" s="1001"/>
      <c r="K337" s="302"/>
      <c r="L337" s="363"/>
      <c r="M337" s="330"/>
      <c r="N337" s="331"/>
      <c r="O337" s="338"/>
      <c r="P337" s="339"/>
      <c r="Q337" s="346"/>
      <c r="R337" s="347"/>
      <c r="S337" s="354"/>
      <c r="T337" s="355"/>
      <c r="U337" s="302"/>
    </row>
    <row r="338" spans="2:21" ht="14.1" customHeight="1" x14ac:dyDescent="0.15">
      <c r="B338" s="302"/>
      <c r="C338" s="325">
        <v>325</v>
      </c>
      <c r="D338" s="999"/>
      <c r="E338" s="1000"/>
      <c r="F338" s="1000"/>
      <c r="G338" s="1000"/>
      <c r="H338" s="1000"/>
      <c r="I338" s="1000"/>
      <c r="J338" s="1001"/>
      <c r="K338" s="302"/>
      <c r="L338" s="363"/>
      <c r="M338" s="330"/>
      <c r="N338" s="331"/>
      <c r="O338" s="338"/>
      <c r="P338" s="339"/>
      <c r="Q338" s="346"/>
      <c r="R338" s="347"/>
      <c r="S338" s="354"/>
      <c r="T338" s="355"/>
      <c r="U338" s="302"/>
    </row>
    <row r="339" spans="2:21" ht="14.1" customHeight="1" x14ac:dyDescent="0.15">
      <c r="B339" s="302"/>
      <c r="C339" s="325">
        <v>326</v>
      </c>
      <c r="D339" s="999"/>
      <c r="E339" s="1000"/>
      <c r="F339" s="1000"/>
      <c r="G339" s="1000"/>
      <c r="H339" s="1000"/>
      <c r="I339" s="1000"/>
      <c r="J339" s="1001"/>
      <c r="K339" s="302"/>
      <c r="L339" s="363"/>
      <c r="M339" s="330"/>
      <c r="N339" s="331"/>
      <c r="O339" s="338"/>
      <c r="P339" s="339"/>
      <c r="Q339" s="346"/>
      <c r="R339" s="347"/>
      <c r="S339" s="354"/>
      <c r="T339" s="355"/>
      <c r="U339" s="302"/>
    </row>
    <row r="340" spans="2:21" ht="14.1" customHeight="1" x14ac:dyDescent="0.15">
      <c r="B340" s="302"/>
      <c r="C340" s="325">
        <v>327</v>
      </c>
      <c r="D340" s="999"/>
      <c r="E340" s="1000"/>
      <c r="F340" s="1000"/>
      <c r="G340" s="1000"/>
      <c r="H340" s="1000"/>
      <c r="I340" s="1000"/>
      <c r="J340" s="1001"/>
      <c r="K340" s="302"/>
      <c r="L340" s="363"/>
      <c r="M340" s="330"/>
      <c r="N340" s="331"/>
      <c r="O340" s="338"/>
      <c r="P340" s="339"/>
      <c r="Q340" s="346"/>
      <c r="R340" s="347"/>
      <c r="S340" s="354"/>
      <c r="T340" s="355"/>
      <c r="U340" s="302"/>
    </row>
    <row r="341" spans="2:21" ht="14.1" customHeight="1" x14ac:dyDescent="0.15">
      <c r="B341" s="302"/>
      <c r="C341" s="325">
        <v>328</v>
      </c>
      <c r="D341" s="999"/>
      <c r="E341" s="1000"/>
      <c r="F341" s="1000"/>
      <c r="G341" s="1000"/>
      <c r="H341" s="1000"/>
      <c r="I341" s="1000"/>
      <c r="J341" s="1001"/>
      <c r="K341" s="302"/>
      <c r="L341" s="363"/>
      <c r="M341" s="330"/>
      <c r="N341" s="331"/>
      <c r="O341" s="338"/>
      <c r="P341" s="339"/>
      <c r="Q341" s="346"/>
      <c r="R341" s="347"/>
      <c r="S341" s="354"/>
      <c r="T341" s="355"/>
      <c r="U341" s="302"/>
    </row>
    <row r="342" spans="2:21" ht="14.1" customHeight="1" x14ac:dyDescent="0.15">
      <c r="B342" s="302"/>
      <c r="C342" s="325">
        <v>329</v>
      </c>
      <c r="D342" s="999"/>
      <c r="E342" s="1000"/>
      <c r="F342" s="1000"/>
      <c r="G342" s="1000"/>
      <c r="H342" s="1000"/>
      <c r="I342" s="1000"/>
      <c r="J342" s="1001"/>
      <c r="K342" s="302"/>
      <c r="L342" s="363"/>
      <c r="M342" s="330"/>
      <c r="N342" s="331"/>
      <c r="O342" s="338"/>
      <c r="P342" s="339"/>
      <c r="Q342" s="346"/>
      <c r="R342" s="347"/>
      <c r="S342" s="354"/>
      <c r="T342" s="355"/>
      <c r="U342" s="302"/>
    </row>
    <row r="343" spans="2:21" ht="14.1" customHeight="1" x14ac:dyDescent="0.15">
      <c r="B343" s="302"/>
      <c r="C343" s="325">
        <v>330</v>
      </c>
      <c r="D343" s="999"/>
      <c r="E343" s="1000"/>
      <c r="F343" s="1000"/>
      <c r="G343" s="1000"/>
      <c r="H343" s="1000"/>
      <c r="I343" s="1000"/>
      <c r="J343" s="1001"/>
      <c r="K343" s="302"/>
      <c r="L343" s="363"/>
      <c r="M343" s="330"/>
      <c r="N343" s="331"/>
      <c r="O343" s="338"/>
      <c r="P343" s="339"/>
      <c r="Q343" s="346"/>
      <c r="R343" s="347"/>
      <c r="S343" s="354"/>
      <c r="T343" s="355"/>
      <c r="U343" s="302"/>
    </row>
    <row r="344" spans="2:21" ht="14.1" customHeight="1" x14ac:dyDescent="0.15">
      <c r="B344" s="302"/>
      <c r="C344" s="325">
        <v>331</v>
      </c>
      <c r="D344" s="999"/>
      <c r="E344" s="1000"/>
      <c r="F344" s="1000"/>
      <c r="G344" s="1000"/>
      <c r="H344" s="1000"/>
      <c r="I344" s="1000"/>
      <c r="J344" s="1001"/>
      <c r="K344" s="302"/>
      <c r="L344" s="363"/>
      <c r="M344" s="330"/>
      <c r="N344" s="331"/>
      <c r="O344" s="338"/>
      <c r="P344" s="339"/>
      <c r="Q344" s="346"/>
      <c r="R344" s="347"/>
      <c r="S344" s="354"/>
      <c r="T344" s="355"/>
      <c r="U344" s="302"/>
    </row>
    <row r="345" spans="2:21" ht="14.1" customHeight="1" x14ac:dyDescent="0.15">
      <c r="B345" s="302"/>
      <c r="C345" s="325">
        <v>332</v>
      </c>
      <c r="D345" s="999"/>
      <c r="E345" s="1000"/>
      <c r="F345" s="1000"/>
      <c r="G345" s="1000"/>
      <c r="H345" s="1000"/>
      <c r="I345" s="1000"/>
      <c r="J345" s="1001"/>
      <c r="K345" s="302"/>
      <c r="L345" s="363"/>
      <c r="M345" s="330"/>
      <c r="N345" s="331"/>
      <c r="O345" s="338"/>
      <c r="P345" s="339"/>
      <c r="Q345" s="346"/>
      <c r="R345" s="347"/>
      <c r="S345" s="354"/>
      <c r="T345" s="355"/>
      <c r="U345" s="302"/>
    </row>
    <row r="346" spans="2:21" ht="14.1" customHeight="1" x14ac:dyDescent="0.15">
      <c r="B346" s="302"/>
      <c r="C346" s="325">
        <v>333</v>
      </c>
      <c r="D346" s="999"/>
      <c r="E346" s="1000"/>
      <c r="F346" s="1000"/>
      <c r="G346" s="1000"/>
      <c r="H346" s="1000"/>
      <c r="I346" s="1000"/>
      <c r="J346" s="1001"/>
      <c r="K346" s="302"/>
      <c r="L346" s="363"/>
      <c r="M346" s="330"/>
      <c r="N346" s="331"/>
      <c r="O346" s="338"/>
      <c r="P346" s="339"/>
      <c r="Q346" s="346"/>
      <c r="R346" s="347"/>
      <c r="S346" s="354"/>
      <c r="T346" s="355"/>
      <c r="U346" s="302"/>
    </row>
    <row r="347" spans="2:21" ht="14.1" customHeight="1" x14ac:dyDescent="0.15">
      <c r="B347" s="302"/>
      <c r="C347" s="325">
        <v>334</v>
      </c>
      <c r="D347" s="999"/>
      <c r="E347" s="1000"/>
      <c r="F347" s="1000"/>
      <c r="G347" s="1000"/>
      <c r="H347" s="1000"/>
      <c r="I347" s="1000"/>
      <c r="J347" s="1001"/>
      <c r="K347" s="302"/>
      <c r="L347" s="363"/>
      <c r="M347" s="330"/>
      <c r="N347" s="331"/>
      <c r="O347" s="338"/>
      <c r="P347" s="339"/>
      <c r="Q347" s="346"/>
      <c r="R347" s="347"/>
      <c r="S347" s="354"/>
      <c r="T347" s="355"/>
      <c r="U347" s="302"/>
    </row>
    <row r="348" spans="2:21" ht="14.1" customHeight="1" x14ac:dyDescent="0.15">
      <c r="B348" s="302"/>
      <c r="C348" s="325">
        <v>335</v>
      </c>
      <c r="D348" s="999"/>
      <c r="E348" s="1000"/>
      <c r="F348" s="1000"/>
      <c r="G348" s="1000"/>
      <c r="H348" s="1000"/>
      <c r="I348" s="1000"/>
      <c r="J348" s="1001"/>
      <c r="K348" s="302"/>
      <c r="L348" s="363"/>
      <c r="M348" s="330"/>
      <c r="N348" s="331"/>
      <c r="O348" s="338"/>
      <c r="P348" s="339"/>
      <c r="Q348" s="346"/>
      <c r="R348" s="347"/>
      <c r="S348" s="354"/>
      <c r="T348" s="355"/>
      <c r="U348" s="302"/>
    </row>
    <row r="349" spans="2:21" ht="14.1" customHeight="1" x14ac:dyDescent="0.15">
      <c r="B349" s="302"/>
      <c r="C349" s="325">
        <v>336</v>
      </c>
      <c r="D349" s="999"/>
      <c r="E349" s="1000"/>
      <c r="F349" s="1000"/>
      <c r="G349" s="1000"/>
      <c r="H349" s="1000"/>
      <c r="I349" s="1000"/>
      <c r="J349" s="1001"/>
      <c r="K349" s="302"/>
      <c r="L349" s="363"/>
      <c r="M349" s="330"/>
      <c r="N349" s="331"/>
      <c r="O349" s="338"/>
      <c r="P349" s="339"/>
      <c r="Q349" s="346"/>
      <c r="R349" s="347"/>
      <c r="S349" s="354"/>
      <c r="T349" s="355"/>
      <c r="U349" s="302"/>
    </row>
    <row r="350" spans="2:21" ht="14.1" customHeight="1" x14ac:dyDescent="0.15">
      <c r="B350" s="302"/>
      <c r="C350" s="325">
        <v>337</v>
      </c>
      <c r="D350" s="999"/>
      <c r="E350" s="1000"/>
      <c r="F350" s="1000"/>
      <c r="G350" s="1000"/>
      <c r="H350" s="1000"/>
      <c r="I350" s="1000"/>
      <c r="J350" s="1001"/>
      <c r="K350" s="302"/>
      <c r="L350" s="363"/>
      <c r="M350" s="330"/>
      <c r="N350" s="331"/>
      <c r="O350" s="338"/>
      <c r="P350" s="339"/>
      <c r="Q350" s="346"/>
      <c r="R350" s="347"/>
      <c r="S350" s="354"/>
      <c r="T350" s="355"/>
      <c r="U350" s="302"/>
    </row>
    <row r="351" spans="2:21" ht="14.1" customHeight="1" x14ac:dyDescent="0.15">
      <c r="B351" s="302"/>
      <c r="C351" s="325">
        <v>338</v>
      </c>
      <c r="D351" s="999"/>
      <c r="E351" s="1000"/>
      <c r="F351" s="1000"/>
      <c r="G351" s="1000"/>
      <c r="H351" s="1000"/>
      <c r="I351" s="1000"/>
      <c r="J351" s="1001"/>
      <c r="K351" s="302"/>
      <c r="L351" s="363"/>
      <c r="M351" s="330"/>
      <c r="N351" s="331"/>
      <c r="O351" s="338"/>
      <c r="P351" s="339"/>
      <c r="Q351" s="346"/>
      <c r="R351" s="347"/>
      <c r="S351" s="354"/>
      <c r="T351" s="355"/>
      <c r="U351" s="302"/>
    </row>
    <row r="352" spans="2:21" ht="14.1" customHeight="1" x14ac:dyDescent="0.15">
      <c r="B352" s="302"/>
      <c r="C352" s="325">
        <v>339</v>
      </c>
      <c r="D352" s="999"/>
      <c r="E352" s="1000"/>
      <c r="F352" s="1000"/>
      <c r="G352" s="1000"/>
      <c r="H352" s="1000"/>
      <c r="I352" s="1000"/>
      <c r="J352" s="1001"/>
      <c r="K352" s="302"/>
      <c r="L352" s="363"/>
      <c r="M352" s="330"/>
      <c r="N352" s="331"/>
      <c r="O352" s="338"/>
      <c r="P352" s="339"/>
      <c r="Q352" s="346"/>
      <c r="R352" s="347"/>
      <c r="S352" s="354"/>
      <c r="T352" s="355"/>
      <c r="U352" s="302"/>
    </row>
    <row r="353" spans="2:21" ht="14.1" customHeight="1" x14ac:dyDescent="0.15">
      <c r="B353" s="302"/>
      <c r="C353" s="325">
        <v>340</v>
      </c>
      <c r="D353" s="999"/>
      <c r="E353" s="1000"/>
      <c r="F353" s="1000"/>
      <c r="G353" s="1000"/>
      <c r="H353" s="1000"/>
      <c r="I353" s="1000"/>
      <c r="J353" s="1001"/>
      <c r="K353" s="302"/>
      <c r="L353" s="363"/>
      <c r="M353" s="330"/>
      <c r="N353" s="331"/>
      <c r="O353" s="338"/>
      <c r="P353" s="339"/>
      <c r="Q353" s="346"/>
      <c r="R353" s="347"/>
      <c r="S353" s="354"/>
      <c r="T353" s="355"/>
      <c r="U353" s="302"/>
    </row>
    <row r="354" spans="2:21" ht="14.1" customHeight="1" x14ac:dyDescent="0.15">
      <c r="B354" s="302"/>
      <c r="C354" s="325">
        <v>341</v>
      </c>
      <c r="D354" s="999"/>
      <c r="E354" s="1000"/>
      <c r="F354" s="1000"/>
      <c r="G354" s="1000"/>
      <c r="H354" s="1000"/>
      <c r="I354" s="1000"/>
      <c r="J354" s="1001"/>
      <c r="K354" s="302"/>
      <c r="L354" s="363"/>
      <c r="M354" s="330"/>
      <c r="N354" s="331"/>
      <c r="O354" s="338"/>
      <c r="P354" s="339"/>
      <c r="Q354" s="346"/>
      <c r="R354" s="347"/>
      <c r="S354" s="354"/>
      <c r="T354" s="355"/>
      <c r="U354" s="302"/>
    </row>
    <row r="355" spans="2:21" ht="14.1" customHeight="1" x14ac:dyDescent="0.15">
      <c r="B355" s="302"/>
      <c r="C355" s="325">
        <v>342</v>
      </c>
      <c r="D355" s="999"/>
      <c r="E355" s="1000"/>
      <c r="F355" s="1000"/>
      <c r="G355" s="1000"/>
      <c r="H355" s="1000"/>
      <c r="I355" s="1000"/>
      <c r="J355" s="1001"/>
      <c r="K355" s="302"/>
      <c r="L355" s="363"/>
      <c r="M355" s="330"/>
      <c r="N355" s="331"/>
      <c r="O355" s="338"/>
      <c r="P355" s="339"/>
      <c r="Q355" s="346"/>
      <c r="R355" s="347"/>
      <c r="S355" s="354"/>
      <c r="T355" s="355"/>
      <c r="U355" s="302"/>
    </row>
    <row r="356" spans="2:21" ht="14.1" customHeight="1" x14ac:dyDescent="0.15">
      <c r="B356" s="302"/>
      <c r="C356" s="325">
        <v>343</v>
      </c>
      <c r="D356" s="999"/>
      <c r="E356" s="1000"/>
      <c r="F356" s="1000"/>
      <c r="G356" s="1000"/>
      <c r="H356" s="1000"/>
      <c r="I356" s="1000"/>
      <c r="J356" s="1001"/>
      <c r="K356" s="302"/>
      <c r="L356" s="363"/>
      <c r="M356" s="330"/>
      <c r="N356" s="331"/>
      <c r="O356" s="338"/>
      <c r="P356" s="339"/>
      <c r="Q356" s="346"/>
      <c r="R356" s="347"/>
      <c r="S356" s="354"/>
      <c r="T356" s="355"/>
      <c r="U356" s="302"/>
    </row>
    <row r="357" spans="2:21" ht="14.1" customHeight="1" x14ac:dyDescent="0.15">
      <c r="B357" s="302"/>
      <c r="C357" s="325">
        <v>344</v>
      </c>
      <c r="D357" s="999"/>
      <c r="E357" s="1000"/>
      <c r="F357" s="1000"/>
      <c r="G357" s="1000"/>
      <c r="H357" s="1000"/>
      <c r="I357" s="1000"/>
      <c r="J357" s="1001"/>
      <c r="K357" s="302"/>
      <c r="L357" s="363"/>
      <c r="M357" s="330"/>
      <c r="N357" s="331"/>
      <c r="O357" s="338"/>
      <c r="P357" s="339"/>
      <c r="Q357" s="346"/>
      <c r="R357" s="347"/>
      <c r="S357" s="354"/>
      <c r="T357" s="355"/>
      <c r="U357" s="302"/>
    </row>
    <row r="358" spans="2:21" ht="14.1" customHeight="1" x14ac:dyDescent="0.15">
      <c r="B358" s="302"/>
      <c r="C358" s="325">
        <v>345</v>
      </c>
      <c r="D358" s="999"/>
      <c r="E358" s="1000"/>
      <c r="F358" s="1000"/>
      <c r="G358" s="1000"/>
      <c r="H358" s="1000"/>
      <c r="I358" s="1000"/>
      <c r="J358" s="1001"/>
      <c r="K358" s="302"/>
      <c r="L358" s="363"/>
      <c r="M358" s="330"/>
      <c r="N358" s="331"/>
      <c r="O358" s="338"/>
      <c r="P358" s="339"/>
      <c r="Q358" s="346"/>
      <c r="R358" s="347"/>
      <c r="S358" s="354"/>
      <c r="T358" s="355"/>
      <c r="U358" s="302"/>
    </row>
    <row r="359" spans="2:21" ht="14.1" customHeight="1" x14ac:dyDescent="0.15">
      <c r="B359" s="302"/>
      <c r="C359" s="325">
        <v>346</v>
      </c>
      <c r="D359" s="999"/>
      <c r="E359" s="1000"/>
      <c r="F359" s="1000"/>
      <c r="G359" s="1000"/>
      <c r="H359" s="1000"/>
      <c r="I359" s="1000"/>
      <c r="J359" s="1001"/>
      <c r="K359" s="302"/>
      <c r="L359" s="363"/>
      <c r="M359" s="330"/>
      <c r="N359" s="331"/>
      <c r="O359" s="338"/>
      <c r="P359" s="339"/>
      <c r="Q359" s="346"/>
      <c r="R359" s="347"/>
      <c r="S359" s="354"/>
      <c r="T359" s="355"/>
      <c r="U359" s="302"/>
    </row>
    <row r="360" spans="2:21" ht="14.1" customHeight="1" x14ac:dyDescent="0.15">
      <c r="B360" s="302"/>
      <c r="C360" s="325">
        <v>347</v>
      </c>
      <c r="D360" s="999"/>
      <c r="E360" s="1000"/>
      <c r="F360" s="1000"/>
      <c r="G360" s="1000"/>
      <c r="H360" s="1000"/>
      <c r="I360" s="1000"/>
      <c r="J360" s="1001"/>
      <c r="K360" s="302"/>
      <c r="L360" s="363"/>
      <c r="M360" s="330"/>
      <c r="N360" s="331"/>
      <c r="O360" s="338"/>
      <c r="P360" s="339"/>
      <c r="Q360" s="346"/>
      <c r="R360" s="347"/>
      <c r="S360" s="354"/>
      <c r="T360" s="355"/>
      <c r="U360" s="302"/>
    </row>
    <row r="361" spans="2:21" ht="14.1" customHeight="1" x14ac:dyDescent="0.15">
      <c r="B361" s="302"/>
      <c r="C361" s="325">
        <v>348</v>
      </c>
      <c r="D361" s="999"/>
      <c r="E361" s="1000"/>
      <c r="F361" s="1000"/>
      <c r="G361" s="1000"/>
      <c r="H361" s="1000"/>
      <c r="I361" s="1000"/>
      <c r="J361" s="1001"/>
      <c r="K361" s="302"/>
      <c r="L361" s="363"/>
      <c r="M361" s="330"/>
      <c r="N361" s="331"/>
      <c r="O361" s="338"/>
      <c r="P361" s="339"/>
      <c r="Q361" s="346"/>
      <c r="R361" s="347"/>
      <c r="S361" s="354"/>
      <c r="T361" s="355"/>
      <c r="U361" s="302"/>
    </row>
    <row r="362" spans="2:21" ht="14.1" customHeight="1" x14ac:dyDescent="0.15">
      <c r="B362" s="302"/>
      <c r="C362" s="325">
        <v>349</v>
      </c>
      <c r="D362" s="999"/>
      <c r="E362" s="1000"/>
      <c r="F362" s="1000"/>
      <c r="G362" s="1000"/>
      <c r="H362" s="1000"/>
      <c r="I362" s="1000"/>
      <c r="J362" s="1001"/>
      <c r="K362" s="302"/>
      <c r="L362" s="363"/>
      <c r="M362" s="330"/>
      <c r="N362" s="331"/>
      <c r="O362" s="338"/>
      <c r="P362" s="339"/>
      <c r="Q362" s="346"/>
      <c r="R362" s="347"/>
      <c r="S362" s="354"/>
      <c r="T362" s="355"/>
      <c r="U362" s="302"/>
    </row>
    <row r="363" spans="2:21" ht="14.1" customHeight="1" x14ac:dyDescent="0.15">
      <c r="B363" s="302"/>
      <c r="C363" s="325">
        <v>350</v>
      </c>
      <c r="D363" s="999"/>
      <c r="E363" s="1000"/>
      <c r="F363" s="1000"/>
      <c r="G363" s="1000"/>
      <c r="H363" s="1000"/>
      <c r="I363" s="1000"/>
      <c r="J363" s="1001"/>
      <c r="K363" s="302"/>
      <c r="L363" s="363"/>
      <c r="M363" s="330"/>
      <c r="N363" s="331"/>
      <c r="O363" s="338"/>
      <c r="P363" s="339"/>
      <c r="Q363" s="346"/>
      <c r="R363" s="347"/>
      <c r="S363" s="354"/>
      <c r="T363" s="355"/>
      <c r="U363" s="302"/>
    </row>
    <row r="364" spans="2:21" ht="14.1" customHeight="1" x14ac:dyDescent="0.15">
      <c r="B364" s="302"/>
      <c r="C364" s="325">
        <v>351</v>
      </c>
      <c r="D364" s="999"/>
      <c r="E364" s="1000"/>
      <c r="F364" s="1000"/>
      <c r="G364" s="1000"/>
      <c r="H364" s="1000"/>
      <c r="I364" s="1000"/>
      <c r="J364" s="1001"/>
      <c r="K364" s="302"/>
      <c r="L364" s="363"/>
      <c r="M364" s="330"/>
      <c r="N364" s="331"/>
      <c r="O364" s="338"/>
      <c r="P364" s="339"/>
      <c r="Q364" s="346"/>
      <c r="R364" s="347"/>
      <c r="S364" s="354"/>
      <c r="T364" s="355"/>
      <c r="U364" s="302"/>
    </row>
    <row r="365" spans="2:21" ht="14.1" customHeight="1" x14ac:dyDescent="0.15">
      <c r="B365" s="302"/>
      <c r="C365" s="325">
        <v>352</v>
      </c>
      <c r="D365" s="999"/>
      <c r="E365" s="1000"/>
      <c r="F365" s="1000"/>
      <c r="G365" s="1000"/>
      <c r="H365" s="1000"/>
      <c r="I365" s="1000"/>
      <c r="J365" s="1001"/>
      <c r="K365" s="302"/>
      <c r="L365" s="363"/>
      <c r="M365" s="330"/>
      <c r="N365" s="331"/>
      <c r="O365" s="338"/>
      <c r="P365" s="339"/>
      <c r="Q365" s="346"/>
      <c r="R365" s="347"/>
      <c r="S365" s="354"/>
      <c r="T365" s="355"/>
      <c r="U365" s="302"/>
    </row>
    <row r="366" spans="2:21" ht="14.1" customHeight="1" x14ac:dyDescent="0.15">
      <c r="B366" s="302"/>
      <c r="C366" s="325">
        <v>353</v>
      </c>
      <c r="D366" s="999"/>
      <c r="E366" s="1000"/>
      <c r="F366" s="1000"/>
      <c r="G366" s="1000"/>
      <c r="H366" s="1000"/>
      <c r="I366" s="1000"/>
      <c r="J366" s="1001"/>
      <c r="K366" s="302"/>
      <c r="L366" s="363"/>
      <c r="M366" s="330"/>
      <c r="N366" s="331"/>
      <c r="O366" s="338"/>
      <c r="P366" s="339"/>
      <c r="Q366" s="346"/>
      <c r="R366" s="347"/>
      <c r="S366" s="354"/>
      <c r="T366" s="355"/>
      <c r="U366" s="302"/>
    </row>
    <row r="367" spans="2:21" ht="14.1" customHeight="1" x14ac:dyDescent="0.15">
      <c r="B367" s="302"/>
      <c r="C367" s="325">
        <v>354</v>
      </c>
      <c r="D367" s="999"/>
      <c r="E367" s="1000"/>
      <c r="F367" s="1000"/>
      <c r="G367" s="1000"/>
      <c r="H367" s="1000"/>
      <c r="I367" s="1000"/>
      <c r="J367" s="1001"/>
      <c r="K367" s="302"/>
      <c r="L367" s="363"/>
      <c r="M367" s="330"/>
      <c r="N367" s="331"/>
      <c r="O367" s="338"/>
      <c r="P367" s="339"/>
      <c r="Q367" s="346"/>
      <c r="R367" s="347"/>
      <c r="S367" s="354"/>
      <c r="T367" s="355"/>
      <c r="U367" s="302"/>
    </row>
    <row r="368" spans="2:21" ht="14.1" customHeight="1" x14ac:dyDescent="0.15">
      <c r="B368" s="302"/>
      <c r="C368" s="325">
        <v>355</v>
      </c>
      <c r="D368" s="999"/>
      <c r="E368" s="1000"/>
      <c r="F368" s="1000"/>
      <c r="G368" s="1000"/>
      <c r="H368" s="1000"/>
      <c r="I368" s="1000"/>
      <c r="J368" s="1001"/>
      <c r="K368" s="302"/>
      <c r="L368" s="363"/>
      <c r="M368" s="330"/>
      <c r="N368" s="331"/>
      <c r="O368" s="338"/>
      <c r="P368" s="339"/>
      <c r="Q368" s="346"/>
      <c r="R368" s="347"/>
      <c r="S368" s="354"/>
      <c r="T368" s="355"/>
      <c r="U368" s="302"/>
    </row>
    <row r="369" spans="2:21" ht="14.1" customHeight="1" x14ac:dyDescent="0.15">
      <c r="B369" s="302"/>
      <c r="C369" s="325">
        <v>356</v>
      </c>
      <c r="D369" s="999"/>
      <c r="E369" s="1000"/>
      <c r="F369" s="1000"/>
      <c r="G369" s="1000"/>
      <c r="H369" s="1000"/>
      <c r="I369" s="1000"/>
      <c r="J369" s="1001"/>
      <c r="K369" s="302"/>
      <c r="L369" s="363"/>
      <c r="M369" s="330"/>
      <c r="N369" s="331"/>
      <c r="O369" s="338"/>
      <c r="P369" s="339"/>
      <c r="Q369" s="346"/>
      <c r="R369" s="347"/>
      <c r="S369" s="354"/>
      <c r="T369" s="355"/>
      <c r="U369" s="302"/>
    </row>
    <row r="370" spans="2:21" ht="14.1" customHeight="1" x14ac:dyDescent="0.15">
      <c r="B370" s="302"/>
      <c r="C370" s="325">
        <v>357</v>
      </c>
      <c r="D370" s="999"/>
      <c r="E370" s="1000"/>
      <c r="F370" s="1000"/>
      <c r="G370" s="1000"/>
      <c r="H370" s="1000"/>
      <c r="I370" s="1000"/>
      <c r="J370" s="1001"/>
      <c r="K370" s="302"/>
      <c r="L370" s="363"/>
      <c r="M370" s="330"/>
      <c r="N370" s="331"/>
      <c r="O370" s="338"/>
      <c r="P370" s="339"/>
      <c r="Q370" s="346"/>
      <c r="R370" s="347"/>
      <c r="S370" s="354"/>
      <c r="T370" s="355"/>
      <c r="U370" s="302"/>
    </row>
    <row r="371" spans="2:21" ht="14.1" customHeight="1" x14ac:dyDescent="0.15">
      <c r="B371" s="302"/>
      <c r="C371" s="325">
        <v>358</v>
      </c>
      <c r="D371" s="999"/>
      <c r="E371" s="1000"/>
      <c r="F371" s="1000"/>
      <c r="G371" s="1000"/>
      <c r="H371" s="1000"/>
      <c r="I371" s="1000"/>
      <c r="J371" s="1001"/>
      <c r="K371" s="302"/>
      <c r="L371" s="363"/>
      <c r="M371" s="330"/>
      <c r="N371" s="331"/>
      <c r="O371" s="338"/>
      <c r="P371" s="339"/>
      <c r="Q371" s="346"/>
      <c r="R371" s="347"/>
      <c r="S371" s="354"/>
      <c r="T371" s="355"/>
      <c r="U371" s="302"/>
    </row>
    <row r="372" spans="2:21" ht="14.1" customHeight="1" x14ac:dyDescent="0.15">
      <c r="B372" s="302"/>
      <c r="C372" s="325">
        <v>359</v>
      </c>
      <c r="D372" s="999"/>
      <c r="E372" s="1000"/>
      <c r="F372" s="1000"/>
      <c r="G372" s="1000"/>
      <c r="H372" s="1000"/>
      <c r="I372" s="1000"/>
      <c r="J372" s="1001"/>
      <c r="K372" s="302"/>
      <c r="L372" s="363"/>
      <c r="M372" s="330"/>
      <c r="N372" s="331"/>
      <c r="O372" s="338"/>
      <c r="P372" s="339"/>
      <c r="Q372" s="346"/>
      <c r="R372" s="347"/>
      <c r="S372" s="354"/>
      <c r="T372" s="355"/>
      <c r="U372" s="302"/>
    </row>
    <row r="373" spans="2:21" ht="14.1" customHeight="1" x14ac:dyDescent="0.15">
      <c r="B373" s="302"/>
      <c r="C373" s="325">
        <v>360</v>
      </c>
      <c r="D373" s="999"/>
      <c r="E373" s="1000"/>
      <c r="F373" s="1000"/>
      <c r="G373" s="1000"/>
      <c r="H373" s="1000"/>
      <c r="I373" s="1000"/>
      <c r="J373" s="1001"/>
      <c r="K373" s="302"/>
      <c r="L373" s="363"/>
      <c r="M373" s="330"/>
      <c r="N373" s="331"/>
      <c r="O373" s="338"/>
      <c r="P373" s="339"/>
      <c r="Q373" s="346"/>
      <c r="R373" s="347"/>
      <c r="S373" s="354"/>
      <c r="T373" s="355"/>
      <c r="U373" s="302"/>
    </row>
    <row r="374" spans="2:21" ht="14.1" customHeight="1" x14ac:dyDescent="0.15">
      <c r="B374" s="302"/>
      <c r="C374" s="325">
        <v>361</v>
      </c>
      <c r="D374" s="999"/>
      <c r="E374" s="1000"/>
      <c r="F374" s="1000"/>
      <c r="G374" s="1000"/>
      <c r="H374" s="1000"/>
      <c r="I374" s="1000"/>
      <c r="J374" s="1001"/>
      <c r="K374" s="302"/>
      <c r="L374" s="363"/>
      <c r="M374" s="330"/>
      <c r="N374" s="331"/>
      <c r="O374" s="338"/>
      <c r="P374" s="339"/>
      <c r="Q374" s="346"/>
      <c r="R374" s="347"/>
      <c r="S374" s="354"/>
      <c r="T374" s="355"/>
      <c r="U374" s="302"/>
    </row>
    <row r="375" spans="2:21" ht="14.1" customHeight="1" x14ac:dyDescent="0.15">
      <c r="B375" s="302"/>
      <c r="C375" s="325">
        <v>362</v>
      </c>
      <c r="D375" s="999"/>
      <c r="E375" s="1000"/>
      <c r="F375" s="1000"/>
      <c r="G375" s="1000"/>
      <c r="H375" s="1000"/>
      <c r="I375" s="1000"/>
      <c r="J375" s="1001"/>
      <c r="K375" s="302"/>
      <c r="L375" s="363"/>
      <c r="M375" s="330"/>
      <c r="N375" s="331"/>
      <c r="O375" s="338"/>
      <c r="P375" s="339"/>
      <c r="Q375" s="346"/>
      <c r="R375" s="347"/>
      <c r="S375" s="354"/>
      <c r="T375" s="355"/>
      <c r="U375" s="302"/>
    </row>
    <row r="376" spans="2:21" ht="14.1" customHeight="1" x14ac:dyDescent="0.15">
      <c r="B376" s="302"/>
      <c r="C376" s="325">
        <v>363</v>
      </c>
      <c r="D376" s="999"/>
      <c r="E376" s="1000"/>
      <c r="F376" s="1000"/>
      <c r="G376" s="1000"/>
      <c r="H376" s="1000"/>
      <c r="I376" s="1000"/>
      <c r="J376" s="1001"/>
      <c r="K376" s="302"/>
      <c r="L376" s="363"/>
      <c r="M376" s="330"/>
      <c r="N376" s="331"/>
      <c r="O376" s="338"/>
      <c r="P376" s="339"/>
      <c r="Q376" s="346"/>
      <c r="R376" s="347"/>
      <c r="S376" s="354"/>
      <c r="T376" s="355"/>
      <c r="U376" s="302"/>
    </row>
    <row r="377" spans="2:21" ht="14.1" customHeight="1" x14ac:dyDescent="0.15">
      <c r="B377" s="302"/>
      <c r="C377" s="325">
        <v>364</v>
      </c>
      <c r="D377" s="999"/>
      <c r="E377" s="1000"/>
      <c r="F377" s="1000"/>
      <c r="G377" s="1000"/>
      <c r="H377" s="1000"/>
      <c r="I377" s="1000"/>
      <c r="J377" s="1001"/>
      <c r="K377" s="302"/>
      <c r="L377" s="363"/>
      <c r="M377" s="330"/>
      <c r="N377" s="331"/>
      <c r="O377" s="338"/>
      <c r="P377" s="339"/>
      <c r="Q377" s="346"/>
      <c r="R377" s="347"/>
      <c r="S377" s="354"/>
      <c r="T377" s="355"/>
      <c r="U377" s="302"/>
    </row>
    <row r="378" spans="2:21" ht="14.1" customHeight="1" x14ac:dyDescent="0.15">
      <c r="B378" s="302"/>
      <c r="C378" s="325">
        <v>365</v>
      </c>
      <c r="D378" s="999"/>
      <c r="E378" s="1000"/>
      <c r="F378" s="1000"/>
      <c r="G378" s="1000"/>
      <c r="H378" s="1000"/>
      <c r="I378" s="1000"/>
      <c r="J378" s="1001"/>
      <c r="K378" s="302"/>
      <c r="L378" s="363"/>
      <c r="M378" s="330"/>
      <c r="N378" s="331"/>
      <c r="O378" s="338"/>
      <c r="P378" s="339"/>
      <c r="Q378" s="346"/>
      <c r="R378" s="347"/>
      <c r="S378" s="354"/>
      <c r="T378" s="355"/>
      <c r="U378" s="302"/>
    </row>
    <row r="379" spans="2:21" ht="14.1" customHeight="1" x14ac:dyDescent="0.15">
      <c r="B379" s="302"/>
      <c r="C379" s="325">
        <v>366</v>
      </c>
      <c r="D379" s="999"/>
      <c r="E379" s="1000"/>
      <c r="F379" s="1000"/>
      <c r="G379" s="1000"/>
      <c r="H379" s="1000"/>
      <c r="I379" s="1000"/>
      <c r="J379" s="1001"/>
      <c r="K379" s="302"/>
      <c r="L379" s="363"/>
      <c r="M379" s="330"/>
      <c r="N379" s="331"/>
      <c r="O379" s="338"/>
      <c r="P379" s="339"/>
      <c r="Q379" s="346"/>
      <c r="R379" s="347"/>
      <c r="S379" s="354"/>
      <c r="T379" s="355"/>
      <c r="U379" s="302"/>
    </row>
    <row r="380" spans="2:21" ht="14.1" customHeight="1" x14ac:dyDescent="0.15">
      <c r="B380" s="302"/>
      <c r="C380" s="325">
        <v>367</v>
      </c>
      <c r="D380" s="999"/>
      <c r="E380" s="1000"/>
      <c r="F380" s="1000"/>
      <c r="G380" s="1000"/>
      <c r="H380" s="1000"/>
      <c r="I380" s="1000"/>
      <c r="J380" s="1001"/>
      <c r="K380" s="302"/>
      <c r="L380" s="363"/>
      <c r="M380" s="330"/>
      <c r="N380" s="331"/>
      <c r="O380" s="338"/>
      <c r="P380" s="339"/>
      <c r="Q380" s="346"/>
      <c r="R380" s="347"/>
      <c r="S380" s="354"/>
      <c r="T380" s="355"/>
      <c r="U380" s="302"/>
    </row>
    <row r="381" spans="2:21" ht="14.1" customHeight="1" x14ac:dyDescent="0.15">
      <c r="B381" s="302"/>
      <c r="C381" s="325">
        <v>368</v>
      </c>
      <c r="D381" s="999"/>
      <c r="E381" s="1000"/>
      <c r="F381" s="1000"/>
      <c r="G381" s="1000"/>
      <c r="H381" s="1000"/>
      <c r="I381" s="1000"/>
      <c r="J381" s="1001"/>
      <c r="K381" s="302"/>
      <c r="L381" s="363"/>
      <c r="M381" s="330"/>
      <c r="N381" s="331"/>
      <c r="O381" s="338"/>
      <c r="P381" s="339"/>
      <c r="Q381" s="346"/>
      <c r="R381" s="347"/>
      <c r="S381" s="354"/>
      <c r="T381" s="355"/>
      <c r="U381" s="302"/>
    </row>
    <row r="382" spans="2:21" ht="14.1" customHeight="1" x14ac:dyDescent="0.15">
      <c r="B382" s="302"/>
      <c r="C382" s="325">
        <v>369</v>
      </c>
      <c r="D382" s="999"/>
      <c r="E382" s="1000"/>
      <c r="F382" s="1000"/>
      <c r="G382" s="1000"/>
      <c r="H382" s="1000"/>
      <c r="I382" s="1000"/>
      <c r="J382" s="1001"/>
      <c r="K382" s="302"/>
      <c r="L382" s="363"/>
      <c r="M382" s="330"/>
      <c r="N382" s="331"/>
      <c r="O382" s="338"/>
      <c r="P382" s="339"/>
      <c r="Q382" s="346"/>
      <c r="R382" s="347"/>
      <c r="S382" s="354"/>
      <c r="T382" s="355"/>
      <c r="U382" s="302"/>
    </row>
    <row r="383" spans="2:21" ht="14.1" customHeight="1" x14ac:dyDescent="0.15">
      <c r="B383" s="302"/>
      <c r="C383" s="325">
        <v>370</v>
      </c>
      <c r="D383" s="999"/>
      <c r="E383" s="1000"/>
      <c r="F383" s="1000"/>
      <c r="G383" s="1000"/>
      <c r="H383" s="1000"/>
      <c r="I383" s="1000"/>
      <c r="J383" s="1001"/>
      <c r="K383" s="302"/>
      <c r="L383" s="363"/>
      <c r="M383" s="330"/>
      <c r="N383" s="331"/>
      <c r="O383" s="338"/>
      <c r="P383" s="339"/>
      <c r="Q383" s="346"/>
      <c r="R383" s="347"/>
      <c r="S383" s="354"/>
      <c r="T383" s="355"/>
      <c r="U383" s="302"/>
    </row>
    <row r="384" spans="2:21" ht="14.1" customHeight="1" x14ac:dyDescent="0.15">
      <c r="B384" s="302"/>
      <c r="C384" s="325">
        <v>371</v>
      </c>
      <c r="D384" s="999"/>
      <c r="E384" s="1000"/>
      <c r="F384" s="1000"/>
      <c r="G384" s="1000"/>
      <c r="H384" s="1000"/>
      <c r="I384" s="1000"/>
      <c r="J384" s="1001"/>
      <c r="K384" s="302"/>
      <c r="L384" s="363"/>
      <c r="M384" s="330"/>
      <c r="N384" s="331"/>
      <c r="O384" s="338"/>
      <c r="P384" s="339"/>
      <c r="Q384" s="346"/>
      <c r="R384" s="347"/>
      <c r="S384" s="354"/>
      <c r="T384" s="355"/>
      <c r="U384" s="302"/>
    </row>
    <row r="385" spans="2:21" ht="14.1" customHeight="1" x14ac:dyDescent="0.15">
      <c r="B385" s="302"/>
      <c r="C385" s="325">
        <v>372</v>
      </c>
      <c r="D385" s="999"/>
      <c r="E385" s="1000"/>
      <c r="F385" s="1000"/>
      <c r="G385" s="1000"/>
      <c r="H385" s="1000"/>
      <c r="I385" s="1000"/>
      <c r="J385" s="1001"/>
      <c r="K385" s="302"/>
      <c r="L385" s="363"/>
      <c r="M385" s="330"/>
      <c r="N385" s="331"/>
      <c r="O385" s="338"/>
      <c r="P385" s="339"/>
      <c r="Q385" s="346"/>
      <c r="R385" s="347"/>
      <c r="S385" s="354"/>
      <c r="T385" s="355"/>
      <c r="U385" s="302"/>
    </row>
    <row r="386" spans="2:21" ht="14.1" customHeight="1" x14ac:dyDescent="0.15">
      <c r="B386" s="302"/>
      <c r="C386" s="325">
        <v>373</v>
      </c>
      <c r="D386" s="999"/>
      <c r="E386" s="1000"/>
      <c r="F386" s="1000"/>
      <c r="G386" s="1000"/>
      <c r="H386" s="1000"/>
      <c r="I386" s="1000"/>
      <c r="J386" s="1001"/>
      <c r="K386" s="302"/>
      <c r="L386" s="363"/>
      <c r="M386" s="330"/>
      <c r="N386" s="331"/>
      <c r="O386" s="338"/>
      <c r="P386" s="339"/>
      <c r="Q386" s="346"/>
      <c r="R386" s="347"/>
      <c r="S386" s="354"/>
      <c r="T386" s="355"/>
      <c r="U386" s="302"/>
    </row>
    <row r="387" spans="2:21" ht="14.1" customHeight="1" x14ac:dyDescent="0.15">
      <c r="B387" s="302"/>
      <c r="C387" s="325">
        <v>374</v>
      </c>
      <c r="D387" s="999"/>
      <c r="E387" s="1000"/>
      <c r="F387" s="1000"/>
      <c r="G387" s="1000"/>
      <c r="H387" s="1000"/>
      <c r="I387" s="1000"/>
      <c r="J387" s="1001"/>
      <c r="K387" s="302"/>
      <c r="L387" s="363"/>
      <c r="M387" s="330"/>
      <c r="N387" s="331"/>
      <c r="O387" s="338"/>
      <c r="P387" s="339"/>
      <c r="Q387" s="346"/>
      <c r="R387" s="347"/>
      <c r="S387" s="354"/>
      <c r="T387" s="355"/>
      <c r="U387" s="302"/>
    </row>
    <row r="388" spans="2:21" ht="14.1" customHeight="1" x14ac:dyDescent="0.15">
      <c r="B388" s="302"/>
      <c r="C388" s="325">
        <v>375</v>
      </c>
      <c r="D388" s="999"/>
      <c r="E388" s="1000"/>
      <c r="F388" s="1000"/>
      <c r="G388" s="1000"/>
      <c r="H388" s="1000"/>
      <c r="I388" s="1000"/>
      <c r="J388" s="1001"/>
      <c r="K388" s="302"/>
      <c r="L388" s="363"/>
      <c r="M388" s="330"/>
      <c r="N388" s="331"/>
      <c r="O388" s="338"/>
      <c r="P388" s="339"/>
      <c r="Q388" s="346"/>
      <c r="R388" s="347"/>
      <c r="S388" s="354"/>
      <c r="T388" s="355"/>
      <c r="U388" s="302"/>
    </row>
    <row r="389" spans="2:21" ht="14.1" customHeight="1" x14ac:dyDescent="0.15">
      <c r="B389" s="302"/>
      <c r="C389" s="325">
        <v>376</v>
      </c>
      <c r="D389" s="999"/>
      <c r="E389" s="1000"/>
      <c r="F389" s="1000"/>
      <c r="G389" s="1000"/>
      <c r="H389" s="1000"/>
      <c r="I389" s="1000"/>
      <c r="J389" s="1001"/>
      <c r="K389" s="302"/>
      <c r="L389" s="363"/>
      <c r="M389" s="330"/>
      <c r="N389" s="331"/>
      <c r="O389" s="338"/>
      <c r="P389" s="339"/>
      <c r="Q389" s="346"/>
      <c r="R389" s="347"/>
      <c r="S389" s="354"/>
      <c r="T389" s="355"/>
      <c r="U389" s="302"/>
    </row>
    <row r="390" spans="2:21" ht="14.1" customHeight="1" x14ac:dyDescent="0.15">
      <c r="B390" s="302"/>
      <c r="C390" s="325">
        <v>377</v>
      </c>
      <c r="D390" s="999"/>
      <c r="E390" s="1000"/>
      <c r="F390" s="1000"/>
      <c r="G390" s="1000"/>
      <c r="H390" s="1000"/>
      <c r="I390" s="1000"/>
      <c r="J390" s="1001"/>
      <c r="K390" s="302"/>
      <c r="L390" s="363"/>
      <c r="M390" s="330"/>
      <c r="N390" s="331"/>
      <c r="O390" s="338"/>
      <c r="P390" s="339"/>
      <c r="Q390" s="346"/>
      <c r="R390" s="347"/>
      <c r="S390" s="354"/>
      <c r="T390" s="355"/>
      <c r="U390" s="302"/>
    </row>
    <row r="391" spans="2:21" ht="14.1" customHeight="1" x14ac:dyDescent="0.15">
      <c r="B391" s="302"/>
      <c r="C391" s="325">
        <v>378</v>
      </c>
      <c r="D391" s="999"/>
      <c r="E391" s="1000"/>
      <c r="F391" s="1000"/>
      <c r="G391" s="1000"/>
      <c r="H391" s="1000"/>
      <c r="I391" s="1000"/>
      <c r="J391" s="1001"/>
      <c r="K391" s="302"/>
      <c r="L391" s="363"/>
      <c r="M391" s="330"/>
      <c r="N391" s="331"/>
      <c r="O391" s="338"/>
      <c r="P391" s="339"/>
      <c r="Q391" s="346"/>
      <c r="R391" s="347"/>
      <c r="S391" s="354"/>
      <c r="T391" s="355"/>
      <c r="U391" s="302"/>
    </row>
    <row r="392" spans="2:21" ht="14.1" customHeight="1" x14ac:dyDescent="0.15">
      <c r="B392" s="302"/>
      <c r="C392" s="325">
        <v>379</v>
      </c>
      <c r="D392" s="999"/>
      <c r="E392" s="1000"/>
      <c r="F392" s="1000"/>
      <c r="G392" s="1000"/>
      <c r="H392" s="1000"/>
      <c r="I392" s="1000"/>
      <c r="J392" s="1001"/>
      <c r="K392" s="302"/>
      <c r="L392" s="363"/>
      <c r="M392" s="330"/>
      <c r="N392" s="331"/>
      <c r="O392" s="338"/>
      <c r="P392" s="339"/>
      <c r="Q392" s="346"/>
      <c r="R392" s="347"/>
      <c r="S392" s="354"/>
      <c r="T392" s="355"/>
      <c r="U392" s="302"/>
    </row>
    <row r="393" spans="2:21" ht="14.1" customHeight="1" x14ac:dyDescent="0.15">
      <c r="B393" s="302"/>
      <c r="C393" s="325">
        <v>380</v>
      </c>
      <c r="D393" s="999"/>
      <c r="E393" s="1000"/>
      <c r="F393" s="1000"/>
      <c r="G393" s="1000"/>
      <c r="H393" s="1000"/>
      <c r="I393" s="1000"/>
      <c r="J393" s="1001"/>
      <c r="K393" s="302"/>
      <c r="L393" s="363"/>
      <c r="M393" s="330"/>
      <c r="N393" s="331"/>
      <c r="O393" s="338"/>
      <c r="P393" s="339"/>
      <c r="Q393" s="346"/>
      <c r="R393" s="347"/>
      <c r="S393" s="354"/>
      <c r="T393" s="355"/>
      <c r="U393" s="302"/>
    </row>
    <row r="394" spans="2:21" ht="14.1" customHeight="1" x14ac:dyDescent="0.15">
      <c r="B394" s="302"/>
      <c r="C394" s="325">
        <v>381</v>
      </c>
      <c r="D394" s="999"/>
      <c r="E394" s="1000"/>
      <c r="F394" s="1000"/>
      <c r="G394" s="1000"/>
      <c r="H394" s="1000"/>
      <c r="I394" s="1000"/>
      <c r="J394" s="1001"/>
      <c r="K394" s="302"/>
      <c r="L394" s="363"/>
      <c r="M394" s="330"/>
      <c r="N394" s="331"/>
      <c r="O394" s="338"/>
      <c r="P394" s="339"/>
      <c r="Q394" s="346"/>
      <c r="R394" s="347"/>
      <c r="S394" s="354"/>
      <c r="T394" s="355"/>
      <c r="U394" s="302"/>
    </row>
    <row r="395" spans="2:21" ht="14.1" customHeight="1" x14ac:dyDescent="0.15">
      <c r="B395" s="302"/>
      <c r="C395" s="325">
        <v>382</v>
      </c>
      <c r="D395" s="999"/>
      <c r="E395" s="1000"/>
      <c r="F395" s="1000"/>
      <c r="G395" s="1000"/>
      <c r="H395" s="1000"/>
      <c r="I395" s="1000"/>
      <c r="J395" s="1001"/>
      <c r="K395" s="302"/>
      <c r="L395" s="363"/>
      <c r="M395" s="330"/>
      <c r="N395" s="331"/>
      <c r="O395" s="338"/>
      <c r="P395" s="339"/>
      <c r="Q395" s="346"/>
      <c r="R395" s="347"/>
      <c r="S395" s="354"/>
      <c r="T395" s="355"/>
      <c r="U395" s="302"/>
    </row>
    <row r="396" spans="2:21" ht="14.1" customHeight="1" x14ac:dyDescent="0.15">
      <c r="B396" s="302"/>
      <c r="C396" s="325">
        <v>383</v>
      </c>
      <c r="D396" s="999"/>
      <c r="E396" s="1000"/>
      <c r="F396" s="1000"/>
      <c r="G396" s="1000"/>
      <c r="H396" s="1000"/>
      <c r="I396" s="1000"/>
      <c r="J396" s="1001"/>
      <c r="K396" s="302"/>
      <c r="L396" s="363"/>
      <c r="M396" s="330"/>
      <c r="N396" s="331"/>
      <c r="O396" s="338"/>
      <c r="P396" s="339"/>
      <c r="Q396" s="346"/>
      <c r="R396" s="347"/>
      <c r="S396" s="354"/>
      <c r="T396" s="355"/>
      <c r="U396" s="302"/>
    </row>
    <row r="397" spans="2:21" ht="14.1" customHeight="1" x14ac:dyDescent="0.15">
      <c r="B397" s="302"/>
      <c r="C397" s="325">
        <v>384</v>
      </c>
      <c r="D397" s="999"/>
      <c r="E397" s="1000"/>
      <c r="F397" s="1000"/>
      <c r="G397" s="1000"/>
      <c r="H397" s="1000"/>
      <c r="I397" s="1000"/>
      <c r="J397" s="1001"/>
      <c r="K397" s="302"/>
      <c r="L397" s="363"/>
      <c r="M397" s="330"/>
      <c r="N397" s="331"/>
      <c r="O397" s="338"/>
      <c r="P397" s="339"/>
      <c r="Q397" s="346"/>
      <c r="R397" s="347"/>
      <c r="S397" s="354"/>
      <c r="T397" s="355"/>
      <c r="U397" s="302"/>
    </row>
    <row r="398" spans="2:21" ht="14.1" customHeight="1" x14ac:dyDescent="0.15">
      <c r="B398" s="302"/>
      <c r="C398" s="325">
        <v>385</v>
      </c>
      <c r="D398" s="999"/>
      <c r="E398" s="1000"/>
      <c r="F398" s="1000"/>
      <c r="G398" s="1000"/>
      <c r="H398" s="1000"/>
      <c r="I398" s="1000"/>
      <c r="J398" s="1001"/>
      <c r="K398" s="302"/>
      <c r="L398" s="363"/>
      <c r="M398" s="330"/>
      <c r="N398" s="331"/>
      <c r="O398" s="338"/>
      <c r="P398" s="339"/>
      <c r="Q398" s="346"/>
      <c r="R398" s="347"/>
      <c r="S398" s="354"/>
      <c r="T398" s="355"/>
      <c r="U398" s="302"/>
    </row>
    <row r="399" spans="2:21" ht="14.1" customHeight="1" x14ac:dyDescent="0.15">
      <c r="B399" s="302"/>
      <c r="C399" s="325">
        <v>386</v>
      </c>
      <c r="D399" s="999"/>
      <c r="E399" s="1000"/>
      <c r="F399" s="1000"/>
      <c r="G399" s="1000"/>
      <c r="H399" s="1000"/>
      <c r="I399" s="1000"/>
      <c r="J399" s="1001"/>
      <c r="K399" s="302"/>
      <c r="L399" s="363"/>
      <c r="M399" s="330"/>
      <c r="N399" s="331"/>
      <c r="O399" s="338"/>
      <c r="P399" s="339"/>
      <c r="Q399" s="346"/>
      <c r="R399" s="347"/>
      <c r="S399" s="354"/>
      <c r="T399" s="355"/>
      <c r="U399" s="302"/>
    </row>
    <row r="400" spans="2:21" ht="14.1" customHeight="1" x14ac:dyDescent="0.15">
      <c r="B400" s="302"/>
      <c r="C400" s="325">
        <v>387</v>
      </c>
      <c r="D400" s="999"/>
      <c r="E400" s="1000"/>
      <c r="F400" s="1000"/>
      <c r="G400" s="1000"/>
      <c r="H400" s="1000"/>
      <c r="I400" s="1000"/>
      <c r="J400" s="1001"/>
      <c r="K400" s="302"/>
      <c r="L400" s="363"/>
      <c r="M400" s="330"/>
      <c r="N400" s="331"/>
      <c r="O400" s="338"/>
      <c r="P400" s="339"/>
      <c r="Q400" s="346"/>
      <c r="R400" s="347"/>
      <c r="S400" s="354"/>
      <c r="T400" s="355"/>
      <c r="U400" s="302"/>
    </row>
    <row r="401" spans="2:21" ht="14.1" customHeight="1" x14ac:dyDescent="0.15">
      <c r="B401" s="302"/>
      <c r="C401" s="325">
        <v>388</v>
      </c>
      <c r="D401" s="999"/>
      <c r="E401" s="1000"/>
      <c r="F401" s="1000"/>
      <c r="G401" s="1000"/>
      <c r="H401" s="1000"/>
      <c r="I401" s="1000"/>
      <c r="J401" s="1001"/>
      <c r="K401" s="302"/>
      <c r="L401" s="363"/>
      <c r="M401" s="330"/>
      <c r="N401" s="331"/>
      <c r="O401" s="338"/>
      <c r="P401" s="339"/>
      <c r="Q401" s="346"/>
      <c r="R401" s="347"/>
      <c r="S401" s="354"/>
      <c r="T401" s="355"/>
      <c r="U401" s="302"/>
    </row>
    <row r="402" spans="2:21" ht="14.1" customHeight="1" x14ac:dyDescent="0.15">
      <c r="B402" s="302"/>
      <c r="C402" s="325">
        <v>389</v>
      </c>
      <c r="D402" s="999"/>
      <c r="E402" s="1000"/>
      <c r="F402" s="1000"/>
      <c r="G402" s="1000"/>
      <c r="H402" s="1000"/>
      <c r="I402" s="1000"/>
      <c r="J402" s="1001"/>
      <c r="K402" s="302"/>
      <c r="L402" s="363"/>
      <c r="M402" s="330"/>
      <c r="N402" s="331"/>
      <c r="O402" s="338"/>
      <c r="P402" s="339"/>
      <c r="Q402" s="346"/>
      <c r="R402" s="347"/>
      <c r="S402" s="354"/>
      <c r="T402" s="355"/>
      <c r="U402" s="302"/>
    </row>
    <row r="403" spans="2:21" ht="14.1" customHeight="1" x14ac:dyDescent="0.15">
      <c r="B403" s="302"/>
      <c r="C403" s="325">
        <v>390</v>
      </c>
      <c r="D403" s="999"/>
      <c r="E403" s="1000"/>
      <c r="F403" s="1000"/>
      <c r="G403" s="1000"/>
      <c r="H403" s="1000"/>
      <c r="I403" s="1000"/>
      <c r="J403" s="1001"/>
      <c r="K403" s="302"/>
      <c r="L403" s="363"/>
      <c r="M403" s="330"/>
      <c r="N403" s="331"/>
      <c r="O403" s="338"/>
      <c r="P403" s="339"/>
      <c r="Q403" s="346"/>
      <c r="R403" s="347"/>
      <c r="S403" s="354"/>
      <c r="T403" s="355"/>
      <c r="U403" s="302"/>
    </row>
    <row r="404" spans="2:21" ht="14.1" customHeight="1" x14ac:dyDescent="0.15">
      <c r="B404" s="302"/>
      <c r="C404" s="325">
        <v>391</v>
      </c>
      <c r="D404" s="999"/>
      <c r="E404" s="1000"/>
      <c r="F404" s="1000"/>
      <c r="G404" s="1000"/>
      <c r="H404" s="1000"/>
      <c r="I404" s="1000"/>
      <c r="J404" s="1001"/>
      <c r="K404" s="302"/>
      <c r="L404" s="363"/>
      <c r="M404" s="330"/>
      <c r="N404" s="331"/>
      <c r="O404" s="338"/>
      <c r="P404" s="339"/>
      <c r="Q404" s="346"/>
      <c r="R404" s="347"/>
      <c r="S404" s="354"/>
      <c r="T404" s="355"/>
      <c r="U404" s="302"/>
    </row>
    <row r="405" spans="2:21" ht="14.1" customHeight="1" x14ac:dyDescent="0.15">
      <c r="B405" s="302"/>
      <c r="C405" s="325">
        <v>392</v>
      </c>
      <c r="D405" s="999"/>
      <c r="E405" s="1000"/>
      <c r="F405" s="1000"/>
      <c r="G405" s="1000"/>
      <c r="H405" s="1000"/>
      <c r="I405" s="1000"/>
      <c r="J405" s="1001"/>
      <c r="K405" s="302"/>
      <c r="L405" s="363"/>
      <c r="M405" s="330"/>
      <c r="N405" s="331"/>
      <c r="O405" s="338"/>
      <c r="P405" s="339"/>
      <c r="Q405" s="346"/>
      <c r="R405" s="347"/>
      <c r="S405" s="354"/>
      <c r="T405" s="355"/>
      <c r="U405" s="302"/>
    </row>
    <row r="406" spans="2:21" ht="14.1" customHeight="1" x14ac:dyDescent="0.15">
      <c r="B406" s="302"/>
      <c r="C406" s="325">
        <v>393</v>
      </c>
      <c r="D406" s="999"/>
      <c r="E406" s="1000"/>
      <c r="F406" s="1000"/>
      <c r="G406" s="1000"/>
      <c r="H406" s="1000"/>
      <c r="I406" s="1000"/>
      <c r="J406" s="1001"/>
      <c r="K406" s="302"/>
      <c r="L406" s="363"/>
      <c r="M406" s="330"/>
      <c r="N406" s="331"/>
      <c r="O406" s="338"/>
      <c r="P406" s="339"/>
      <c r="Q406" s="346"/>
      <c r="R406" s="347"/>
      <c r="S406" s="354"/>
      <c r="T406" s="355"/>
      <c r="U406" s="302"/>
    </row>
    <row r="407" spans="2:21" ht="14.1" customHeight="1" x14ac:dyDescent="0.15">
      <c r="B407" s="302"/>
      <c r="C407" s="325">
        <v>394</v>
      </c>
      <c r="D407" s="999"/>
      <c r="E407" s="1000"/>
      <c r="F407" s="1000"/>
      <c r="G407" s="1000"/>
      <c r="H407" s="1000"/>
      <c r="I407" s="1000"/>
      <c r="J407" s="1001"/>
      <c r="K407" s="302"/>
      <c r="L407" s="363"/>
      <c r="M407" s="330"/>
      <c r="N407" s="331"/>
      <c r="O407" s="338"/>
      <c r="P407" s="339"/>
      <c r="Q407" s="346"/>
      <c r="R407" s="347"/>
      <c r="S407" s="354"/>
      <c r="T407" s="355"/>
      <c r="U407" s="302"/>
    </row>
    <row r="408" spans="2:21" ht="14.1" customHeight="1" x14ac:dyDescent="0.15">
      <c r="B408" s="302"/>
      <c r="C408" s="325">
        <v>395</v>
      </c>
      <c r="D408" s="999"/>
      <c r="E408" s="1000"/>
      <c r="F408" s="1000"/>
      <c r="G408" s="1000"/>
      <c r="H408" s="1000"/>
      <c r="I408" s="1000"/>
      <c r="J408" s="1001"/>
      <c r="K408" s="302"/>
      <c r="L408" s="363"/>
      <c r="M408" s="330"/>
      <c r="N408" s="331"/>
      <c r="O408" s="338"/>
      <c r="P408" s="339"/>
      <c r="Q408" s="346"/>
      <c r="R408" s="347"/>
      <c r="S408" s="354"/>
      <c r="T408" s="355"/>
      <c r="U408" s="302"/>
    </row>
    <row r="409" spans="2:21" ht="14.1" customHeight="1" x14ac:dyDescent="0.15">
      <c r="B409" s="302"/>
      <c r="C409" s="325">
        <v>396</v>
      </c>
      <c r="D409" s="999"/>
      <c r="E409" s="1000"/>
      <c r="F409" s="1000"/>
      <c r="G409" s="1000"/>
      <c r="H409" s="1000"/>
      <c r="I409" s="1000"/>
      <c r="J409" s="1001"/>
      <c r="K409" s="302"/>
      <c r="L409" s="363"/>
      <c r="M409" s="330"/>
      <c r="N409" s="331"/>
      <c r="O409" s="338"/>
      <c r="P409" s="339"/>
      <c r="Q409" s="346"/>
      <c r="R409" s="347"/>
      <c r="S409" s="354"/>
      <c r="T409" s="355"/>
      <c r="U409" s="302"/>
    </row>
    <row r="410" spans="2:21" ht="14.1" customHeight="1" x14ac:dyDescent="0.15">
      <c r="B410" s="302"/>
      <c r="C410" s="325">
        <v>397</v>
      </c>
      <c r="D410" s="999"/>
      <c r="E410" s="1000"/>
      <c r="F410" s="1000"/>
      <c r="G410" s="1000"/>
      <c r="H410" s="1000"/>
      <c r="I410" s="1000"/>
      <c r="J410" s="1001"/>
      <c r="K410" s="302"/>
      <c r="L410" s="363"/>
      <c r="M410" s="330"/>
      <c r="N410" s="331"/>
      <c r="O410" s="338"/>
      <c r="P410" s="339"/>
      <c r="Q410" s="346"/>
      <c r="R410" s="347"/>
      <c r="S410" s="354"/>
      <c r="T410" s="355"/>
      <c r="U410" s="302"/>
    </row>
    <row r="411" spans="2:21" ht="14.1" customHeight="1" x14ac:dyDescent="0.15">
      <c r="B411" s="302"/>
      <c r="C411" s="325">
        <v>398</v>
      </c>
      <c r="D411" s="999"/>
      <c r="E411" s="1000"/>
      <c r="F411" s="1000"/>
      <c r="G411" s="1000"/>
      <c r="H411" s="1000"/>
      <c r="I411" s="1000"/>
      <c r="J411" s="1001"/>
      <c r="K411" s="302"/>
      <c r="L411" s="363"/>
      <c r="M411" s="330"/>
      <c r="N411" s="331"/>
      <c r="O411" s="338"/>
      <c r="P411" s="339"/>
      <c r="Q411" s="346"/>
      <c r="R411" s="347"/>
      <c r="S411" s="354"/>
      <c r="T411" s="355"/>
      <c r="U411" s="302"/>
    </row>
    <row r="412" spans="2:21" ht="14.1" customHeight="1" x14ac:dyDescent="0.15">
      <c r="B412" s="302"/>
      <c r="C412" s="325">
        <v>399</v>
      </c>
      <c r="D412" s="999"/>
      <c r="E412" s="1000"/>
      <c r="F412" s="1000"/>
      <c r="G412" s="1000"/>
      <c r="H412" s="1000"/>
      <c r="I412" s="1000"/>
      <c r="J412" s="1001"/>
      <c r="K412" s="302"/>
      <c r="L412" s="363"/>
      <c r="M412" s="330"/>
      <c r="N412" s="331"/>
      <c r="O412" s="338"/>
      <c r="P412" s="339"/>
      <c r="Q412" s="346"/>
      <c r="R412" s="347"/>
      <c r="S412" s="354"/>
      <c r="T412" s="355"/>
      <c r="U412" s="302"/>
    </row>
    <row r="413" spans="2:21" ht="14.1" customHeight="1" x14ac:dyDescent="0.15">
      <c r="B413" s="302"/>
      <c r="C413" s="325">
        <v>400</v>
      </c>
      <c r="D413" s="999"/>
      <c r="E413" s="1000"/>
      <c r="F413" s="1000"/>
      <c r="G413" s="1000"/>
      <c r="H413" s="1000"/>
      <c r="I413" s="1000"/>
      <c r="J413" s="1001"/>
      <c r="K413" s="302"/>
      <c r="L413" s="364"/>
      <c r="M413" s="332"/>
      <c r="N413" s="333"/>
      <c r="O413" s="340"/>
      <c r="P413" s="341"/>
      <c r="Q413" s="348"/>
      <c r="R413" s="349"/>
      <c r="S413" s="358"/>
      <c r="T413" s="359"/>
      <c r="U413" s="302"/>
    </row>
    <row r="414" spans="2:21" ht="14.1" customHeight="1" x14ac:dyDescent="0.15">
      <c r="B414" s="302"/>
      <c r="C414" s="325">
        <v>401</v>
      </c>
      <c r="D414" s="999"/>
      <c r="E414" s="1000"/>
      <c r="F414" s="1000"/>
      <c r="G414" s="1000"/>
      <c r="H414" s="1000"/>
      <c r="I414" s="1000"/>
      <c r="J414" s="1001"/>
      <c r="K414" s="302"/>
      <c r="L414" s="364"/>
      <c r="M414" s="332"/>
      <c r="N414" s="333"/>
      <c r="O414" s="340"/>
      <c r="P414" s="341"/>
      <c r="Q414" s="348"/>
      <c r="R414" s="349"/>
      <c r="S414" s="358"/>
      <c r="T414" s="359"/>
      <c r="U414" s="302"/>
    </row>
    <row r="415" spans="2:21" ht="14.1" customHeight="1" x14ac:dyDescent="0.15">
      <c r="B415" s="302"/>
      <c r="C415" s="325">
        <v>402</v>
      </c>
      <c r="D415" s="999"/>
      <c r="E415" s="1000"/>
      <c r="F415" s="1000"/>
      <c r="G415" s="1000"/>
      <c r="H415" s="1000"/>
      <c r="I415" s="1000"/>
      <c r="J415" s="1001"/>
      <c r="K415" s="302"/>
      <c r="L415" s="364"/>
      <c r="M415" s="332"/>
      <c r="N415" s="333"/>
      <c r="O415" s="340"/>
      <c r="P415" s="341"/>
      <c r="Q415" s="348"/>
      <c r="R415" s="349"/>
      <c r="S415" s="358"/>
      <c r="T415" s="359"/>
      <c r="U415" s="302"/>
    </row>
    <row r="416" spans="2:21" ht="14.1" customHeight="1" x14ac:dyDescent="0.15">
      <c r="B416" s="302"/>
      <c r="C416" s="325">
        <v>403</v>
      </c>
      <c r="D416" s="999"/>
      <c r="E416" s="1000"/>
      <c r="F416" s="1000"/>
      <c r="G416" s="1000"/>
      <c r="H416" s="1000"/>
      <c r="I416" s="1000"/>
      <c r="J416" s="1001"/>
      <c r="K416" s="302"/>
      <c r="L416" s="364"/>
      <c r="M416" s="332"/>
      <c r="N416" s="333"/>
      <c r="O416" s="340"/>
      <c r="P416" s="341"/>
      <c r="Q416" s="348"/>
      <c r="R416" s="349"/>
      <c r="S416" s="358"/>
      <c r="T416" s="359"/>
      <c r="U416" s="302"/>
    </row>
    <row r="417" spans="2:21" ht="14.1" customHeight="1" x14ac:dyDescent="0.15">
      <c r="B417" s="302"/>
      <c r="C417" s="325">
        <v>404</v>
      </c>
      <c r="D417" s="999"/>
      <c r="E417" s="1000"/>
      <c r="F417" s="1000"/>
      <c r="G417" s="1000"/>
      <c r="H417" s="1000"/>
      <c r="I417" s="1000"/>
      <c r="J417" s="1001"/>
      <c r="K417" s="302"/>
      <c r="L417" s="364"/>
      <c r="M417" s="332"/>
      <c r="N417" s="333"/>
      <c r="O417" s="340"/>
      <c r="P417" s="341"/>
      <c r="Q417" s="348"/>
      <c r="R417" s="349"/>
      <c r="S417" s="358"/>
      <c r="T417" s="359"/>
      <c r="U417" s="302"/>
    </row>
    <row r="418" spans="2:21" ht="14.1" customHeight="1" x14ac:dyDescent="0.15">
      <c r="B418" s="302"/>
      <c r="C418" s="325">
        <v>405</v>
      </c>
      <c r="D418" s="999"/>
      <c r="E418" s="1000"/>
      <c r="F418" s="1000"/>
      <c r="G418" s="1000"/>
      <c r="H418" s="1000"/>
      <c r="I418" s="1000"/>
      <c r="J418" s="1001"/>
      <c r="K418" s="302"/>
      <c r="L418" s="364"/>
      <c r="M418" s="332"/>
      <c r="N418" s="333"/>
      <c r="O418" s="340"/>
      <c r="P418" s="341"/>
      <c r="Q418" s="348"/>
      <c r="R418" s="349"/>
      <c r="S418" s="358"/>
      <c r="T418" s="359"/>
      <c r="U418" s="302"/>
    </row>
    <row r="419" spans="2:21" ht="14.1" customHeight="1" x14ac:dyDescent="0.15">
      <c r="B419" s="302"/>
      <c r="C419" s="325">
        <v>406</v>
      </c>
      <c r="D419" s="999"/>
      <c r="E419" s="1000"/>
      <c r="F419" s="1000"/>
      <c r="G419" s="1000"/>
      <c r="H419" s="1000"/>
      <c r="I419" s="1000"/>
      <c r="J419" s="1001"/>
      <c r="K419" s="302"/>
      <c r="L419" s="364"/>
      <c r="M419" s="332"/>
      <c r="N419" s="333"/>
      <c r="O419" s="340"/>
      <c r="P419" s="341"/>
      <c r="Q419" s="348"/>
      <c r="R419" s="349"/>
      <c r="S419" s="358"/>
      <c r="T419" s="359"/>
      <c r="U419" s="302"/>
    </row>
    <row r="420" spans="2:21" ht="14.1" customHeight="1" x14ac:dyDescent="0.15">
      <c r="B420" s="302"/>
      <c r="C420" s="325">
        <v>407</v>
      </c>
      <c r="D420" s="999"/>
      <c r="E420" s="1000"/>
      <c r="F420" s="1000"/>
      <c r="G420" s="1000"/>
      <c r="H420" s="1000"/>
      <c r="I420" s="1000"/>
      <c r="J420" s="1001"/>
      <c r="K420" s="302"/>
      <c r="L420" s="364"/>
      <c r="M420" s="332"/>
      <c r="N420" s="333"/>
      <c r="O420" s="340"/>
      <c r="P420" s="341"/>
      <c r="Q420" s="348"/>
      <c r="R420" s="349"/>
      <c r="S420" s="358"/>
      <c r="T420" s="359"/>
      <c r="U420" s="302"/>
    </row>
    <row r="421" spans="2:21" ht="14.1" customHeight="1" x14ac:dyDescent="0.15">
      <c r="B421" s="302"/>
      <c r="C421" s="325">
        <v>408</v>
      </c>
      <c r="D421" s="999"/>
      <c r="E421" s="1000"/>
      <c r="F421" s="1000"/>
      <c r="G421" s="1000"/>
      <c r="H421" s="1000"/>
      <c r="I421" s="1000"/>
      <c r="J421" s="1001"/>
      <c r="K421" s="302"/>
      <c r="L421" s="364"/>
      <c r="M421" s="332"/>
      <c r="N421" s="333"/>
      <c r="O421" s="340"/>
      <c r="P421" s="341"/>
      <c r="Q421" s="348"/>
      <c r="R421" s="349"/>
      <c r="S421" s="358"/>
      <c r="T421" s="359"/>
      <c r="U421" s="302"/>
    </row>
    <row r="422" spans="2:21" ht="14.1" customHeight="1" x14ac:dyDescent="0.15">
      <c r="B422" s="302"/>
      <c r="C422" s="325">
        <v>409</v>
      </c>
      <c r="D422" s="999"/>
      <c r="E422" s="1000"/>
      <c r="F422" s="1000"/>
      <c r="G422" s="1000"/>
      <c r="H422" s="1000"/>
      <c r="I422" s="1000"/>
      <c r="J422" s="1001"/>
      <c r="K422" s="302"/>
      <c r="L422" s="364"/>
      <c r="M422" s="332"/>
      <c r="N422" s="333"/>
      <c r="O422" s="340"/>
      <c r="P422" s="341"/>
      <c r="Q422" s="348"/>
      <c r="R422" s="349"/>
      <c r="S422" s="358"/>
      <c r="T422" s="359"/>
      <c r="U422" s="302"/>
    </row>
    <row r="423" spans="2:21" ht="14.1" customHeight="1" x14ac:dyDescent="0.15">
      <c r="B423" s="302"/>
      <c r="C423" s="325">
        <v>410</v>
      </c>
      <c r="D423" s="999"/>
      <c r="E423" s="1000"/>
      <c r="F423" s="1000"/>
      <c r="G423" s="1000"/>
      <c r="H423" s="1000"/>
      <c r="I423" s="1000"/>
      <c r="J423" s="1001"/>
      <c r="K423" s="302"/>
      <c r="L423" s="364"/>
      <c r="M423" s="332"/>
      <c r="N423" s="333"/>
      <c r="O423" s="340"/>
      <c r="P423" s="341"/>
      <c r="Q423" s="348"/>
      <c r="R423" s="349"/>
      <c r="S423" s="358"/>
      <c r="T423" s="359"/>
      <c r="U423" s="302"/>
    </row>
    <row r="424" spans="2:21" ht="14.1" customHeight="1" x14ac:dyDescent="0.15">
      <c r="B424" s="302"/>
      <c r="C424" s="325">
        <v>411</v>
      </c>
      <c r="D424" s="999"/>
      <c r="E424" s="1000"/>
      <c r="F424" s="1000"/>
      <c r="G424" s="1000"/>
      <c r="H424" s="1000"/>
      <c r="I424" s="1000"/>
      <c r="J424" s="1001"/>
      <c r="K424" s="302"/>
      <c r="L424" s="364"/>
      <c r="M424" s="332"/>
      <c r="N424" s="333"/>
      <c r="O424" s="340"/>
      <c r="P424" s="341"/>
      <c r="Q424" s="348"/>
      <c r="R424" s="349"/>
      <c r="S424" s="358"/>
      <c r="T424" s="359"/>
      <c r="U424" s="302"/>
    </row>
    <row r="425" spans="2:21" ht="14.1" customHeight="1" x14ac:dyDescent="0.15">
      <c r="B425" s="302"/>
      <c r="C425" s="325">
        <v>412</v>
      </c>
      <c r="D425" s="999"/>
      <c r="E425" s="1000"/>
      <c r="F425" s="1000"/>
      <c r="G425" s="1000"/>
      <c r="H425" s="1000"/>
      <c r="I425" s="1000"/>
      <c r="J425" s="1001"/>
      <c r="K425" s="302"/>
      <c r="L425" s="364"/>
      <c r="M425" s="332"/>
      <c r="N425" s="333"/>
      <c r="O425" s="340"/>
      <c r="P425" s="341"/>
      <c r="Q425" s="348"/>
      <c r="R425" s="349"/>
      <c r="S425" s="358"/>
      <c r="T425" s="359"/>
      <c r="U425" s="302"/>
    </row>
    <row r="426" spans="2:21" ht="14.1" customHeight="1" x14ac:dyDescent="0.15">
      <c r="B426" s="302"/>
      <c r="C426" s="325">
        <v>413</v>
      </c>
      <c r="D426" s="999"/>
      <c r="E426" s="1000"/>
      <c r="F426" s="1000"/>
      <c r="G426" s="1000"/>
      <c r="H426" s="1000"/>
      <c r="I426" s="1000"/>
      <c r="J426" s="1001"/>
      <c r="K426" s="302"/>
      <c r="L426" s="364"/>
      <c r="M426" s="332"/>
      <c r="N426" s="333"/>
      <c r="O426" s="340"/>
      <c r="P426" s="341"/>
      <c r="Q426" s="348"/>
      <c r="R426" s="349"/>
      <c r="S426" s="358"/>
      <c r="T426" s="359"/>
      <c r="U426" s="302"/>
    </row>
    <row r="427" spans="2:21" ht="14.1" customHeight="1" x14ac:dyDescent="0.15">
      <c r="B427" s="302"/>
      <c r="C427" s="325">
        <v>414</v>
      </c>
      <c r="D427" s="999"/>
      <c r="E427" s="1000"/>
      <c r="F427" s="1000"/>
      <c r="G427" s="1000"/>
      <c r="H427" s="1000"/>
      <c r="I427" s="1000"/>
      <c r="J427" s="1001"/>
      <c r="K427" s="302"/>
      <c r="L427" s="364"/>
      <c r="M427" s="332"/>
      <c r="N427" s="333"/>
      <c r="O427" s="340"/>
      <c r="P427" s="341"/>
      <c r="Q427" s="348"/>
      <c r="R427" s="349"/>
      <c r="S427" s="358"/>
      <c r="T427" s="359"/>
      <c r="U427" s="302"/>
    </row>
    <row r="428" spans="2:21" ht="14.1" customHeight="1" x14ac:dyDescent="0.15">
      <c r="B428" s="302"/>
      <c r="C428" s="325">
        <v>415</v>
      </c>
      <c r="D428" s="999"/>
      <c r="E428" s="1000"/>
      <c r="F428" s="1000"/>
      <c r="G428" s="1000"/>
      <c r="H428" s="1000"/>
      <c r="I428" s="1000"/>
      <c r="J428" s="1001"/>
      <c r="K428" s="302"/>
      <c r="L428" s="364"/>
      <c r="M428" s="332"/>
      <c r="N428" s="333"/>
      <c r="O428" s="340"/>
      <c r="P428" s="341"/>
      <c r="Q428" s="348"/>
      <c r="R428" s="349"/>
      <c r="S428" s="358"/>
      <c r="T428" s="359"/>
      <c r="U428" s="302"/>
    </row>
    <row r="429" spans="2:21" ht="14.1" customHeight="1" x14ac:dyDescent="0.15">
      <c r="B429" s="302"/>
      <c r="C429" s="325">
        <v>416</v>
      </c>
      <c r="D429" s="999"/>
      <c r="E429" s="1000"/>
      <c r="F429" s="1000"/>
      <c r="G429" s="1000"/>
      <c r="H429" s="1000"/>
      <c r="I429" s="1000"/>
      <c r="J429" s="1001"/>
      <c r="K429" s="302"/>
      <c r="L429" s="364"/>
      <c r="M429" s="332"/>
      <c r="N429" s="333"/>
      <c r="O429" s="340"/>
      <c r="P429" s="341"/>
      <c r="Q429" s="348"/>
      <c r="R429" s="349"/>
      <c r="S429" s="358"/>
      <c r="T429" s="359"/>
      <c r="U429" s="302"/>
    </row>
    <row r="430" spans="2:21" ht="14.1" customHeight="1" x14ac:dyDescent="0.15">
      <c r="B430" s="302"/>
      <c r="C430" s="325">
        <v>417</v>
      </c>
      <c r="D430" s="999"/>
      <c r="E430" s="1000"/>
      <c r="F430" s="1000"/>
      <c r="G430" s="1000"/>
      <c r="H430" s="1000"/>
      <c r="I430" s="1000"/>
      <c r="J430" s="1001"/>
      <c r="K430" s="302"/>
      <c r="L430" s="364"/>
      <c r="M430" s="332"/>
      <c r="N430" s="333"/>
      <c r="O430" s="340"/>
      <c r="P430" s="341"/>
      <c r="Q430" s="348"/>
      <c r="R430" s="349"/>
      <c r="S430" s="358"/>
      <c r="T430" s="359"/>
      <c r="U430" s="302"/>
    </row>
    <row r="431" spans="2:21" ht="14.1" customHeight="1" x14ac:dyDescent="0.15">
      <c r="B431" s="302"/>
      <c r="C431" s="325">
        <v>418</v>
      </c>
      <c r="D431" s="999"/>
      <c r="E431" s="1000"/>
      <c r="F431" s="1000"/>
      <c r="G431" s="1000"/>
      <c r="H431" s="1000"/>
      <c r="I431" s="1000"/>
      <c r="J431" s="1001"/>
      <c r="K431" s="302"/>
      <c r="L431" s="364"/>
      <c r="M431" s="332"/>
      <c r="N431" s="333"/>
      <c r="O431" s="340"/>
      <c r="P431" s="341"/>
      <c r="Q431" s="348"/>
      <c r="R431" s="349"/>
      <c r="S431" s="358"/>
      <c r="T431" s="359"/>
      <c r="U431" s="302"/>
    </row>
    <row r="432" spans="2:21" ht="14.1" customHeight="1" x14ac:dyDescent="0.15">
      <c r="B432" s="302"/>
      <c r="C432" s="325">
        <v>419</v>
      </c>
      <c r="D432" s="999"/>
      <c r="E432" s="1000"/>
      <c r="F432" s="1000"/>
      <c r="G432" s="1000"/>
      <c r="H432" s="1000"/>
      <c r="I432" s="1000"/>
      <c r="J432" s="1001"/>
      <c r="K432" s="302"/>
      <c r="L432" s="364"/>
      <c r="M432" s="332"/>
      <c r="N432" s="333"/>
      <c r="O432" s="340"/>
      <c r="P432" s="341"/>
      <c r="Q432" s="348"/>
      <c r="R432" s="349"/>
      <c r="S432" s="358"/>
      <c r="T432" s="359"/>
      <c r="U432" s="302"/>
    </row>
    <row r="433" spans="2:21" ht="14.1" customHeight="1" x14ac:dyDescent="0.15">
      <c r="B433" s="302"/>
      <c r="C433" s="325">
        <v>420</v>
      </c>
      <c r="D433" s="999"/>
      <c r="E433" s="1000"/>
      <c r="F433" s="1000"/>
      <c r="G433" s="1000"/>
      <c r="H433" s="1000"/>
      <c r="I433" s="1000"/>
      <c r="J433" s="1001"/>
      <c r="K433" s="302"/>
      <c r="L433" s="364"/>
      <c r="M433" s="332"/>
      <c r="N433" s="333"/>
      <c r="O433" s="340"/>
      <c r="P433" s="341"/>
      <c r="Q433" s="348"/>
      <c r="R433" s="349"/>
      <c r="S433" s="358"/>
      <c r="T433" s="359"/>
      <c r="U433" s="302"/>
    </row>
    <row r="434" spans="2:21" ht="14.1" customHeight="1" x14ac:dyDescent="0.15">
      <c r="B434" s="302"/>
      <c r="C434" s="325">
        <v>421</v>
      </c>
      <c r="D434" s="999"/>
      <c r="E434" s="1000"/>
      <c r="F434" s="1000"/>
      <c r="G434" s="1000"/>
      <c r="H434" s="1000"/>
      <c r="I434" s="1000"/>
      <c r="J434" s="1001"/>
      <c r="K434" s="302"/>
      <c r="L434" s="364"/>
      <c r="M434" s="332"/>
      <c r="N434" s="333"/>
      <c r="O434" s="340"/>
      <c r="P434" s="341"/>
      <c r="Q434" s="348"/>
      <c r="R434" s="349"/>
      <c r="S434" s="358"/>
      <c r="T434" s="359"/>
      <c r="U434" s="302"/>
    </row>
    <row r="435" spans="2:21" ht="14.1" customHeight="1" x14ac:dyDescent="0.15">
      <c r="B435" s="302"/>
      <c r="C435" s="325">
        <v>422</v>
      </c>
      <c r="D435" s="999"/>
      <c r="E435" s="1000"/>
      <c r="F435" s="1000"/>
      <c r="G435" s="1000"/>
      <c r="H435" s="1000"/>
      <c r="I435" s="1000"/>
      <c r="J435" s="1001"/>
      <c r="K435" s="302"/>
      <c r="L435" s="364"/>
      <c r="M435" s="332"/>
      <c r="N435" s="333"/>
      <c r="O435" s="340"/>
      <c r="P435" s="341"/>
      <c r="Q435" s="348"/>
      <c r="R435" s="349"/>
      <c r="S435" s="358"/>
      <c r="T435" s="359"/>
      <c r="U435" s="302"/>
    </row>
    <row r="436" spans="2:21" ht="14.1" customHeight="1" x14ac:dyDescent="0.15">
      <c r="B436" s="302"/>
      <c r="C436" s="325">
        <v>423</v>
      </c>
      <c r="D436" s="999"/>
      <c r="E436" s="1000"/>
      <c r="F436" s="1000"/>
      <c r="G436" s="1000"/>
      <c r="H436" s="1000"/>
      <c r="I436" s="1000"/>
      <c r="J436" s="1001"/>
      <c r="K436" s="302"/>
      <c r="L436" s="364"/>
      <c r="M436" s="332"/>
      <c r="N436" s="333"/>
      <c r="O436" s="340"/>
      <c r="P436" s="341"/>
      <c r="Q436" s="348"/>
      <c r="R436" s="349"/>
      <c r="S436" s="358"/>
      <c r="T436" s="359"/>
      <c r="U436" s="302"/>
    </row>
    <row r="437" spans="2:21" ht="14.1" customHeight="1" x14ac:dyDescent="0.15">
      <c r="B437" s="302"/>
      <c r="C437" s="325">
        <v>424</v>
      </c>
      <c r="D437" s="999"/>
      <c r="E437" s="1000"/>
      <c r="F437" s="1000"/>
      <c r="G437" s="1000"/>
      <c r="H437" s="1000"/>
      <c r="I437" s="1000"/>
      <c r="J437" s="1001"/>
      <c r="K437" s="302"/>
      <c r="L437" s="364"/>
      <c r="M437" s="332"/>
      <c r="N437" s="333"/>
      <c r="O437" s="340"/>
      <c r="P437" s="341"/>
      <c r="Q437" s="348"/>
      <c r="R437" s="349"/>
      <c r="S437" s="358"/>
      <c r="T437" s="359"/>
      <c r="U437" s="302"/>
    </row>
    <row r="438" spans="2:21" ht="14.1" customHeight="1" x14ac:dyDescent="0.15">
      <c r="B438" s="302"/>
      <c r="C438" s="325">
        <v>425</v>
      </c>
      <c r="D438" s="999"/>
      <c r="E438" s="1000"/>
      <c r="F438" s="1000"/>
      <c r="G438" s="1000"/>
      <c r="H438" s="1000"/>
      <c r="I438" s="1000"/>
      <c r="J438" s="1001"/>
      <c r="K438" s="302"/>
      <c r="L438" s="364"/>
      <c r="M438" s="332"/>
      <c r="N438" s="333"/>
      <c r="O438" s="340"/>
      <c r="P438" s="341"/>
      <c r="Q438" s="348"/>
      <c r="R438" s="349"/>
      <c r="S438" s="358"/>
      <c r="T438" s="359"/>
      <c r="U438" s="302"/>
    </row>
    <row r="439" spans="2:21" ht="14.1" customHeight="1" x14ac:dyDescent="0.15">
      <c r="B439" s="302"/>
      <c r="C439" s="325">
        <v>426</v>
      </c>
      <c r="D439" s="999"/>
      <c r="E439" s="1000"/>
      <c r="F439" s="1000"/>
      <c r="G439" s="1000"/>
      <c r="H439" s="1000"/>
      <c r="I439" s="1000"/>
      <c r="J439" s="1001"/>
      <c r="K439" s="302"/>
      <c r="L439" s="364"/>
      <c r="M439" s="332"/>
      <c r="N439" s="333"/>
      <c r="O439" s="340"/>
      <c r="P439" s="341"/>
      <c r="Q439" s="348"/>
      <c r="R439" s="349"/>
      <c r="S439" s="358"/>
      <c r="T439" s="359"/>
      <c r="U439" s="302"/>
    </row>
    <row r="440" spans="2:21" ht="14.1" customHeight="1" x14ac:dyDescent="0.15">
      <c r="B440" s="302"/>
      <c r="C440" s="325">
        <v>427</v>
      </c>
      <c r="D440" s="999"/>
      <c r="E440" s="1000"/>
      <c r="F440" s="1000"/>
      <c r="G440" s="1000"/>
      <c r="H440" s="1000"/>
      <c r="I440" s="1000"/>
      <c r="J440" s="1001"/>
      <c r="K440" s="302"/>
      <c r="L440" s="364"/>
      <c r="M440" s="332"/>
      <c r="N440" s="333"/>
      <c r="O440" s="340"/>
      <c r="P440" s="341"/>
      <c r="Q440" s="348"/>
      <c r="R440" s="349"/>
      <c r="S440" s="358"/>
      <c r="T440" s="359"/>
      <c r="U440" s="302"/>
    </row>
    <row r="441" spans="2:21" ht="14.1" customHeight="1" x14ac:dyDescent="0.15">
      <c r="B441" s="302"/>
      <c r="C441" s="325">
        <v>428</v>
      </c>
      <c r="D441" s="999"/>
      <c r="E441" s="1000"/>
      <c r="F441" s="1000"/>
      <c r="G441" s="1000"/>
      <c r="H441" s="1000"/>
      <c r="I441" s="1000"/>
      <c r="J441" s="1001"/>
      <c r="K441" s="302"/>
      <c r="L441" s="364"/>
      <c r="M441" s="332"/>
      <c r="N441" s="333"/>
      <c r="O441" s="340"/>
      <c r="P441" s="341"/>
      <c r="Q441" s="348"/>
      <c r="R441" s="349"/>
      <c r="S441" s="358"/>
      <c r="T441" s="359"/>
      <c r="U441" s="302"/>
    </row>
    <row r="442" spans="2:21" ht="14.1" customHeight="1" x14ac:dyDescent="0.15">
      <c r="B442" s="302"/>
      <c r="C442" s="325">
        <v>429</v>
      </c>
      <c r="D442" s="999"/>
      <c r="E442" s="1000"/>
      <c r="F442" s="1000"/>
      <c r="G442" s="1000"/>
      <c r="H442" s="1000"/>
      <c r="I442" s="1000"/>
      <c r="J442" s="1001"/>
      <c r="K442" s="302"/>
      <c r="L442" s="364"/>
      <c r="M442" s="332"/>
      <c r="N442" s="333"/>
      <c r="O442" s="340"/>
      <c r="P442" s="341"/>
      <c r="Q442" s="348"/>
      <c r="R442" s="349"/>
      <c r="S442" s="358"/>
      <c r="T442" s="359"/>
      <c r="U442" s="302"/>
    </row>
    <row r="443" spans="2:21" ht="14.1" customHeight="1" x14ac:dyDescent="0.15">
      <c r="B443" s="302"/>
      <c r="C443" s="325">
        <v>430</v>
      </c>
      <c r="D443" s="999"/>
      <c r="E443" s="1000"/>
      <c r="F443" s="1000"/>
      <c r="G443" s="1000"/>
      <c r="H443" s="1000"/>
      <c r="I443" s="1000"/>
      <c r="J443" s="1001"/>
      <c r="K443" s="302"/>
      <c r="L443" s="364"/>
      <c r="M443" s="332"/>
      <c r="N443" s="333"/>
      <c r="O443" s="340"/>
      <c r="P443" s="341"/>
      <c r="Q443" s="348"/>
      <c r="R443" s="349"/>
      <c r="S443" s="358"/>
      <c r="T443" s="359"/>
      <c r="U443" s="302"/>
    </row>
    <row r="444" spans="2:21" ht="14.1" customHeight="1" x14ac:dyDescent="0.15">
      <c r="B444" s="302"/>
      <c r="C444" s="325">
        <v>431</v>
      </c>
      <c r="D444" s="999"/>
      <c r="E444" s="1000"/>
      <c r="F444" s="1000"/>
      <c r="G444" s="1000"/>
      <c r="H444" s="1000"/>
      <c r="I444" s="1000"/>
      <c r="J444" s="1001"/>
      <c r="K444" s="302"/>
      <c r="L444" s="364"/>
      <c r="M444" s="332"/>
      <c r="N444" s="333"/>
      <c r="O444" s="340"/>
      <c r="P444" s="341"/>
      <c r="Q444" s="348"/>
      <c r="R444" s="349"/>
      <c r="S444" s="358"/>
      <c r="T444" s="359"/>
      <c r="U444" s="302"/>
    </row>
    <row r="445" spans="2:21" ht="14.1" customHeight="1" x14ac:dyDescent="0.15">
      <c r="B445" s="302"/>
      <c r="C445" s="325">
        <v>432</v>
      </c>
      <c r="D445" s="999"/>
      <c r="E445" s="1000"/>
      <c r="F445" s="1000"/>
      <c r="G445" s="1000"/>
      <c r="H445" s="1000"/>
      <c r="I445" s="1000"/>
      <c r="J445" s="1001"/>
      <c r="K445" s="302"/>
      <c r="L445" s="364"/>
      <c r="M445" s="332"/>
      <c r="N445" s="333"/>
      <c r="O445" s="340"/>
      <c r="P445" s="341"/>
      <c r="Q445" s="348"/>
      <c r="R445" s="349"/>
      <c r="S445" s="358"/>
      <c r="T445" s="359"/>
      <c r="U445" s="302"/>
    </row>
    <row r="446" spans="2:21" ht="14.1" customHeight="1" x14ac:dyDescent="0.15">
      <c r="B446" s="302"/>
      <c r="C446" s="325">
        <v>433</v>
      </c>
      <c r="D446" s="999"/>
      <c r="E446" s="1000"/>
      <c r="F446" s="1000"/>
      <c r="G446" s="1000"/>
      <c r="H446" s="1000"/>
      <c r="I446" s="1000"/>
      <c r="J446" s="1001"/>
      <c r="K446" s="302"/>
      <c r="L446" s="364"/>
      <c r="M446" s="332"/>
      <c r="N446" s="333"/>
      <c r="O446" s="340"/>
      <c r="P446" s="341"/>
      <c r="Q446" s="348"/>
      <c r="R446" s="349"/>
      <c r="S446" s="358"/>
      <c r="T446" s="359"/>
      <c r="U446" s="302"/>
    </row>
    <row r="447" spans="2:21" ht="14.1" customHeight="1" x14ac:dyDescent="0.15">
      <c r="B447" s="302"/>
      <c r="C447" s="325">
        <v>434</v>
      </c>
      <c r="D447" s="999"/>
      <c r="E447" s="1000"/>
      <c r="F447" s="1000"/>
      <c r="G447" s="1000"/>
      <c r="H447" s="1000"/>
      <c r="I447" s="1000"/>
      <c r="J447" s="1001"/>
      <c r="K447" s="302"/>
      <c r="L447" s="364"/>
      <c r="M447" s="332"/>
      <c r="N447" s="333"/>
      <c r="O447" s="340"/>
      <c r="P447" s="341"/>
      <c r="Q447" s="348"/>
      <c r="R447" s="349"/>
      <c r="S447" s="358"/>
      <c r="T447" s="359"/>
      <c r="U447" s="302"/>
    </row>
    <row r="448" spans="2:21" ht="14.1" customHeight="1" x14ac:dyDescent="0.15">
      <c r="B448" s="302"/>
      <c r="C448" s="325">
        <v>435</v>
      </c>
      <c r="D448" s="999"/>
      <c r="E448" s="1000"/>
      <c r="F448" s="1000"/>
      <c r="G448" s="1000"/>
      <c r="H448" s="1000"/>
      <c r="I448" s="1000"/>
      <c r="J448" s="1001"/>
      <c r="K448" s="302"/>
      <c r="L448" s="364"/>
      <c r="M448" s="332"/>
      <c r="N448" s="333"/>
      <c r="O448" s="340"/>
      <c r="P448" s="341"/>
      <c r="Q448" s="348"/>
      <c r="R448" s="349"/>
      <c r="S448" s="358"/>
      <c r="T448" s="359"/>
      <c r="U448" s="302"/>
    </row>
    <row r="449" spans="2:21" ht="14.1" customHeight="1" x14ac:dyDescent="0.15">
      <c r="B449" s="302"/>
      <c r="C449" s="325">
        <v>436</v>
      </c>
      <c r="D449" s="999"/>
      <c r="E449" s="1000"/>
      <c r="F449" s="1000"/>
      <c r="G449" s="1000"/>
      <c r="H449" s="1000"/>
      <c r="I449" s="1000"/>
      <c r="J449" s="1001"/>
      <c r="K449" s="302"/>
      <c r="L449" s="364"/>
      <c r="M449" s="332"/>
      <c r="N449" s="333"/>
      <c r="O449" s="340"/>
      <c r="P449" s="341"/>
      <c r="Q449" s="348"/>
      <c r="R449" s="349"/>
      <c r="S449" s="358"/>
      <c r="T449" s="359"/>
      <c r="U449" s="302"/>
    </row>
    <row r="450" spans="2:21" ht="14.1" customHeight="1" x14ac:dyDescent="0.15">
      <c r="B450" s="302"/>
      <c r="C450" s="325">
        <v>437</v>
      </c>
      <c r="D450" s="999"/>
      <c r="E450" s="1000"/>
      <c r="F450" s="1000"/>
      <c r="G450" s="1000"/>
      <c r="H450" s="1000"/>
      <c r="I450" s="1000"/>
      <c r="J450" s="1001"/>
      <c r="K450" s="302"/>
      <c r="L450" s="364"/>
      <c r="M450" s="332"/>
      <c r="N450" s="333"/>
      <c r="O450" s="340"/>
      <c r="P450" s="341"/>
      <c r="Q450" s="348"/>
      <c r="R450" s="349"/>
      <c r="S450" s="358"/>
      <c r="T450" s="359"/>
      <c r="U450" s="302"/>
    </row>
    <row r="451" spans="2:21" ht="14.1" customHeight="1" x14ac:dyDescent="0.15">
      <c r="B451" s="302"/>
      <c r="C451" s="325">
        <v>438</v>
      </c>
      <c r="D451" s="999"/>
      <c r="E451" s="1000"/>
      <c r="F451" s="1000"/>
      <c r="G451" s="1000"/>
      <c r="H451" s="1000"/>
      <c r="I451" s="1000"/>
      <c r="J451" s="1001"/>
      <c r="K451" s="302"/>
      <c r="L451" s="364"/>
      <c r="M451" s="332"/>
      <c r="N451" s="333"/>
      <c r="O451" s="340"/>
      <c r="P451" s="341"/>
      <c r="Q451" s="348"/>
      <c r="R451" s="349"/>
      <c r="S451" s="358"/>
      <c r="T451" s="359"/>
      <c r="U451" s="302"/>
    </row>
    <row r="452" spans="2:21" ht="14.1" customHeight="1" x14ac:dyDescent="0.15">
      <c r="B452" s="302"/>
      <c r="C452" s="325">
        <v>439</v>
      </c>
      <c r="D452" s="999"/>
      <c r="E452" s="1000"/>
      <c r="F452" s="1000"/>
      <c r="G452" s="1000"/>
      <c r="H452" s="1000"/>
      <c r="I452" s="1000"/>
      <c r="J452" s="1001"/>
      <c r="K452" s="302"/>
      <c r="L452" s="364"/>
      <c r="M452" s="332"/>
      <c r="N452" s="333"/>
      <c r="O452" s="340"/>
      <c r="P452" s="341"/>
      <c r="Q452" s="348"/>
      <c r="R452" s="349"/>
      <c r="S452" s="358"/>
      <c r="T452" s="359"/>
      <c r="U452" s="302"/>
    </row>
    <row r="453" spans="2:21" ht="14.1" customHeight="1" x14ac:dyDescent="0.15">
      <c r="B453" s="302"/>
      <c r="C453" s="325">
        <v>440</v>
      </c>
      <c r="D453" s="999"/>
      <c r="E453" s="1000"/>
      <c r="F453" s="1000"/>
      <c r="G453" s="1000"/>
      <c r="H453" s="1000"/>
      <c r="I453" s="1000"/>
      <c r="J453" s="1001"/>
      <c r="K453" s="302"/>
      <c r="L453" s="364"/>
      <c r="M453" s="332"/>
      <c r="N453" s="333"/>
      <c r="O453" s="340"/>
      <c r="P453" s="341"/>
      <c r="Q453" s="348"/>
      <c r="R453" s="349"/>
      <c r="S453" s="358"/>
      <c r="T453" s="359"/>
      <c r="U453" s="302"/>
    </row>
    <row r="454" spans="2:21" ht="14.1" customHeight="1" x14ac:dyDescent="0.15">
      <c r="B454" s="302"/>
      <c r="C454" s="325">
        <v>441</v>
      </c>
      <c r="D454" s="999"/>
      <c r="E454" s="1000"/>
      <c r="F454" s="1000"/>
      <c r="G454" s="1000"/>
      <c r="H454" s="1000"/>
      <c r="I454" s="1000"/>
      <c r="J454" s="1001"/>
      <c r="K454" s="302"/>
      <c r="L454" s="364"/>
      <c r="M454" s="332"/>
      <c r="N454" s="333"/>
      <c r="O454" s="340"/>
      <c r="P454" s="341"/>
      <c r="Q454" s="348"/>
      <c r="R454" s="349"/>
      <c r="S454" s="358"/>
      <c r="T454" s="359"/>
      <c r="U454" s="302"/>
    </row>
    <row r="455" spans="2:21" ht="14.1" customHeight="1" x14ac:dyDescent="0.15">
      <c r="B455" s="302"/>
      <c r="C455" s="325">
        <v>442</v>
      </c>
      <c r="D455" s="999"/>
      <c r="E455" s="1000"/>
      <c r="F455" s="1000"/>
      <c r="G455" s="1000"/>
      <c r="H455" s="1000"/>
      <c r="I455" s="1000"/>
      <c r="J455" s="1001"/>
      <c r="K455" s="302"/>
      <c r="L455" s="364"/>
      <c r="M455" s="332"/>
      <c r="N455" s="333"/>
      <c r="O455" s="340"/>
      <c r="P455" s="341"/>
      <c r="Q455" s="348"/>
      <c r="R455" s="349"/>
      <c r="S455" s="358"/>
      <c r="T455" s="359"/>
      <c r="U455" s="302"/>
    </row>
    <row r="456" spans="2:21" ht="14.1" customHeight="1" x14ac:dyDescent="0.15">
      <c r="B456" s="302"/>
      <c r="C456" s="325">
        <v>443</v>
      </c>
      <c r="D456" s="999"/>
      <c r="E456" s="1000"/>
      <c r="F456" s="1000"/>
      <c r="G456" s="1000"/>
      <c r="H456" s="1000"/>
      <c r="I456" s="1000"/>
      <c r="J456" s="1001"/>
      <c r="K456" s="302"/>
      <c r="L456" s="364"/>
      <c r="M456" s="332"/>
      <c r="N456" s="333"/>
      <c r="O456" s="340"/>
      <c r="P456" s="341"/>
      <c r="Q456" s="348"/>
      <c r="R456" s="349"/>
      <c r="S456" s="358"/>
      <c r="T456" s="359"/>
      <c r="U456" s="302"/>
    </row>
    <row r="457" spans="2:21" ht="14.1" customHeight="1" x14ac:dyDescent="0.15">
      <c r="B457" s="302"/>
      <c r="C457" s="325">
        <v>444</v>
      </c>
      <c r="D457" s="999"/>
      <c r="E457" s="1000"/>
      <c r="F457" s="1000"/>
      <c r="G457" s="1000"/>
      <c r="H457" s="1000"/>
      <c r="I457" s="1000"/>
      <c r="J457" s="1001"/>
      <c r="K457" s="302"/>
      <c r="L457" s="364"/>
      <c r="M457" s="332"/>
      <c r="N457" s="333"/>
      <c r="O457" s="340"/>
      <c r="P457" s="341"/>
      <c r="Q457" s="348"/>
      <c r="R457" s="349"/>
      <c r="S457" s="358"/>
      <c r="T457" s="359"/>
      <c r="U457" s="302"/>
    </row>
    <row r="458" spans="2:21" ht="14.1" customHeight="1" x14ac:dyDescent="0.15">
      <c r="B458" s="302"/>
      <c r="C458" s="325">
        <v>445</v>
      </c>
      <c r="D458" s="999"/>
      <c r="E458" s="1000"/>
      <c r="F458" s="1000"/>
      <c r="G458" s="1000"/>
      <c r="H458" s="1000"/>
      <c r="I458" s="1000"/>
      <c r="J458" s="1001"/>
      <c r="K458" s="302"/>
      <c r="L458" s="364"/>
      <c r="M458" s="332"/>
      <c r="N458" s="333"/>
      <c r="O458" s="340"/>
      <c r="P458" s="341"/>
      <c r="Q458" s="348"/>
      <c r="R458" s="349"/>
      <c r="S458" s="358"/>
      <c r="T458" s="359"/>
      <c r="U458" s="302"/>
    </row>
    <row r="459" spans="2:21" ht="14.1" customHeight="1" x14ac:dyDescent="0.15">
      <c r="B459" s="302"/>
      <c r="C459" s="325">
        <v>446</v>
      </c>
      <c r="D459" s="999"/>
      <c r="E459" s="1000"/>
      <c r="F459" s="1000"/>
      <c r="G459" s="1000"/>
      <c r="H459" s="1000"/>
      <c r="I459" s="1000"/>
      <c r="J459" s="1001"/>
      <c r="K459" s="302"/>
      <c r="L459" s="364"/>
      <c r="M459" s="332"/>
      <c r="N459" s="333"/>
      <c r="O459" s="340"/>
      <c r="P459" s="341"/>
      <c r="Q459" s="348"/>
      <c r="R459" s="349"/>
      <c r="S459" s="358"/>
      <c r="T459" s="359"/>
      <c r="U459" s="302"/>
    </row>
    <row r="460" spans="2:21" ht="14.1" customHeight="1" x14ac:dyDescent="0.15">
      <c r="B460" s="302"/>
      <c r="C460" s="325">
        <v>447</v>
      </c>
      <c r="D460" s="999"/>
      <c r="E460" s="1000"/>
      <c r="F460" s="1000"/>
      <c r="G460" s="1000"/>
      <c r="H460" s="1000"/>
      <c r="I460" s="1000"/>
      <c r="J460" s="1001"/>
      <c r="K460" s="302"/>
      <c r="L460" s="364"/>
      <c r="M460" s="332"/>
      <c r="N460" s="333"/>
      <c r="O460" s="340"/>
      <c r="P460" s="341"/>
      <c r="Q460" s="348"/>
      <c r="R460" s="349"/>
      <c r="S460" s="358"/>
      <c r="T460" s="359"/>
      <c r="U460" s="302"/>
    </row>
    <row r="461" spans="2:21" ht="14.1" customHeight="1" x14ac:dyDescent="0.15">
      <c r="B461" s="302"/>
      <c r="C461" s="325">
        <v>448</v>
      </c>
      <c r="D461" s="999"/>
      <c r="E461" s="1000"/>
      <c r="F461" s="1000"/>
      <c r="G461" s="1000"/>
      <c r="H461" s="1000"/>
      <c r="I461" s="1000"/>
      <c r="J461" s="1001"/>
      <c r="K461" s="302"/>
      <c r="L461" s="364"/>
      <c r="M461" s="332"/>
      <c r="N461" s="333"/>
      <c r="O461" s="340"/>
      <c r="P461" s="341"/>
      <c r="Q461" s="348"/>
      <c r="R461" s="349"/>
      <c r="S461" s="358"/>
      <c r="T461" s="359"/>
      <c r="U461" s="302"/>
    </row>
    <row r="462" spans="2:21" ht="14.1" customHeight="1" x14ac:dyDescent="0.15">
      <c r="B462" s="302"/>
      <c r="C462" s="325">
        <v>449</v>
      </c>
      <c r="D462" s="999"/>
      <c r="E462" s="1000"/>
      <c r="F462" s="1000"/>
      <c r="G462" s="1000"/>
      <c r="H462" s="1000"/>
      <c r="I462" s="1000"/>
      <c r="J462" s="1001"/>
      <c r="K462" s="302"/>
      <c r="L462" s="364"/>
      <c r="M462" s="332"/>
      <c r="N462" s="333"/>
      <c r="O462" s="340"/>
      <c r="P462" s="341"/>
      <c r="Q462" s="348"/>
      <c r="R462" s="349"/>
      <c r="S462" s="358"/>
      <c r="T462" s="359"/>
      <c r="U462" s="302"/>
    </row>
    <row r="463" spans="2:21" ht="14.1" customHeight="1" x14ac:dyDescent="0.15">
      <c r="B463" s="302"/>
      <c r="C463" s="325">
        <v>450</v>
      </c>
      <c r="D463" s="999"/>
      <c r="E463" s="1000"/>
      <c r="F463" s="1000"/>
      <c r="G463" s="1000"/>
      <c r="H463" s="1000"/>
      <c r="I463" s="1000"/>
      <c r="J463" s="1001"/>
      <c r="K463" s="302"/>
      <c r="L463" s="364"/>
      <c r="M463" s="332"/>
      <c r="N463" s="333"/>
      <c r="O463" s="340"/>
      <c r="P463" s="341"/>
      <c r="Q463" s="348"/>
      <c r="R463" s="349"/>
      <c r="S463" s="358"/>
      <c r="T463" s="359"/>
      <c r="U463" s="302"/>
    </row>
    <row r="464" spans="2:21" ht="14.1" customHeight="1" x14ac:dyDescent="0.15">
      <c r="B464" s="302"/>
      <c r="C464" s="325">
        <v>451</v>
      </c>
      <c r="D464" s="999"/>
      <c r="E464" s="1000"/>
      <c r="F464" s="1000"/>
      <c r="G464" s="1000"/>
      <c r="H464" s="1000"/>
      <c r="I464" s="1000"/>
      <c r="J464" s="1001"/>
      <c r="K464" s="302"/>
      <c r="L464" s="364"/>
      <c r="M464" s="332"/>
      <c r="N464" s="333"/>
      <c r="O464" s="340"/>
      <c r="P464" s="341"/>
      <c r="Q464" s="348"/>
      <c r="R464" s="349"/>
      <c r="S464" s="358"/>
      <c r="T464" s="359"/>
      <c r="U464" s="302"/>
    </row>
    <row r="465" spans="2:21" ht="14.1" customHeight="1" x14ac:dyDescent="0.15">
      <c r="B465" s="302"/>
      <c r="C465" s="325">
        <v>452</v>
      </c>
      <c r="D465" s="999"/>
      <c r="E465" s="1000"/>
      <c r="F465" s="1000"/>
      <c r="G465" s="1000"/>
      <c r="H465" s="1000"/>
      <c r="I465" s="1000"/>
      <c r="J465" s="1001"/>
      <c r="K465" s="302"/>
      <c r="L465" s="364"/>
      <c r="M465" s="332"/>
      <c r="N465" s="333"/>
      <c r="O465" s="340"/>
      <c r="P465" s="341"/>
      <c r="Q465" s="348"/>
      <c r="R465" s="349"/>
      <c r="S465" s="358"/>
      <c r="T465" s="359"/>
      <c r="U465" s="302"/>
    </row>
    <row r="466" spans="2:21" ht="14.1" customHeight="1" x14ac:dyDescent="0.15">
      <c r="B466" s="302"/>
      <c r="C466" s="325">
        <v>453</v>
      </c>
      <c r="D466" s="999"/>
      <c r="E466" s="1000"/>
      <c r="F466" s="1000"/>
      <c r="G466" s="1000"/>
      <c r="H466" s="1000"/>
      <c r="I466" s="1000"/>
      <c r="J466" s="1001"/>
      <c r="K466" s="302"/>
      <c r="L466" s="364"/>
      <c r="M466" s="332"/>
      <c r="N466" s="333"/>
      <c r="O466" s="340"/>
      <c r="P466" s="341"/>
      <c r="Q466" s="348"/>
      <c r="R466" s="349"/>
      <c r="S466" s="358"/>
      <c r="T466" s="359"/>
      <c r="U466" s="302"/>
    </row>
    <row r="467" spans="2:21" ht="14.1" customHeight="1" x14ac:dyDescent="0.15">
      <c r="B467" s="302"/>
      <c r="C467" s="325">
        <v>454</v>
      </c>
      <c r="D467" s="999"/>
      <c r="E467" s="1000"/>
      <c r="F467" s="1000"/>
      <c r="G467" s="1000"/>
      <c r="H467" s="1000"/>
      <c r="I467" s="1000"/>
      <c r="J467" s="1001"/>
      <c r="K467" s="302"/>
      <c r="L467" s="364"/>
      <c r="M467" s="332"/>
      <c r="N467" s="333"/>
      <c r="O467" s="340"/>
      <c r="P467" s="341"/>
      <c r="Q467" s="348"/>
      <c r="R467" s="349"/>
      <c r="S467" s="358"/>
      <c r="T467" s="359"/>
      <c r="U467" s="302"/>
    </row>
    <row r="468" spans="2:21" ht="14.1" customHeight="1" x14ac:dyDescent="0.15">
      <c r="B468" s="302"/>
      <c r="C468" s="325">
        <v>455</v>
      </c>
      <c r="D468" s="999"/>
      <c r="E468" s="1000"/>
      <c r="F468" s="1000"/>
      <c r="G468" s="1000"/>
      <c r="H468" s="1000"/>
      <c r="I468" s="1000"/>
      <c r="J468" s="1001"/>
      <c r="K468" s="302"/>
      <c r="L468" s="364"/>
      <c r="M468" s="332"/>
      <c r="N468" s="333"/>
      <c r="O468" s="340"/>
      <c r="P468" s="341"/>
      <c r="Q468" s="348"/>
      <c r="R468" s="349"/>
      <c r="S468" s="358"/>
      <c r="T468" s="359"/>
      <c r="U468" s="302"/>
    </row>
    <row r="469" spans="2:21" ht="14.1" customHeight="1" x14ac:dyDescent="0.15">
      <c r="B469" s="302"/>
      <c r="C469" s="325">
        <v>456</v>
      </c>
      <c r="D469" s="999"/>
      <c r="E469" s="1000"/>
      <c r="F469" s="1000"/>
      <c r="G469" s="1000"/>
      <c r="H469" s="1000"/>
      <c r="I469" s="1000"/>
      <c r="J469" s="1001"/>
      <c r="K469" s="302"/>
      <c r="L469" s="364"/>
      <c r="M469" s="332"/>
      <c r="N469" s="333"/>
      <c r="O469" s="340"/>
      <c r="P469" s="341"/>
      <c r="Q469" s="348"/>
      <c r="R469" s="349"/>
      <c r="S469" s="358"/>
      <c r="T469" s="359"/>
      <c r="U469" s="302"/>
    </row>
    <row r="470" spans="2:21" ht="14.1" customHeight="1" x14ac:dyDescent="0.15">
      <c r="B470" s="302"/>
      <c r="C470" s="325">
        <v>457</v>
      </c>
      <c r="D470" s="999"/>
      <c r="E470" s="1000"/>
      <c r="F470" s="1000"/>
      <c r="G470" s="1000"/>
      <c r="H470" s="1000"/>
      <c r="I470" s="1000"/>
      <c r="J470" s="1001"/>
      <c r="K470" s="302"/>
      <c r="L470" s="364"/>
      <c r="M470" s="332"/>
      <c r="N470" s="333"/>
      <c r="O470" s="340"/>
      <c r="P470" s="341"/>
      <c r="Q470" s="348"/>
      <c r="R470" s="349"/>
      <c r="S470" s="358"/>
      <c r="T470" s="359"/>
      <c r="U470" s="302"/>
    </row>
    <row r="471" spans="2:21" ht="14.1" customHeight="1" x14ac:dyDescent="0.15">
      <c r="B471" s="302"/>
      <c r="C471" s="325">
        <v>458</v>
      </c>
      <c r="D471" s="999"/>
      <c r="E471" s="1000"/>
      <c r="F471" s="1000"/>
      <c r="G471" s="1000"/>
      <c r="H471" s="1000"/>
      <c r="I471" s="1000"/>
      <c r="J471" s="1001"/>
      <c r="K471" s="302"/>
      <c r="L471" s="364"/>
      <c r="M471" s="332"/>
      <c r="N471" s="333"/>
      <c r="O471" s="340"/>
      <c r="P471" s="341"/>
      <c r="Q471" s="348"/>
      <c r="R471" s="349"/>
      <c r="S471" s="358"/>
      <c r="T471" s="359"/>
      <c r="U471" s="302"/>
    </row>
    <row r="472" spans="2:21" ht="14.1" customHeight="1" x14ac:dyDescent="0.15">
      <c r="B472" s="302"/>
      <c r="C472" s="325">
        <v>459</v>
      </c>
      <c r="D472" s="999"/>
      <c r="E472" s="1000"/>
      <c r="F472" s="1000"/>
      <c r="G472" s="1000"/>
      <c r="H472" s="1000"/>
      <c r="I472" s="1000"/>
      <c r="J472" s="1001"/>
      <c r="K472" s="302"/>
      <c r="L472" s="364"/>
      <c r="M472" s="332"/>
      <c r="N472" s="333"/>
      <c r="O472" s="340"/>
      <c r="P472" s="341"/>
      <c r="Q472" s="348"/>
      <c r="R472" s="349"/>
      <c r="S472" s="358"/>
      <c r="T472" s="359"/>
      <c r="U472" s="302"/>
    </row>
    <row r="473" spans="2:21" ht="14.1" customHeight="1" x14ac:dyDescent="0.15">
      <c r="B473" s="302"/>
      <c r="C473" s="325">
        <v>460</v>
      </c>
      <c r="D473" s="999"/>
      <c r="E473" s="1000"/>
      <c r="F473" s="1000"/>
      <c r="G473" s="1000"/>
      <c r="H473" s="1000"/>
      <c r="I473" s="1000"/>
      <c r="J473" s="1001"/>
      <c r="K473" s="302"/>
      <c r="L473" s="364"/>
      <c r="M473" s="332"/>
      <c r="N473" s="333"/>
      <c r="O473" s="340"/>
      <c r="P473" s="341"/>
      <c r="Q473" s="348"/>
      <c r="R473" s="349"/>
      <c r="S473" s="358"/>
      <c r="T473" s="359"/>
      <c r="U473" s="302"/>
    </row>
    <row r="474" spans="2:21" ht="14.1" customHeight="1" x14ac:dyDescent="0.15">
      <c r="B474" s="302"/>
      <c r="C474" s="325">
        <v>461</v>
      </c>
      <c r="D474" s="999"/>
      <c r="E474" s="1000"/>
      <c r="F474" s="1000"/>
      <c r="G474" s="1000"/>
      <c r="H474" s="1000"/>
      <c r="I474" s="1000"/>
      <c r="J474" s="1001"/>
      <c r="K474" s="302"/>
      <c r="L474" s="364"/>
      <c r="M474" s="332"/>
      <c r="N474" s="333"/>
      <c r="O474" s="340"/>
      <c r="P474" s="341"/>
      <c r="Q474" s="348"/>
      <c r="R474" s="349"/>
      <c r="S474" s="358"/>
      <c r="T474" s="359"/>
      <c r="U474" s="302"/>
    </row>
    <row r="475" spans="2:21" ht="14.1" customHeight="1" x14ac:dyDescent="0.15">
      <c r="B475" s="302"/>
      <c r="C475" s="325">
        <v>462</v>
      </c>
      <c r="D475" s="999"/>
      <c r="E475" s="1000"/>
      <c r="F475" s="1000"/>
      <c r="G475" s="1000"/>
      <c r="H475" s="1000"/>
      <c r="I475" s="1000"/>
      <c r="J475" s="1001"/>
      <c r="K475" s="302"/>
      <c r="L475" s="364"/>
      <c r="M475" s="332"/>
      <c r="N475" s="333"/>
      <c r="O475" s="340"/>
      <c r="P475" s="341"/>
      <c r="Q475" s="348"/>
      <c r="R475" s="349"/>
      <c r="S475" s="358"/>
      <c r="T475" s="359"/>
      <c r="U475" s="302"/>
    </row>
    <row r="476" spans="2:21" ht="14.1" customHeight="1" x14ac:dyDescent="0.15">
      <c r="B476" s="302"/>
      <c r="C476" s="325">
        <v>463</v>
      </c>
      <c r="D476" s="999"/>
      <c r="E476" s="1000"/>
      <c r="F476" s="1000"/>
      <c r="G476" s="1000"/>
      <c r="H476" s="1000"/>
      <c r="I476" s="1000"/>
      <c r="J476" s="1001"/>
      <c r="K476" s="302"/>
      <c r="L476" s="364"/>
      <c r="M476" s="332"/>
      <c r="N476" s="333"/>
      <c r="O476" s="340"/>
      <c r="P476" s="341"/>
      <c r="Q476" s="348"/>
      <c r="R476" s="349"/>
      <c r="S476" s="358"/>
      <c r="T476" s="359"/>
      <c r="U476" s="302"/>
    </row>
    <row r="477" spans="2:21" ht="14.1" customHeight="1" x14ac:dyDescent="0.15">
      <c r="B477" s="302"/>
      <c r="C477" s="325">
        <v>464</v>
      </c>
      <c r="D477" s="999"/>
      <c r="E477" s="1000"/>
      <c r="F477" s="1000"/>
      <c r="G477" s="1000"/>
      <c r="H477" s="1000"/>
      <c r="I477" s="1000"/>
      <c r="J477" s="1001"/>
      <c r="K477" s="302"/>
      <c r="L477" s="364"/>
      <c r="M477" s="332"/>
      <c r="N477" s="333"/>
      <c r="O477" s="340"/>
      <c r="P477" s="341"/>
      <c r="Q477" s="348"/>
      <c r="R477" s="349"/>
      <c r="S477" s="358"/>
      <c r="T477" s="359"/>
      <c r="U477" s="302"/>
    </row>
    <row r="478" spans="2:21" ht="14.1" customHeight="1" x14ac:dyDescent="0.15">
      <c r="B478" s="302"/>
      <c r="C478" s="325">
        <v>465</v>
      </c>
      <c r="D478" s="999"/>
      <c r="E478" s="1000"/>
      <c r="F478" s="1000"/>
      <c r="G478" s="1000"/>
      <c r="H478" s="1000"/>
      <c r="I478" s="1000"/>
      <c r="J478" s="1001"/>
      <c r="K478" s="302"/>
      <c r="L478" s="364"/>
      <c r="M478" s="332"/>
      <c r="N478" s="333"/>
      <c r="O478" s="340"/>
      <c r="P478" s="341"/>
      <c r="Q478" s="348"/>
      <c r="R478" s="349"/>
      <c r="S478" s="358"/>
      <c r="T478" s="359"/>
      <c r="U478" s="302"/>
    </row>
    <row r="479" spans="2:21" ht="14.1" customHeight="1" x14ac:dyDescent="0.15">
      <c r="B479" s="302"/>
      <c r="C479" s="325">
        <v>466</v>
      </c>
      <c r="D479" s="999"/>
      <c r="E479" s="1000"/>
      <c r="F479" s="1000"/>
      <c r="G479" s="1000"/>
      <c r="H479" s="1000"/>
      <c r="I479" s="1000"/>
      <c r="J479" s="1001"/>
      <c r="K479" s="302"/>
      <c r="L479" s="364"/>
      <c r="M479" s="332"/>
      <c r="N479" s="333"/>
      <c r="O479" s="340"/>
      <c r="P479" s="341"/>
      <c r="Q479" s="348"/>
      <c r="R479" s="349"/>
      <c r="S479" s="358"/>
      <c r="T479" s="359"/>
      <c r="U479" s="302"/>
    </row>
    <row r="480" spans="2:21" ht="14.1" customHeight="1" x14ac:dyDescent="0.15">
      <c r="B480" s="302"/>
      <c r="C480" s="325">
        <v>467</v>
      </c>
      <c r="D480" s="999"/>
      <c r="E480" s="1000"/>
      <c r="F480" s="1000"/>
      <c r="G480" s="1000"/>
      <c r="H480" s="1000"/>
      <c r="I480" s="1000"/>
      <c r="J480" s="1001"/>
      <c r="K480" s="302"/>
      <c r="L480" s="364"/>
      <c r="M480" s="332"/>
      <c r="N480" s="333"/>
      <c r="O480" s="340"/>
      <c r="P480" s="341"/>
      <c r="Q480" s="348"/>
      <c r="R480" s="349"/>
      <c r="S480" s="358"/>
      <c r="T480" s="359"/>
      <c r="U480" s="302"/>
    </row>
    <row r="481" spans="2:21" ht="14.1" customHeight="1" x14ac:dyDescent="0.15">
      <c r="B481" s="302"/>
      <c r="C481" s="325">
        <v>468</v>
      </c>
      <c r="D481" s="999"/>
      <c r="E481" s="1000"/>
      <c r="F481" s="1000"/>
      <c r="G481" s="1000"/>
      <c r="H481" s="1000"/>
      <c r="I481" s="1000"/>
      <c r="J481" s="1001"/>
      <c r="K481" s="302"/>
      <c r="L481" s="364"/>
      <c r="M481" s="332"/>
      <c r="N481" s="333"/>
      <c r="O481" s="340"/>
      <c r="P481" s="341"/>
      <c r="Q481" s="348"/>
      <c r="R481" s="349"/>
      <c r="S481" s="358"/>
      <c r="T481" s="359"/>
      <c r="U481" s="302"/>
    </row>
    <row r="482" spans="2:21" ht="14.1" customHeight="1" x14ac:dyDescent="0.15">
      <c r="B482" s="302"/>
      <c r="C482" s="325">
        <v>469</v>
      </c>
      <c r="D482" s="999"/>
      <c r="E482" s="1000"/>
      <c r="F482" s="1000"/>
      <c r="G482" s="1000"/>
      <c r="H482" s="1000"/>
      <c r="I482" s="1000"/>
      <c r="J482" s="1001"/>
      <c r="K482" s="302"/>
      <c r="L482" s="364"/>
      <c r="M482" s="332"/>
      <c r="N482" s="333"/>
      <c r="O482" s="340"/>
      <c r="P482" s="341"/>
      <c r="Q482" s="348"/>
      <c r="R482" s="349"/>
      <c r="S482" s="358"/>
      <c r="T482" s="359"/>
      <c r="U482" s="302"/>
    </row>
    <row r="483" spans="2:21" ht="14.1" customHeight="1" x14ac:dyDescent="0.15">
      <c r="B483" s="302"/>
      <c r="C483" s="325">
        <v>470</v>
      </c>
      <c r="D483" s="999"/>
      <c r="E483" s="1000"/>
      <c r="F483" s="1000"/>
      <c r="G483" s="1000"/>
      <c r="H483" s="1000"/>
      <c r="I483" s="1000"/>
      <c r="J483" s="1001"/>
      <c r="K483" s="302"/>
      <c r="L483" s="364"/>
      <c r="M483" s="332"/>
      <c r="N483" s="333"/>
      <c r="O483" s="340"/>
      <c r="P483" s="341"/>
      <c r="Q483" s="348"/>
      <c r="R483" s="349"/>
      <c r="S483" s="358"/>
      <c r="T483" s="359"/>
      <c r="U483" s="302"/>
    </row>
    <row r="484" spans="2:21" ht="14.1" customHeight="1" x14ac:dyDescent="0.15">
      <c r="B484" s="302"/>
      <c r="C484" s="325">
        <v>471</v>
      </c>
      <c r="D484" s="999"/>
      <c r="E484" s="1000"/>
      <c r="F484" s="1000"/>
      <c r="G484" s="1000"/>
      <c r="H484" s="1000"/>
      <c r="I484" s="1000"/>
      <c r="J484" s="1001"/>
      <c r="K484" s="302"/>
      <c r="L484" s="364"/>
      <c r="M484" s="332"/>
      <c r="N484" s="333"/>
      <c r="O484" s="340"/>
      <c r="P484" s="341"/>
      <c r="Q484" s="348"/>
      <c r="R484" s="349"/>
      <c r="S484" s="358"/>
      <c r="T484" s="359"/>
      <c r="U484" s="302"/>
    </row>
    <row r="485" spans="2:21" ht="14.1" customHeight="1" x14ac:dyDescent="0.15">
      <c r="B485" s="302"/>
      <c r="C485" s="325">
        <v>472</v>
      </c>
      <c r="D485" s="999"/>
      <c r="E485" s="1000"/>
      <c r="F485" s="1000"/>
      <c r="G485" s="1000"/>
      <c r="H485" s="1000"/>
      <c r="I485" s="1000"/>
      <c r="J485" s="1001"/>
      <c r="K485" s="302"/>
      <c r="L485" s="364"/>
      <c r="M485" s="332"/>
      <c r="N485" s="333"/>
      <c r="O485" s="340"/>
      <c r="P485" s="341"/>
      <c r="Q485" s="348"/>
      <c r="R485" s="349"/>
      <c r="S485" s="358"/>
      <c r="T485" s="359"/>
      <c r="U485" s="302"/>
    </row>
    <row r="486" spans="2:21" ht="14.1" customHeight="1" x14ac:dyDescent="0.15">
      <c r="B486" s="302"/>
      <c r="C486" s="325">
        <v>473</v>
      </c>
      <c r="D486" s="999"/>
      <c r="E486" s="1000"/>
      <c r="F486" s="1000"/>
      <c r="G486" s="1000"/>
      <c r="H486" s="1000"/>
      <c r="I486" s="1000"/>
      <c r="J486" s="1001"/>
      <c r="K486" s="302"/>
      <c r="L486" s="364"/>
      <c r="M486" s="332"/>
      <c r="N486" s="333"/>
      <c r="O486" s="340"/>
      <c r="P486" s="341"/>
      <c r="Q486" s="348"/>
      <c r="R486" s="349"/>
      <c r="S486" s="358"/>
      <c r="T486" s="359"/>
      <c r="U486" s="302"/>
    </row>
    <row r="487" spans="2:21" ht="14.1" customHeight="1" x14ac:dyDescent="0.15">
      <c r="B487" s="302"/>
      <c r="C487" s="325">
        <v>474</v>
      </c>
      <c r="D487" s="999"/>
      <c r="E487" s="1000"/>
      <c r="F487" s="1000"/>
      <c r="G487" s="1000"/>
      <c r="H487" s="1000"/>
      <c r="I487" s="1000"/>
      <c r="J487" s="1001"/>
      <c r="K487" s="302"/>
      <c r="L487" s="364"/>
      <c r="M487" s="332"/>
      <c r="N487" s="333"/>
      <c r="O487" s="340"/>
      <c r="P487" s="341"/>
      <c r="Q487" s="348"/>
      <c r="R487" s="349"/>
      <c r="S487" s="358"/>
      <c r="T487" s="359"/>
      <c r="U487" s="302"/>
    </row>
    <row r="488" spans="2:21" ht="14.1" customHeight="1" x14ac:dyDescent="0.15">
      <c r="B488" s="302"/>
      <c r="C488" s="325">
        <v>475</v>
      </c>
      <c r="D488" s="999"/>
      <c r="E488" s="1000"/>
      <c r="F488" s="1000"/>
      <c r="G488" s="1000"/>
      <c r="H488" s="1000"/>
      <c r="I488" s="1000"/>
      <c r="J488" s="1001"/>
      <c r="K488" s="302"/>
      <c r="L488" s="364"/>
      <c r="M488" s="332"/>
      <c r="N488" s="333"/>
      <c r="O488" s="340"/>
      <c r="P488" s="341"/>
      <c r="Q488" s="348"/>
      <c r="R488" s="349"/>
      <c r="S488" s="358"/>
      <c r="T488" s="359"/>
      <c r="U488" s="302"/>
    </row>
    <row r="489" spans="2:21" ht="14.1" customHeight="1" x14ac:dyDescent="0.15">
      <c r="B489" s="302"/>
      <c r="C489" s="325">
        <v>476</v>
      </c>
      <c r="D489" s="999"/>
      <c r="E489" s="1000"/>
      <c r="F489" s="1000"/>
      <c r="G489" s="1000"/>
      <c r="H489" s="1000"/>
      <c r="I489" s="1000"/>
      <c r="J489" s="1001"/>
      <c r="K489" s="302"/>
      <c r="L489" s="364"/>
      <c r="M489" s="332"/>
      <c r="N489" s="333"/>
      <c r="O489" s="340"/>
      <c r="P489" s="341"/>
      <c r="Q489" s="348"/>
      <c r="R489" s="349"/>
      <c r="S489" s="358"/>
      <c r="T489" s="359"/>
      <c r="U489" s="302"/>
    </row>
    <row r="490" spans="2:21" ht="14.1" customHeight="1" x14ac:dyDescent="0.15">
      <c r="B490" s="302"/>
      <c r="C490" s="325">
        <v>477</v>
      </c>
      <c r="D490" s="999"/>
      <c r="E490" s="1000"/>
      <c r="F490" s="1000"/>
      <c r="G490" s="1000"/>
      <c r="H490" s="1000"/>
      <c r="I490" s="1000"/>
      <c r="J490" s="1001"/>
      <c r="K490" s="302"/>
      <c r="L490" s="364"/>
      <c r="M490" s="332"/>
      <c r="N490" s="333"/>
      <c r="O490" s="340"/>
      <c r="P490" s="341"/>
      <c r="Q490" s="348"/>
      <c r="R490" s="349"/>
      <c r="S490" s="358"/>
      <c r="T490" s="359"/>
      <c r="U490" s="302"/>
    </row>
    <row r="491" spans="2:21" ht="14.1" customHeight="1" x14ac:dyDescent="0.15">
      <c r="B491" s="302"/>
      <c r="C491" s="325">
        <v>478</v>
      </c>
      <c r="D491" s="999"/>
      <c r="E491" s="1000"/>
      <c r="F491" s="1000"/>
      <c r="G491" s="1000"/>
      <c r="H491" s="1000"/>
      <c r="I491" s="1000"/>
      <c r="J491" s="1001"/>
      <c r="K491" s="302"/>
      <c r="L491" s="364"/>
      <c r="M491" s="332"/>
      <c r="N491" s="333"/>
      <c r="O491" s="340"/>
      <c r="P491" s="341"/>
      <c r="Q491" s="348"/>
      <c r="R491" s="349"/>
      <c r="S491" s="358"/>
      <c r="T491" s="359"/>
      <c r="U491" s="302"/>
    </row>
    <row r="492" spans="2:21" ht="14.1" customHeight="1" x14ac:dyDescent="0.15">
      <c r="B492" s="302"/>
      <c r="C492" s="325">
        <v>479</v>
      </c>
      <c r="D492" s="999"/>
      <c r="E492" s="1000"/>
      <c r="F492" s="1000"/>
      <c r="G492" s="1000"/>
      <c r="H492" s="1000"/>
      <c r="I492" s="1000"/>
      <c r="J492" s="1001"/>
      <c r="K492" s="302"/>
      <c r="L492" s="364"/>
      <c r="M492" s="332"/>
      <c r="N492" s="333"/>
      <c r="O492" s="340"/>
      <c r="P492" s="341"/>
      <c r="Q492" s="348"/>
      <c r="R492" s="349"/>
      <c r="S492" s="358"/>
      <c r="T492" s="359"/>
      <c r="U492" s="302"/>
    </row>
    <row r="493" spans="2:21" ht="14.1" customHeight="1" x14ac:dyDescent="0.15">
      <c r="B493" s="302"/>
      <c r="C493" s="325">
        <v>480</v>
      </c>
      <c r="D493" s="999"/>
      <c r="E493" s="1000"/>
      <c r="F493" s="1000"/>
      <c r="G493" s="1000"/>
      <c r="H493" s="1000"/>
      <c r="I493" s="1000"/>
      <c r="J493" s="1001"/>
      <c r="K493" s="302"/>
      <c r="L493" s="364"/>
      <c r="M493" s="332"/>
      <c r="N493" s="333"/>
      <c r="O493" s="340"/>
      <c r="P493" s="341"/>
      <c r="Q493" s="348"/>
      <c r="R493" s="349"/>
      <c r="S493" s="358"/>
      <c r="T493" s="359"/>
      <c r="U493" s="302"/>
    </row>
    <row r="494" spans="2:21" ht="14.1" customHeight="1" x14ac:dyDescent="0.15">
      <c r="B494" s="302"/>
      <c r="C494" s="325">
        <v>481</v>
      </c>
      <c r="D494" s="999"/>
      <c r="E494" s="1000"/>
      <c r="F494" s="1000"/>
      <c r="G494" s="1000"/>
      <c r="H494" s="1000"/>
      <c r="I494" s="1000"/>
      <c r="J494" s="1001"/>
      <c r="K494" s="302"/>
      <c r="L494" s="364"/>
      <c r="M494" s="332"/>
      <c r="N494" s="333"/>
      <c r="O494" s="340"/>
      <c r="P494" s="341"/>
      <c r="Q494" s="348"/>
      <c r="R494" s="349"/>
      <c r="S494" s="358"/>
      <c r="T494" s="359"/>
      <c r="U494" s="302"/>
    </row>
    <row r="495" spans="2:21" ht="14.1" customHeight="1" x14ac:dyDescent="0.15">
      <c r="B495" s="302"/>
      <c r="C495" s="325">
        <v>482</v>
      </c>
      <c r="D495" s="999"/>
      <c r="E495" s="1000"/>
      <c r="F495" s="1000"/>
      <c r="G495" s="1000"/>
      <c r="H495" s="1000"/>
      <c r="I495" s="1000"/>
      <c r="J495" s="1001"/>
      <c r="K495" s="302"/>
      <c r="L495" s="364"/>
      <c r="M495" s="332"/>
      <c r="N495" s="333"/>
      <c r="O495" s="340"/>
      <c r="P495" s="341"/>
      <c r="Q495" s="348"/>
      <c r="R495" s="349"/>
      <c r="S495" s="358"/>
      <c r="T495" s="359"/>
      <c r="U495" s="302"/>
    </row>
    <row r="496" spans="2:21" ht="14.1" customHeight="1" x14ac:dyDescent="0.15">
      <c r="B496" s="302"/>
      <c r="C496" s="325">
        <v>483</v>
      </c>
      <c r="D496" s="999"/>
      <c r="E496" s="1000"/>
      <c r="F496" s="1000"/>
      <c r="G496" s="1000"/>
      <c r="H496" s="1000"/>
      <c r="I496" s="1000"/>
      <c r="J496" s="1001"/>
      <c r="K496" s="302"/>
      <c r="L496" s="364"/>
      <c r="M496" s="332"/>
      <c r="N496" s="333"/>
      <c r="O496" s="340"/>
      <c r="P496" s="341"/>
      <c r="Q496" s="348"/>
      <c r="R496" s="349"/>
      <c r="S496" s="358"/>
      <c r="T496" s="359"/>
      <c r="U496" s="302"/>
    </row>
    <row r="497" spans="2:21" ht="14.1" customHeight="1" x14ac:dyDescent="0.15">
      <c r="B497" s="302"/>
      <c r="C497" s="325">
        <v>484</v>
      </c>
      <c r="D497" s="999"/>
      <c r="E497" s="1000"/>
      <c r="F497" s="1000"/>
      <c r="G497" s="1000"/>
      <c r="H497" s="1000"/>
      <c r="I497" s="1000"/>
      <c r="J497" s="1001"/>
      <c r="K497" s="302"/>
      <c r="L497" s="364"/>
      <c r="M497" s="332"/>
      <c r="N497" s="333"/>
      <c r="O497" s="340"/>
      <c r="P497" s="341"/>
      <c r="Q497" s="348"/>
      <c r="R497" s="349"/>
      <c r="S497" s="358"/>
      <c r="T497" s="359"/>
      <c r="U497" s="302"/>
    </row>
    <row r="498" spans="2:21" ht="14.1" customHeight="1" x14ac:dyDescent="0.15">
      <c r="B498" s="302"/>
      <c r="C498" s="325">
        <v>485</v>
      </c>
      <c r="D498" s="999"/>
      <c r="E498" s="1000"/>
      <c r="F498" s="1000"/>
      <c r="G498" s="1000"/>
      <c r="H498" s="1000"/>
      <c r="I498" s="1000"/>
      <c r="J498" s="1001"/>
      <c r="K498" s="302"/>
      <c r="L498" s="364"/>
      <c r="M498" s="332"/>
      <c r="N498" s="333"/>
      <c r="O498" s="340"/>
      <c r="P498" s="341"/>
      <c r="Q498" s="348"/>
      <c r="R498" s="349"/>
      <c r="S498" s="358"/>
      <c r="T498" s="359"/>
      <c r="U498" s="302"/>
    </row>
    <row r="499" spans="2:21" ht="14.1" customHeight="1" x14ac:dyDescent="0.15">
      <c r="B499" s="302"/>
      <c r="C499" s="325">
        <v>486</v>
      </c>
      <c r="D499" s="999"/>
      <c r="E499" s="1000"/>
      <c r="F499" s="1000"/>
      <c r="G499" s="1000"/>
      <c r="H499" s="1000"/>
      <c r="I499" s="1000"/>
      <c r="J499" s="1001"/>
      <c r="K499" s="302"/>
      <c r="L499" s="364"/>
      <c r="M499" s="332"/>
      <c r="N499" s="333"/>
      <c r="O499" s="340"/>
      <c r="P499" s="341"/>
      <c r="Q499" s="348"/>
      <c r="R499" s="349"/>
      <c r="S499" s="358"/>
      <c r="T499" s="359"/>
      <c r="U499" s="302"/>
    </row>
    <row r="500" spans="2:21" ht="14.1" customHeight="1" x14ac:dyDescent="0.15">
      <c r="B500" s="302"/>
      <c r="C500" s="325">
        <v>487</v>
      </c>
      <c r="D500" s="999"/>
      <c r="E500" s="1000"/>
      <c r="F500" s="1000"/>
      <c r="G500" s="1000"/>
      <c r="H500" s="1000"/>
      <c r="I500" s="1000"/>
      <c r="J500" s="1001"/>
      <c r="K500" s="302"/>
      <c r="L500" s="364"/>
      <c r="M500" s="332"/>
      <c r="N500" s="333"/>
      <c r="O500" s="340"/>
      <c r="P500" s="341"/>
      <c r="Q500" s="348"/>
      <c r="R500" s="349"/>
      <c r="S500" s="358"/>
      <c r="T500" s="359"/>
      <c r="U500" s="302"/>
    </row>
    <row r="501" spans="2:21" ht="14.1" customHeight="1" x14ac:dyDescent="0.15">
      <c r="B501" s="302"/>
      <c r="C501" s="325">
        <v>488</v>
      </c>
      <c r="D501" s="999"/>
      <c r="E501" s="1000"/>
      <c r="F501" s="1000"/>
      <c r="G501" s="1000"/>
      <c r="H501" s="1000"/>
      <c r="I501" s="1000"/>
      <c r="J501" s="1001"/>
      <c r="K501" s="302"/>
      <c r="L501" s="364"/>
      <c r="M501" s="332"/>
      <c r="N501" s="333"/>
      <c r="O501" s="340"/>
      <c r="P501" s="341"/>
      <c r="Q501" s="348"/>
      <c r="R501" s="349"/>
      <c r="S501" s="358"/>
      <c r="T501" s="359"/>
      <c r="U501" s="302"/>
    </row>
    <row r="502" spans="2:21" ht="14.1" customHeight="1" x14ac:dyDescent="0.15">
      <c r="B502" s="302"/>
      <c r="C502" s="325">
        <v>489</v>
      </c>
      <c r="D502" s="999"/>
      <c r="E502" s="1000"/>
      <c r="F502" s="1000"/>
      <c r="G502" s="1000"/>
      <c r="H502" s="1000"/>
      <c r="I502" s="1000"/>
      <c r="J502" s="1001"/>
      <c r="K502" s="302"/>
      <c r="L502" s="364"/>
      <c r="M502" s="332"/>
      <c r="N502" s="333"/>
      <c r="O502" s="340"/>
      <c r="P502" s="341"/>
      <c r="Q502" s="348"/>
      <c r="R502" s="349"/>
      <c r="S502" s="358"/>
      <c r="T502" s="359"/>
      <c r="U502" s="302"/>
    </row>
    <row r="503" spans="2:21" ht="14.1" customHeight="1" x14ac:dyDescent="0.15">
      <c r="B503" s="302"/>
      <c r="C503" s="325">
        <v>490</v>
      </c>
      <c r="D503" s="999"/>
      <c r="E503" s="1000"/>
      <c r="F503" s="1000"/>
      <c r="G503" s="1000"/>
      <c r="H503" s="1000"/>
      <c r="I503" s="1000"/>
      <c r="J503" s="1001"/>
      <c r="K503" s="302"/>
      <c r="L503" s="364"/>
      <c r="M503" s="332"/>
      <c r="N503" s="333"/>
      <c r="O503" s="340"/>
      <c r="P503" s="341"/>
      <c r="Q503" s="348"/>
      <c r="R503" s="349"/>
      <c r="S503" s="358"/>
      <c r="T503" s="359"/>
      <c r="U503" s="302"/>
    </row>
    <row r="504" spans="2:21" ht="14.1" customHeight="1" x14ac:dyDescent="0.15">
      <c r="B504" s="302"/>
      <c r="C504" s="325">
        <v>491</v>
      </c>
      <c r="D504" s="999"/>
      <c r="E504" s="1000"/>
      <c r="F504" s="1000"/>
      <c r="G504" s="1000"/>
      <c r="H504" s="1000"/>
      <c r="I504" s="1000"/>
      <c r="J504" s="1001"/>
      <c r="K504" s="302"/>
      <c r="L504" s="364"/>
      <c r="M504" s="332"/>
      <c r="N504" s="333"/>
      <c r="O504" s="340"/>
      <c r="P504" s="341"/>
      <c r="Q504" s="348"/>
      <c r="R504" s="349"/>
      <c r="S504" s="358"/>
      <c r="T504" s="359"/>
      <c r="U504" s="302"/>
    </row>
    <row r="505" spans="2:21" ht="14.1" customHeight="1" x14ac:dyDescent="0.15">
      <c r="B505" s="302"/>
      <c r="C505" s="325">
        <v>492</v>
      </c>
      <c r="D505" s="999"/>
      <c r="E505" s="1000"/>
      <c r="F505" s="1000"/>
      <c r="G505" s="1000"/>
      <c r="H505" s="1000"/>
      <c r="I505" s="1000"/>
      <c r="J505" s="1001"/>
      <c r="K505" s="302"/>
      <c r="L505" s="364"/>
      <c r="M505" s="332"/>
      <c r="N505" s="333"/>
      <c r="O505" s="340"/>
      <c r="P505" s="341"/>
      <c r="Q505" s="348"/>
      <c r="R505" s="349"/>
      <c r="S505" s="358"/>
      <c r="T505" s="359"/>
      <c r="U505" s="302"/>
    </row>
    <row r="506" spans="2:21" ht="14.1" customHeight="1" x14ac:dyDescent="0.15">
      <c r="B506" s="302"/>
      <c r="C506" s="325">
        <v>493</v>
      </c>
      <c r="D506" s="999"/>
      <c r="E506" s="1000"/>
      <c r="F506" s="1000"/>
      <c r="G506" s="1000"/>
      <c r="H506" s="1000"/>
      <c r="I506" s="1000"/>
      <c r="J506" s="1001"/>
      <c r="K506" s="302"/>
      <c r="L506" s="364"/>
      <c r="M506" s="332"/>
      <c r="N506" s="333"/>
      <c r="O506" s="340"/>
      <c r="P506" s="341"/>
      <c r="Q506" s="348"/>
      <c r="R506" s="349"/>
      <c r="S506" s="358"/>
      <c r="T506" s="359"/>
      <c r="U506" s="302"/>
    </row>
    <row r="507" spans="2:21" ht="14.1" customHeight="1" x14ac:dyDescent="0.15">
      <c r="B507" s="302"/>
      <c r="C507" s="325">
        <v>494</v>
      </c>
      <c r="D507" s="999"/>
      <c r="E507" s="1000"/>
      <c r="F507" s="1000"/>
      <c r="G507" s="1000"/>
      <c r="H507" s="1000"/>
      <c r="I507" s="1000"/>
      <c r="J507" s="1001"/>
      <c r="K507" s="302"/>
      <c r="L507" s="364"/>
      <c r="M507" s="332"/>
      <c r="N507" s="333"/>
      <c r="O507" s="340"/>
      <c r="P507" s="341"/>
      <c r="Q507" s="348"/>
      <c r="R507" s="349"/>
      <c r="S507" s="358"/>
      <c r="T507" s="359"/>
      <c r="U507" s="302"/>
    </row>
    <row r="508" spans="2:21" ht="14.1" customHeight="1" x14ac:dyDescent="0.15">
      <c r="B508" s="302"/>
      <c r="C508" s="325">
        <v>495</v>
      </c>
      <c r="D508" s="999"/>
      <c r="E508" s="1000"/>
      <c r="F508" s="1000"/>
      <c r="G508" s="1000"/>
      <c r="H508" s="1000"/>
      <c r="I508" s="1000"/>
      <c r="J508" s="1001"/>
      <c r="K508" s="302"/>
      <c r="L508" s="364"/>
      <c r="M508" s="332"/>
      <c r="N508" s="333"/>
      <c r="O508" s="340"/>
      <c r="P508" s="341"/>
      <c r="Q508" s="348"/>
      <c r="R508" s="349"/>
      <c r="S508" s="358"/>
      <c r="T508" s="359"/>
      <c r="U508" s="302"/>
    </row>
    <row r="509" spans="2:21" ht="14.1" customHeight="1" x14ac:dyDescent="0.15">
      <c r="B509" s="302"/>
      <c r="C509" s="325">
        <v>496</v>
      </c>
      <c r="D509" s="999"/>
      <c r="E509" s="1000"/>
      <c r="F509" s="1000"/>
      <c r="G509" s="1000"/>
      <c r="H509" s="1000"/>
      <c r="I509" s="1000"/>
      <c r="J509" s="1001"/>
      <c r="K509" s="302"/>
      <c r="L509" s="364"/>
      <c r="M509" s="332"/>
      <c r="N509" s="333"/>
      <c r="O509" s="340"/>
      <c r="P509" s="341"/>
      <c r="Q509" s="348"/>
      <c r="R509" s="349"/>
      <c r="S509" s="358"/>
      <c r="T509" s="359"/>
      <c r="U509" s="302"/>
    </row>
    <row r="510" spans="2:21" ht="14.1" customHeight="1" x14ac:dyDescent="0.15">
      <c r="B510" s="302"/>
      <c r="C510" s="325">
        <v>497</v>
      </c>
      <c r="D510" s="999"/>
      <c r="E510" s="1000"/>
      <c r="F510" s="1000"/>
      <c r="G510" s="1000"/>
      <c r="H510" s="1000"/>
      <c r="I510" s="1000"/>
      <c r="J510" s="1001"/>
      <c r="K510" s="302"/>
      <c r="L510" s="364"/>
      <c r="M510" s="332"/>
      <c r="N510" s="333"/>
      <c r="O510" s="340"/>
      <c r="P510" s="341"/>
      <c r="Q510" s="348"/>
      <c r="R510" s="349"/>
      <c r="S510" s="358"/>
      <c r="T510" s="359"/>
      <c r="U510" s="302"/>
    </row>
    <row r="511" spans="2:21" ht="14.1" customHeight="1" x14ac:dyDescent="0.15">
      <c r="B511" s="302"/>
      <c r="C511" s="325">
        <v>498</v>
      </c>
      <c r="D511" s="999"/>
      <c r="E511" s="1000"/>
      <c r="F511" s="1000"/>
      <c r="G511" s="1000"/>
      <c r="H511" s="1000"/>
      <c r="I511" s="1000"/>
      <c r="J511" s="1001"/>
      <c r="K511" s="302"/>
      <c r="L511" s="364"/>
      <c r="M511" s="332"/>
      <c r="N511" s="333"/>
      <c r="O511" s="340"/>
      <c r="P511" s="341"/>
      <c r="Q511" s="348"/>
      <c r="R511" s="349"/>
      <c r="S511" s="358"/>
      <c r="T511" s="359"/>
      <c r="U511" s="302"/>
    </row>
    <row r="512" spans="2:21" ht="14.1" customHeight="1" x14ac:dyDescent="0.15">
      <c r="B512" s="302"/>
      <c r="C512" s="325">
        <v>499</v>
      </c>
      <c r="D512" s="999"/>
      <c r="E512" s="1000"/>
      <c r="F512" s="1000"/>
      <c r="G512" s="1000"/>
      <c r="H512" s="1000"/>
      <c r="I512" s="1000"/>
      <c r="J512" s="1001"/>
      <c r="K512" s="302"/>
      <c r="L512" s="364"/>
      <c r="M512" s="332"/>
      <c r="N512" s="333"/>
      <c r="O512" s="340"/>
      <c r="P512" s="341"/>
      <c r="Q512" s="348"/>
      <c r="R512" s="349"/>
      <c r="S512" s="358"/>
      <c r="T512" s="359"/>
      <c r="U512" s="302"/>
    </row>
    <row r="513" spans="2:21" ht="14.1" customHeight="1" thickBot="1" x14ac:dyDescent="0.2">
      <c r="B513" s="302"/>
      <c r="C513" s="326">
        <v>500</v>
      </c>
      <c r="D513" s="1002"/>
      <c r="E513" s="1003"/>
      <c r="F513" s="1003"/>
      <c r="G513" s="1003"/>
      <c r="H513" s="1003"/>
      <c r="I513" s="1003"/>
      <c r="J513" s="1004"/>
      <c r="K513" s="302"/>
      <c r="L513" s="365"/>
      <c r="M513" s="334"/>
      <c r="N513" s="335"/>
      <c r="O513" s="342"/>
      <c r="P513" s="343"/>
      <c r="Q513" s="350"/>
      <c r="R513" s="351"/>
      <c r="S513" s="360"/>
      <c r="T513" s="361"/>
      <c r="U513" s="302"/>
    </row>
    <row r="514" spans="2:21" ht="14.1" customHeight="1" x14ac:dyDescent="0.15">
      <c r="B514" s="302"/>
      <c r="C514" s="302"/>
      <c r="D514" s="302"/>
      <c r="E514" s="302"/>
      <c r="F514" s="302"/>
      <c r="G514" s="302"/>
      <c r="H514" s="302"/>
      <c r="I514" s="302"/>
      <c r="J514" s="302"/>
      <c r="K514" s="302"/>
      <c r="L514" s="302"/>
      <c r="M514" s="302"/>
      <c r="N514" s="302"/>
      <c r="O514" s="302"/>
      <c r="P514" s="302"/>
      <c r="Q514" s="302"/>
      <c r="R514" s="302"/>
      <c r="S514" s="302"/>
      <c r="T514" s="302"/>
      <c r="U514" s="302"/>
    </row>
    <row r="65359" ht="12.75" customHeight="1" x14ac:dyDescent="0.15"/>
    <row r="65360" ht="12.75" customHeight="1" x14ac:dyDescent="0.15"/>
    <row r="65361" ht="12.75" customHeight="1" x14ac:dyDescent="0.15"/>
    <row r="65362" ht="12.75" customHeight="1" x14ac:dyDescent="0.15"/>
    <row r="65363" ht="12.75" customHeight="1" x14ac:dyDescent="0.15"/>
    <row r="65364" ht="12.75" customHeight="1" x14ac:dyDescent="0.15"/>
    <row r="65365" ht="12.75" customHeight="1" x14ac:dyDescent="0.15"/>
    <row r="65366" ht="12.75" customHeight="1" x14ac:dyDescent="0.15"/>
    <row r="65367" ht="12.75" customHeight="1" x14ac:dyDescent="0.15"/>
    <row r="65368" ht="12.75" customHeight="1" x14ac:dyDescent="0.15"/>
    <row r="65369" ht="12.75" customHeight="1" x14ac:dyDescent="0.15"/>
    <row r="65370" ht="12.75" customHeight="1" x14ac:dyDescent="0.15"/>
    <row r="65371" ht="12.75" customHeight="1" x14ac:dyDescent="0.15"/>
    <row r="65372" ht="12.75" customHeight="1" x14ac:dyDescent="0.15"/>
    <row r="65373" ht="12.75" customHeight="1" x14ac:dyDescent="0.15"/>
    <row r="65374" ht="12.75" customHeight="1" x14ac:dyDescent="0.15"/>
    <row r="65375" ht="12.75" customHeight="1" x14ac:dyDescent="0.15"/>
    <row r="65376" ht="12.75" customHeight="1" x14ac:dyDescent="0.15"/>
    <row r="65377" ht="12.75" customHeight="1" x14ac:dyDescent="0.15"/>
    <row r="65378" ht="12.75" customHeight="1" x14ac:dyDescent="0.15"/>
    <row r="65379" ht="12.75" customHeight="1" x14ac:dyDescent="0.15"/>
    <row r="65380" ht="12.75" customHeight="1" x14ac:dyDescent="0.15"/>
    <row r="65381" ht="12.75" customHeight="1" x14ac:dyDescent="0.15"/>
    <row r="65382" ht="12.75" customHeight="1" x14ac:dyDescent="0.15"/>
    <row r="65383" ht="12.75" customHeight="1" x14ac:dyDescent="0.15"/>
    <row r="65384" ht="12.75" customHeight="1" x14ac:dyDescent="0.15"/>
    <row r="65385" ht="12.75" customHeight="1" x14ac:dyDescent="0.15"/>
    <row r="65386" ht="12.75" customHeight="1" x14ac:dyDescent="0.15"/>
    <row r="65387" ht="12.75" customHeight="1" x14ac:dyDescent="0.15"/>
    <row r="65388" ht="12.75" customHeight="1" x14ac:dyDescent="0.15"/>
    <row r="65389" ht="12.75" customHeight="1" x14ac:dyDescent="0.15"/>
    <row r="65390" ht="12.75" customHeight="1" x14ac:dyDescent="0.15"/>
    <row r="65391" ht="12.75" customHeight="1" x14ac:dyDescent="0.15"/>
    <row r="65392" ht="12.75" customHeight="1" x14ac:dyDescent="0.15"/>
    <row r="65393" ht="12.75" customHeight="1" x14ac:dyDescent="0.15"/>
    <row r="65394" ht="12.75" customHeight="1" x14ac:dyDescent="0.15"/>
    <row r="65395" ht="12.75" customHeight="1" x14ac:dyDescent="0.15"/>
    <row r="65396" ht="12.75" customHeight="1" x14ac:dyDescent="0.15"/>
    <row r="65397" ht="12.75" customHeight="1" x14ac:dyDescent="0.15"/>
    <row r="65398" ht="12.75" customHeight="1" x14ac:dyDescent="0.15"/>
    <row r="65399" ht="12.75" customHeight="1" x14ac:dyDescent="0.15"/>
    <row r="65400" ht="12.75" customHeight="1" x14ac:dyDescent="0.15"/>
    <row r="65401" ht="12.75" customHeight="1" x14ac:dyDescent="0.15"/>
    <row r="65402" ht="12.75" customHeight="1" x14ac:dyDescent="0.15"/>
    <row r="65403" ht="12.75" customHeight="1" x14ac:dyDescent="0.15"/>
    <row r="65404" ht="12.75" customHeight="1" x14ac:dyDescent="0.15"/>
    <row r="65405" ht="12.75" customHeight="1" x14ac:dyDescent="0.15"/>
    <row r="65406" ht="12.75" customHeight="1" x14ac:dyDescent="0.15"/>
    <row r="65407" ht="12.75" customHeight="1" x14ac:dyDescent="0.15"/>
    <row r="65408" ht="12.75" customHeight="1" x14ac:dyDescent="0.15"/>
    <row r="65409" ht="12.75" customHeight="1" x14ac:dyDescent="0.15"/>
  </sheetData>
  <sheetProtection selectLockedCells="1" selectUnlockedCells="1"/>
  <mergeCells count="539">
    <mergeCell ref="D473:J473"/>
    <mergeCell ref="D419:J419"/>
    <mergeCell ref="D420:J420"/>
    <mergeCell ref="D421:J421"/>
    <mergeCell ref="D422:J422"/>
    <mergeCell ref="D423:J423"/>
    <mergeCell ref="D424:J424"/>
    <mergeCell ref="D425:J425"/>
    <mergeCell ref="D426:J426"/>
    <mergeCell ref="D427:J427"/>
    <mergeCell ref="D470:J470"/>
    <mergeCell ref="D435:J435"/>
    <mergeCell ref="D436:J436"/>
    <mergeCell ref="D439:J439"/>
    <mergeCell ref="D440:J440"/>
    <mergeCell ref="D441:J441"/>
    <mergeCell ref="D442:J442"/>
    <mergeCell ref="D443:J443"/>
    <mergeCell ref="D444:J444"/>
    <mergeCell ref="D445:J445"/>
    <mergeCell ref="D448:J448"/>
    <mergeCell ref="D449:J449"/>
    <mergeCell ref="D450:J450"/>
    <mergeCell ref="D451:J451"/>
    <mergeCell ref="D418:J418"/>
    <mergeCell ref="D502:J502"/>
    <mergeCell ref="D503:J503"/>
    <mergeCell ref="D504:J504"/>
    <mergeCell ref="D505:J505"/>
    <mergeCell ref="D453:J453"/>
    <mergeCell ref="D454:J454"/>
    <mergeCell ref="D455:J455"/>
    <mergeCell ref="D456:J456"/>
    <mergeCell ref="D457:J457"/>
    <mergeCell ref="D458:J458"/>
    <mergeCell ref="D459:J459"/>
    <mergeCell ref="D460:J460"/>
    <mergeCell ref="D461:J461"/>
    <mergeCell ref="D462:J462"/>
    <mergeCell ref="D463:J463"/>
    <mergeCell ref="D464:J464"/>
    <mergeCell ref="D465:J465"/>
    <mergeCell ref="D466:J466"/>
    <mergeCell ref="D467:J467"/>
    <mergeCell ref="D468:J468"/>
    <mergeCell ref="D469:J469"/>
    <mergeCell ref="D471:J471"/>
    <mergeCell ref="D472:J472"/>
    <mergeCell ref="D496:J496"/>
    <mergeCell ref="D497:J497"/>
    <mergeCell ref="D498:J498"/>
    <mergeCell ref="D499:J499"/>
    <mergeCell ref="D500:J500"/>
    <mergeCell ref="D501:J501"/>
    <mergeCell ref="D474:J474"/>
    <mergeCell ref="D475:J475"/>
    <mergeCell ref="D489:J489"/>
    <mergeCell ref="D490:J490"/>
    <mergeCell ref="D491:J491"/>
    <mergeCell ref="D492:J492"/>
    <mergeCell ref="D493:J493"/>
    <mergeCell ref="D494:J494"/>
    <mergeCell ref="D495:J495"/>
    <mergeCell ref="D339:J339"/>
    <mergeCell ref="D340:J340"/>
    <mergeCell ref="D318:J318"/>
    <mergeCell ref="D319:J319"/>
    <mergeCell ref="D320:J320"/>
    <mergeCell ref="D321:J321"/>
    <mergeCell ref="D322:J322"/>
    <mergeCell ref="D323:J323"/>
    <mergeCell ref="D324:J324"/>
    <mergeCell ref="D325:J325"/>
    <mergeCell ref="D326:J326"/>
    <mergeCell ref="D327:J327"/>
    <mergeCell ref="D328:J328"/>
    <mergeCell ref="D329:J329"/>
    <mergeCell ref="D330:J330"/>
    <mergeCell ref="D331:J331"/>
    <mergeCell ref="D332:J332"/>
    <mergeCell ref="D333:J333"/>
    <mergeCell ref="D334:J334"/>
    <mergeCell ref="D335:J335"/>
    <mergeCell ref="D336:J336"/>
    <mergeCell ref="D337:J337"/>
    <mergeCell ref="D338:J338"/>
    <mergeCell ref="D306:J306"/>
    <mergeCell ref="D307:J307"/>
    <mergeCell ref="D308:J308"/>
    <mergeCell ref="D309:J309"/>
    <mergeCell ref="D310:J310"/>
    <mergeCell ref="D311:J311"/>
    <mergeCell ref="D312:J312"/>
    <mergeCell ref="D313:J313"/>
    <mergeCell ref="D314:J314"/>
    <mergeCell ref="D297:J297"/>
    <mergeCell ref="D298:J298"/>
    <mergeCell ref="D299:J299"/>
    <mergeCell ref="D300:J300"/>
    <mergeCell ref="D301:J301"/>
    <mergeCell ref="D302:J302"/>
    <mergeCell ref="D303:J303"/>
    <mergeCell ref="D304:J304"/>
    <mergeCell ref="D305:J305"/>
    <mergeCell ref="D288:J288"/>
    <mergeCell ref="D289:J289"/>
    <mergeCell ref="D290:J290"/>
    <mergeCell ref="D291:J291"/>
    <mergeCell ref="D292:J292"/>
    <mergeCell ref="D293:J293"/>
    <mergeCell ref="D294:J294"/>
    <mergeCell ref="D295:J295"/>
    <mergeCell ref="D296:J296"/>
    <mergeCell ref="D257:J257"/>
    <mergeCell ref="D233:J233"/>
    <mergeCell ref="D234:J234"/>
    <mergeCell ref="D235:J235"/>
    <mergeCell ref="D236:J236"/>
    <mergeCell ref="D237:J237"/>
    <mergeCell ref="D238:J238"/>
    <mergeCell ref="D239:J239"/>
    <mergeCell ref="D240:J240"/>
    <mergeCell ref="D241:J241"/>
    <mergeCell ref="D242:J242"/>
    <mergeCell ref="D243:J243"/>
    <mergeCell ref="D244:J244"/>
    <mergeCell ref="D248:J248"/>
    <mergeCell ref="D249:J249"/>
    <mergeCell ref="D250:J250"/>
    <mergeCell ref="D251:J251"/>
    <mergeCell ref="D252:J252"/>
    <mergeCell ref="D253:J253"/>
    <mergeCell ref="D254:J254"/>
    <mergeCell ref="D255:J255"/>
    <mergeCell ref="D256:J256"/>
    <mergeCell ref="D225:J225"/>
    <mergeCell ref="D226:J226"/>
    <mergeCell ref="D227:J227"/>
    <mergeCell ref="D228:J228"/>
    <mergeCell ref="D229:J229"/>
    <mergeCell ref="D230:J230"/>
    <mergeCell ref="D245:J245"/>
    <mergeCell ref="D246:J246"/>
    <mergeCell ref="D247:J247"/>
    <mergeCell ref="D216:J216"/>
    <mergeCell ref="D217:J217"/>
    <mergeCell ref="D218:J218"/>
    <mergeCell ref="D219:J219"/>
    <mergeCell ref="D220:J220"/>
    <mergeCell ref="D221:J221"/>
    <mergeCell ref="D222:J222"/>
    <mergeCell ref="D223:J223"/>
    <mergeCell ref="D224:J224"/>
    <mergeCell ref="D179:J179"/>
    <mergeCell ref="D180:J180"/>
    <mergeCell ref="D181:J181"/>
    <mergeCell ref="D182:J182"/>
    <mergeCell ref="D183:J183"/>
    <mergeCell ref="D184:J184"/>
    <mergeCell ref="D165:J165"/>
    <mergeCell ref="D166:J166"/>
    <mergeCell ref="D167:J167"/>
    <mergeCell ref="D168:J168"/>
    <mergeCell ref="D169:J169"/>
    <mergeCell ref="D170:J170"/>
    <mergeCell ref="D171:J171"/>
    <mergeCell ref="D172:J172"/>
    <mergeCell ref="D173:J173"/>
    <mergeCell ref="D174:J174"/>
    <mergeCell ref="D175:J175"/>
    <mergeCell ref="D176:J176"/>
    <mergeCell ref="D177:J177"/>
    <mergeCell ref="D178:J178"/>
    <mergeCell ref="D105:J105"/>
    <mergeCell ref="D106:J106"/>
    <mergeCell ref="D107:J107"/>
    <mergeCell ref="D108:J108"/>
    <mergeCell ref="D137:J137"/>
    <mergeCell ref="D138:J138"/>
    <mergeCell ref="D139:J139"/>
    <mergeCell ref="D140:J140"/>
    <mergeCell ref="D141:J141"/>
    <mergeCell ref="D109:J109"/>
    <mergeCell ref="D110:J110"/>
    <mergeCell ref="D111:J111"/>
    <mergeCell ref="D112:J112"/>
    <mergeCell ref="D113:J113"/>
    <mergeCell ref="D96:J96"/>
    <mergeCell ref="D97:J97"/>
    <mergeCell ref="D98:J98"/>
    <mergeCell ref="D99:J99"/>
    <mergeCell ref="D100:J100"/>
    <mergeCell ref="D101:J101"/>
    <mergeCell ref="D102:J102"/>
    <mergeCell ref="D103:J103"/>
    <mergeCell ref="D104:J104"/>
    <mergeCell ref="D60:J60"/>
    <mergeCell ref="D61:J61"/>
    <mergeCell ref="D62:J62"/>
    <mergeCell ref="D75:J75"/>
    <mergeCell ref="D76:J76"/>
    <mergeCell ref="D63:J63"/>
    <mergeCell ref="D64:J64"/>
    <mergeCell ref="D65:J65"/>
    <mergeCell ref="D66:J66"/>
    <mergeCell ref="D67:J67"/>
    <mergeCell ref="D68:J68"/>
    <mergeCell ref="D69:J69"/>
    <mergeCell ref="D70:J70"/>
    <mergeCell ref="D71:J71"/>
    <mergeCell ref="D72:J72"/>
    <mergeCell ref="D73:J73"/>
    <mergeCell ref="D74:J74"/>
    <mergeCell ref="D51:J51"/>
    <mergeCell ref="D52:J52"/>
    <mergeCell ref="D53:J53"/>
    <mergeCell ref="D54:J54"/>
    <mergeCell ref="D55:J55"/>
    <mergeCell ref="D56:J56"/>
    <mergeCell ref="D57:J57"/>
    <mergeCell ref="D58:J58"/>
    <mergeCell ref="D59:J59"/>
    <mergeCell ref="D27:J27"/>
    <mergeCell ref="D28:J28"/>
    <mergeCell ref="D29:J29"/>
    <mergeCell ref="D30:J30"/>
    <mergeCell ref="D46:J46"/>
    <mergeCell ref="D47:J47"/>
    <mergeCell ref="D48:J48"/>
    <mergeCell ref="D49:J49"/>
    <mergeCell ref="D50:J50"/>
    <mergeCell ref="D37:J37"/>
    <mergeCell ref="D38:J38"/>
    <mergeCell ref="D39:J39"/>
    <mergeCell ref="D40:J40"/>
    <mergeCell ref="D41:J41"/>
    <mergeCell ref="D42:J42"/>
    <mergeCell ref="D43:J43"/>
    <mergeCell ref="D44:J44"/>
    <mergeCell ref="D45:J45"/>
    <mergeCell ref="D18:J18"/>
    <mergeCell ref="D19:J19"/>
    <mergeCell ref="D20:J20"/>
    <mergeCell ref="D21:J21"/>
    <mergeCell ref="D22:J22"/>
    <mergeCell ref="D23:J23"/>
    <mergeCell ref="D24:J24"/>
    <mergeCell ref="D25:J25"/>
    <mergeCell ref="D26:J26"/>
    <mergeCell ref="G2:H2"/>
    <mergeCell ref="K8:L8"/>
    <mergeCell ref="K9:L9"/>
    <mergeCell ref="O9:O10"/>
    <mergeCell ref="R9:R10"/>
    <mergeCell ref="Q11:T11"/>
    <mergeCell ref="D13:J13"/>
    <mergeCell ref="I2:I3"/>
    <mergeCell ref="I4:I5"/>
    <mergeCell ref="G9:H9"/>
    <mergeCell ref="M9:N9"/>
    <mergeCell ref="M11:N11"/>
    <mergeCell ref="I6:I7"/>
    <mergeCell ref="G3:H3"/>
    <mergeCell ref="G4:H4"/>
    <mergeCell ref="I10:J10"/>
    <mergeCell ref="I11:J11"/>
    <mergeCell ref="K10:L10"/>
    <mergeCell ref="K11:L11"/>
    <mergeCell ref="M8:N8"/>
    <mergeCell ref="M10:N10"/>
    <mergeCell ref="E2:F2"/>
    <mergeCell ref="E3:F3"/>
    <mergeCell ref="K2:K3"/>
    <mergeCell ref="O11:P11"/>
    <mergeCell ref="D31:J31"/>
    <mergeCell ref="D32:J32"/>
    <mergeCell ref="D33:J33"/>
    <mergeCell ref="D34:J34"/>
    <mergeCell ref="D35:J35"/>
    <mergeCell ref="D36:J36"/>
    <mergeCell ref="C3:D3"/>
    <mergeCell ref="E4:F4"/>
    <mergeCell ref="G8:H8"/>
    <mergeCell ref="D14:J14"/>
    <mergeCell ref="D15:J15"/>
    <mergeCell ref="K4:K5"/>
    <mergeCell ref="K6:K7"/>
    <mergeCell ref="M2:M3"/>
    <mergeCell ref="M4:M5"/>
    <mergeCell ref="M6:M7"/>
    <mergeCell ref="C4:D4"/>
    <mergeCell ref="I8:J9"/>
    <mergeCell ref="D10:F10"/>
    <mergeCell ref="D11:F11"/>
    <mergeCell ref="C2:D2"/>
    <mergeCell ref="D16:J16"/>
    <mergeCell ref="D17:J17"/>
    <mergeCell ref="D77:J77"/>
    <mergeCell ref="D78:J78"/>
    <mergeCell ref="D79:J79"/>
    <mergeCell ref="D80:J80"/>
    <mergeCell ref="D81:J81"/>
    <mergeCell ref="D82:J82"/>
    <mergeCell ref="D83:J83"/>
    <mergeCell ref="D84:J84"/>
    <mergeCell ref="D85:J85"/>
    <mergeCell ref="D86:J86"/>
    <mergeCell ref="D87:J87"/>
    <mergeCell ref="D88:J88"/>
    <mergeCell ref="D89:J89"/>
    <mergeCell ref="D90:J90"/>
    <mergeCell ref="D91:J91"/>
    <mergeCell ref="D92:J92"/>
    <mergeCell ref="D93:J93"/>
    <mergeCell ref="D94:J94"/>
    <mergeCell ref="D95:J95"/>
    <mergeCell ref="D157:J157"/>
    <mergeCell ref="D158:J158"/>
    <mergeCell ref="D159:J159"/>
    <mergeCell ref="D160:J160"/>
    <mergeCell ref="D161:J161"/>
    <mergeCell ref="D162:J162"/>
    <mergeCell ref="D163:J163"/>
    <mergeCell ref="D164:J164"/>
    <mergeCell ref="D122:J122"/>
    <mergeCell ref="D123:J123"/>
    <mergeCell ref="D124:J124"/>
    <mergeCell ref="D125:J125"/>
    <mergeCell ref="D126:J126"/>
    <mergeCell ref="D127:J127"/>
    <mergeCell ref="D128:J128"/>
    <mergeCell ref="D129:J129"/>
    <mergeCell ref="D130:J130"/>
    <mergeCell ref="D131:J131"/>
    <mergeCell ref="D132:J132"/>
    <mergeCell ref="D133:J133"/>
    <mergeCell ref="D134:J134"/>
    <mergeCell ref="D135:J135"/>
    <mergeCell ref="D136:J136"/>
    <mergeCell ref="D142:J142"/>
    <mergeCell ref="D114:J114"/>
    <mergeCell ref="D115:J115"/>
    <mergeCell ref="D116:J116"/>
    <mergeCell ref="D117:J117"/>
    <mergeCell ref="D118:J118"/>
    <mergeCell ref="D119:J119"/>
    <mergeCell ref="D120:J120"/>
    <mergeCell ref="D121:J121"/>
    <mergeCell ref="D156:J156"/>
    <mergeCell ref="D143:J143"/>
    <mergeCell ref="D144:J144"/>
    <mergeCell ref="D145:J145"/>
    <mergeCell ref="D146:J146"/>
    <mergeCell ref="D147:J147"/>
    <mergeCell ref="D148:J148"/>
    <mergeCell ref="D149:J149"/>
    <mergeCell ref="D150:J150"/>
    <mergeCell ref="D151:J151"/>
    <mergeCell ref="D152:J152"/>
    <mergeCell ref="D153:J153"/>
    <mergeCell ref="D154:J154"/>
    <mergeCell ref="D155:J155"/>
    <mergeCell ref="D196:J196"/>
    <mergeCell ref="D231:J231"/>
    <mergeCell ref="D232:J232"/>
    <mergeCell ref="D210:J210"/>
    <mergeCell ref="D211:J211"/>
    <mergeCell ref="D212:J212"/>
    <mergeCell ref="D213:J213"/>
    <mergeCell ref="D214:J214"/>
    <mergeCell ref="D185:J185"/>
    <mergeCell ref="D186:J186"/>
    <mergeCell ref="D197:J197"/>
    <mergeCell ref="D198:J198"/>
    <mergeCell ref="D199:J199"/>
    <mergeCell ref="D200:J200"/>
    <mergeCell ref="D201:J201"/>
    <mergeCell ref="D202:J202"/>
    <mergeCell ref="D203:J203"/>
    <mergeCell ref="D204:J204"/>
    <mergeCell ref="D205:J205"/>
    <mergeCell ref="D206:J206"/>
    <mergeCell ref="D207:J207"/>
    <mergeCell ref="D208:J208"/>
    <mergeCell ref="D209:J209"/>
    <mergeCell ref="D215:J215"/>
    <mergeCell ref="D187:J187"/>
    <mergeCell ref="D188:J188"/>
    <mergeCell ref="D189:J189"/>
    <mergeCell ref="D190:J190"/>
    <mergeCell ref="D191:J191"/>
    <mergeCell ref="D192:J192"/>
    <mergeCell ref="D193:J193"/>
    <mergeCell ref="D194:J194"/>
    <mergeCell ref="D195:J195"/>
    <mergeCell ref="D284:J284"/>
    <mergeCell ref="D285:J285"/>
    <mergeCell ref="D258:J258"/>
    <mergeCell ref="D259:J259"/>
    <mergeCell ref="D260:J260"/>
    <mergeCell ref="D261:J261"/>
    <mergeCell ref="D264:J264"/>
    <mergeCell ref="D265:J265"/>
    <mergeCell ref="D266:J266"/>
    <mergeCell ref="D267:J267"/>
    <mergeCell ref="D268:J268"/>
    <mergeCell ref="D262:J262"/>
    <mergeCell ref="D263:J263"/>
    <mergeCell ref="D452:J452"/>
    <mergeCell ref="D352:J352"/>
    <mergeCell ref="D353:J353"/>
    <mergeCell ref="D405:J405"/>
    <mergeCell ref="D406:J406"/>
    <mergeCell ref="D407:J407"/>
    <mergeCell ref="D408:J408"/>
    <mergeCell ref="D409:J409"/>
    <mergeCell ref="D410:J410"/>
    <mergeCell ref="D411:J411"/>
    <mergeCell ref="D412:J412"/>
    <mergeCell ref="D430:J430"/>
    <mergeCell ref="D431:J431"/>
    <mergeCell ref="D432:J432"/>
    <mergeCell ref="D433:J433"/>
    <mergeCell ref="D434:J434"/>
    <mergeCell ref="D402:J402"/>
    <mergeCell ref="D403:J403"/>
    <mergeCell ref="D404:J404"/>
    <mergeCell ref="D413:J413"/>
    <mergeCell ref="D414:J414"/>
    <mergeCell ref="D415:J415"/>
    <mergeCell ref="D416:J416"/>
    <mergeCell ref="D417:J417"/>
    <mergeCell ref="D384:J384"/>
    <mergeCell ref="D447:J447"/>
    <mergeCell ref="D428:J428"/>
    <mergeCell ref="D446:J446"/>
    <mergeCell ref="D269:J269"/>
    <mergeCell ref="D270:J270"/>
    <mergeCell ref="D271:J271"/>
    <mergeCell ref="D272:J272"/>
    <mergeCell ref="D273:J273"/>
    <mergeCell ref="D274:J274"/>
    <mergeCell ref="D286:J286"/>
    <mergeCell ref="D287:J287"/>
    <mergeCell ref="D315:J315"/>
    <mergeCell ref="D316:J316"/>
    <mergeCell ref="D317:J317"/>
    <mergeCell ref="D275:J275"/>
    <mergeCell ref="D276:J276"/>
    <mergeCell ref="D277:J277"/>
    <mergeCell ref="D278:J278"/>
    <mergeCell ref="D279:J279"/>
    <mergeCell ref="D280:J280"/>
    <mergeCell ref="D281:J281"/>
    <mergeCell ref="D282:J282"/>
    <mergeCell ref="D283:J283"/>
    <mergeCell ref="D372:J372"/>
    <mergeCell ref="D373:J373"/>
    <mergeCell ref="D374:J374"/>
    <mergeCell ref="D375:J375"/>
    <mergeCell ref="D376:J376"/>
    <mergeCell ref="D385:J385"/>
    <mergeCell ref="D386:J386"/>
    <mergeCell ref="D387:J387"/>
    <mergeCell ref="D362:J362"/>
    <mergeCell ref="D363:J363"/>
    <mergeCell ref="D364:J364"/>
    <mergeCell ref="D365:J365"/>
    <mergeCell ref="D366:J366"/>
    <mergeCell ref="D367:J367"/>
    <mergeCell ref="D368:J368"/>
    <mergeCell ref="D369:J369"/>
    <mergeCell ref="D370:J370"/>
    <mergeCell ref="D377:J377"/>
    <mergeCell ref="D378:J378"/>
    <mergeCell ref="D379:J379"/>
    <mergeCell ref="D380:J380"/>
    <mergeCell ref="D381:J381"/>
    <mergeCell ref="D382:J382"/>
    <mergeCell ref="D383:J383"/>
    <mergeCell ref="D347:J347"/>
    <mergeCell ref="D348:J348"/>
    <mergeCell ref="D349:J349"/>
    <mergeCell ref="D350:J350"/>
    <mergeCell ref="D351:J351"/>
    <mergeCell ref="D341:J341"/>
    <mergeCell ref="D342:J342"/>
    <mergeCell ref="D343:J343"/>
    <mergeCell ref="D344:J344"/>
    <mergeCell ref="D345:J345"/>
    <mergeCell ref="D346:J346"/>
    <mergeCell ref="D510:J510"/>
    <mergeCell ref="D511:J511"/>
    <mergeCell ref="D512:J512"/>
    <mergeCell ref="D513:J513"/>
    <mergeCell ref="S9:T10"/>
    <mergeCell ref="D476:J476"/>
    <mergeCell ref="D477:J477"/>
    <mergeCell ref="D478:J478"/>
    <mergeCell ref="D479:J479"/>
    <mergeCell ref="D480:J480"/>
    <mergeCell ref="D481:J481"/>
    <mergeCell ref="D482:J482"/>
    <mergeCell ref="D483:J483"/>
    <mergeCell ref="D484:J484"/>
    <mergeCell ref="D485:J485"/>
    <mergeCell ref="D486:J486"/>
    <mergeCell ref="D487:J487"/>
    <mergeCell ref="D488:J488"/>
    <mergeCell ref="D506:J506"/>
    <mergeCell ref="D507:J507"/>
    <mergeCell ref="D508:J508"/>
    <mergeCell ref="D509:J509"/>
    <mergeCell ref="D437:J437"/>
    <mergeCell ref="D438:J438"/>
    <mergeCell ref="D354:J354"/>
    <mergeCell ref="D355:J355"/>
    <mergeCell ref="D356:J356"/>
    <mergeCell ref="D357:J357"/>
    <mergeCell ref="D358:J358"/>
    <mergeCell ref="D359:J359"/>
    <mergeCell ref="D360:J360"/>
    <mergeCell ref="D361:J361"/>
    <mergeCell ref="D429:J429"/>
    <mergeCell ref="D388:J388"/>
    <mergeCell ref="D389:J389"/>
    <mergeCell ref="D390:J390"/>
    <mergeCell ref="D391:J391"/>
    <mergeCell ref="D392:J392"/>
    <mergeCell ref="D393:J393"/>
    <mergeCell ref="D394:J394"/>
    <mergeCell ref="D395:J395"/>
    <mergeCell ref="D396:J396"/>
    <mergeCell ref="D397:J397"/>
    <mergeCell ref="D398:J398"/>
    <mergeCell ref="D399:J399"/>
    <mergeCell ref="D400:J400"/>
    <mergeCell ref="D401:J401"/>
    <mergeCell ref="D371:J371"/>
  </mergeCells>
  <phoneticPr fontId="50"/>
  <conditionalFormatting sqref="D14:D513">
    <cfRule type="expression" dxfId="5" priority="7">
      <formula>MOD(ROW(),2)=0</formula>
    </cfRule>
  </conditionalFormatting>
  <conditionalFormatting sqref="L14:L513">
    <cfRule type="expression" dxfId="4" priority="12">
      <formula>MOD(ROW(),2)=0</formula>
    </cfRule>
  </conditionalFormatting>
  <conditionalFormatting sqref="M14:N513">
    <cfRule type="expression" dxfId="3" priority="11">
      <formula>MOD(ROW(),2)=0</formula>
    </cfRule>
  </conditionalFormatting>
  <conditionalFormatting sqref="O14:P513">
    <cfRule type="expression" dxfId="2" priority="10">
      <formula>MOD(ROW(),2)=0</formula>
    </cfRule>
  </conditionalFormatting>
  <conditionalFormatting sqref="Q14:R513">
    <cfRule type="expression" dxfId="1" priority="9">
      <formula>MOD(ROW(),2)=0</formula>
    </cfRule>
  </conditionalFormatting>
  <conditionalFormatting sqref="S14:T513">
    <cfRule type="expression" dxfId="0" priority="8">
      <formula>MOD(ROW(),2)=0</formula>
    </cfRule>
  </conditionalFormatting>
  <dataValidations count="4">
    <dataValidation operator="equal" showErrorMessage="1" sqref="R9:S9 Q3:Q8 Q11:T11 O9 P9:Q10 T3:T8" xr:uid="{A24D35D8-51C3-40D0-ABF9-9377D9179167}">
      <formula1>0</formula1>
    </dataValidation>
    <dataValidation type="list" operator="equal" allowBlank="1" showErrorMessage="1" sqref="G6 K8:L9" xr:uid="{F724DB07-F6EF-4E07-A8C4-748C24E2C160}">
      <formula1>"-,混乱,制止,継続,操作,目標操作,複製,火炎放射器,ワイヤートラップ,スタンガン"</formula1>
    </dataValidation>
    <dataValidation operator="equal" allowBlank="1" showErrorMessage="1" sqref="G10:G11" xr:uid="{F4611964-EA5E-4ECD-9A55-627F81FC9160}">
      <formula1>0</formula1>
    </dataValidation>
    <dataValidation type="list" allowBlank="1" showInputMessage="1" showErrorMessage="1" sqref="K10:L11" xr:uid="{AAA069A6-0567-4457-ABD9-A40B36FC130F}">
      <formula1>"-,制御異常,過負荷,聴覚異常,視覚異常,身体異常,能力異常,言語異常,記憶異常,精神異常,忘我"</formula1>
    </dataValidation>
  </dataValidations>
  <pageMargins left="0.78749999999999998" right="0.78749999999999998" top="1.0527777777777778" bottom="1.0527777777777778" header="0.78749999999999998" footer="0.78749999999999998"/>
  <pageSetup paperSize="9" orientation="portrait" horizontalDpi="300" verticalDpi="300"/>
  <headerFooter scaleWithDoc="0" alignWithMargins="0">
    <oddHeader>&amp;C&amp;"Times New Roman,標準"&amp;12&amp;A</oddHeader>
    <oddFooter>&amp;C&amp;"Times New Roman,標準"&amp;12ページ &amp;P</oddFooter>
  </headerFooter>
  <ignoredErrors>
    <ignoredError sqref="P9:P10" unlockedFormula="1"/>
    <ignoredError sqref="D5" formula="1"/>
  </ignoredError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8FEC44-5DA7-47E3-89BE-B9568804BDD2}">
  <sheetPr codeName="Sheet11"/>
  <dimension ref="A1:I20"/>
  <sheetViews>
    <sheetView workbookViewId="0">
      <selection activeCell="B5" sqref="B5"/>
    </sheetView>
  </sheetViews>
  <sheetFormatPr defaultColWidth="8.85546875" defaultRowHeight="12" x14ac:dyDescent="0.15"/>
  <cols>
    <col min="1" max="1" width="8.85546875" style="159" bestFit="1" customWidth="1"/>
    <col min="2" max="2" width="60.140625" style="159" bestFit="1" customWidth="1"/>
    <col min="3" max="3" width="3.5703125" style="159" bestFit="1" customWidth="1"/>
    <col min="4" max="4" width="50" style="159" bestFit="1" customWidth="1"/>
    <col min="5" max="5" width="3.5703125" style="159" bestFit="1" customWidth="1"/>
    <col min="6" max="6" width="50" style="159" bestFit="1" customWidth="1"/>
    <col min="7" max="7" width="3.5703125" style="159" bestFit="1" customWidth="1"/>
    <col min="8" max="8" width="50" style="159" bestFit="1" customWidth="1"/>
    <col min="9" max="9" width="16.42578125" style="159" bestFit="1" customWidth="1"/>
    <col min="10" max="16384" width="8.85546875" style="159"/>
  </cols>
  <sheetData>
    <row r="1" spans="1:9" ht="12.75" thickBot="1" x14ac:dyDescent="0.2">
      <c r="A1" s="170"/>
      <c r="B1" s="170"/>
      <c r="C1" s="170"/>
      <c r="D1" s="170"/>
      <c r="E1" s="170"/>
      <c r="F1" s="170"/>
      <c r="G1" s="170"/>
      <c r="H1" s="170"/>
      <c r="I1" s="170"/>
    </row>
    <row r="2" spans="1:9" ht="26.1" customHeight="1" thickBot="1" x14ac:dyDescent="0.2">
      <c r="A2" s="170"/>
      <c r="B2" s="173">
        <f>キャラシート!B3</f>
        <v>0</v>
      </c>
      <c r="C2" s="170"/>
      <c r="D2" s="173">
        <f>クリーチャー!D2</f>
        <v>0</v>
      </c>
      <c r="E2" s="170"/>
      <c r="F2" s="173">
        <f>クリーチャー_2!D2</f>
        <v>0</v>
      </c>
      <c r="G2" s="170"/>
      <c r="H2" s="173">
        <f>クリーチャー_3!D2</f>
        <v>0</v>
      </c>
      <c r="I2" s="170"/>
    </row>
    <row r="3" spans="1:9" ht="144" customHeight="1" thickBot="1" x14ac:dyDescent="0.2">
      <c r="A3" s="170"/>
      <c r="B3" s="160" t="str">
        <f>"【"&amp;進行表!A18&amp;"】
"&amp;進行表!D23&amp;"："&amp;進行表!E23&amp;" / "&amp;進行表!D24&amp;"："&amp;進行表!E24&amp;" / "&amp;進行表!D25&amp;"："&amp;進行表!E25&amp;"
"&amp;進行表!A26&amp;"："&amp;進行表!B26&amp;" / "&amp;進行表!A27&amp;"："&amp;進行表!B27&amp;" / "&amp;進行表!A21&amp;"："&amp;進行表!B21&amp;"
"&amp;進行表!A23&amp;"："&amp;進行表!B23&amp;" / "&amp;進行表!A24&amp;"："&amp;進行表!B24&amp;" / "&amp;進行表!A25&amp;"："&amp;進行表!B25&amp;"
"&amp;進行表!D27&amp;"："&amp;進行表!E27&amp;" / "&amp;進行表!D26&amp;"："&amp;進行表!E26&amp;"
"&amp;進行表!G17&amp;"："&amp;進行表!G18&amp;" / "&amp;進行表!G21&amp;"："&amp;進行表!G22&amp;" / "&amp;進行表!G19&amp;"："&amp;進行表!G20&amp;"
"&amp;LEFT(進行表!A29,1)&amp;進行表!C29&amp;" / "&amp;LEFT(進行表!A30,1)&amp;進行表!B30&amp;" / "&amp;LEFT(進行表!A31,1)&amp;進行表!C31&amp;" / "&amp;LEFT(進行表!A32,1)&amp;進行表!C32&amp;" / "&amp;LEFT(進行表!A33,1)&amp;進行表!C33&amp;" / "&amp;LEFT(進行表!A34,1)&amp;進行表!C34&amp;" / "&amp;LEFT(進行表!D29,1)&amp;進行表!F29&amp;" / "&amp;LEFT(進行表!D30,1)&amp;進行表!F30&amp;" / "&amp;LEFT(進行表!D31,1)&amp;進行表!F31&amp;" / "&amp;LEFT(進行表!D32,1)&amp;進行表!F32&amp;" / "&amp;LEFT(進行表!D33,1)&amp;進行表!F33&amp;" / "&amp;LEFT(進行表!D34,1)&amp;進行表!F34&amp;"
"&amp;LEFT(キャラシート!F17,1)&amp;キャラシート!H17&amp;" / "&amp;LEFT(キャラシート!F18,1)&amp;キャラシート!H18&amp;" / "&amp;LEFT(キャラシート!F19,1)&amp;キャラシート!H19&amp;" / "&amp;LEFT(キャラシート!F20,1)&amp;キャラシート!H20&amp;" / "&amp;LEFT(キャラシート!F21,1)&amp;キャラシート!H21&amp;" / "&amp;LEFT(キャラシート!F22,1)&amp;キャラシート!H22&amp;" / "&amp;LEFT(キャラシート!F23,1)&amp;キャラシート!H23&amp;"
"&amp;"HP"&amp;進行表!A20&amp;" / "&amp;"PP"&amp;進行表!C20&amp;" / "&amp;"暴走率"&amp;進行表!F20&amp;"%"</f>
        <v>【0】
格闘：0D6+0 / 武器：0D6+0 / 能力：0D6+0
防御：2 / 抵抗：2 / 行動値：5
ＳＳ：6+1D6 / 命中：7+1D6 / 回避：7+1D6
スペック：2 / 精度：4
活性タイプ：－ / カルマ：－ / ＳＰＥ：－
力3 / 威3 / 観3 / 察3 / 知3 / 技3 / 隠3 / 俊3 / 話3 / 読3 / 閃3 / 幸3
筋4 / 耐4 / 知4 / 精4 / 器4 / 敏4 / 運4
HP12 / PP18 / 暴走率16%</v>
      </c>
      <c r="C3" s="170"/>
      <c r="D3" s="160" t="str">
        <f>"【"&amp;クリーチャー!D2&amp;"】創造PP"&amp;クリーチャー!D5&amp;"
"&amp;"創造タイプ:"&amp;クリーチャー!K2&amp;"
"&amp;"クリーチャー能力タイプ："&amp;クリーチャー!L5&amp;"
"&amp;"防御："&amp;クリーチャー!C14&amp;" / "&amp;"抵抗："&amp;クリーチャー!C15&amp;" / "&amp;"行動値："&amp;クリーチャー!D5&amp;"
"&amp;"SS："&amp;クリーチャー!D5&amp;"+"&amp;クリーチャー!F19&amp;" / "&amp;"命中："&amp;クリーチャー!D5&amp;"+"&amp;クリーチャー!F19&amp;" / "&amp;"回避："&amp;クリーチャー!D5&amp;"+"&amp;クリーチャー!F19&amp;"
"&amp;"スペック："&amp;クリーチャー!F23&amp;" / "&amp;"精度："&amp;クリーチャー!C23&amp;"
"&amp;"習得技能：ここだけは手入力でお願いします"&amp;"
"&amp;"クリーチャー判定値："&amp;クリーチャー!H5</f>
        <v>【】創造PP0
創造タイプ:－
クリーチャー能力タイプ：－
防御：0 / 抵抗：0 / 行動値：0
SS：0+1D6 / 命中：0+1D6 / 回避：0+1D6
スペック：2 / 精度：4
習得技能：ここだけは手入力でお願いします
クリーチャー判定値：4</v>
      </c>
      <c r="E3" s="170"/>
      <c r="F3" s="160" t="str">
        <f>"【"&amp;クリーチャー_2!D2&amp;"】創造PP"&amp;クリーチャー_2!D5&amp;"
"&amp;"創造タイプ:"&amp;クリーチャー_2!K2&amp;"
"&amp;"クリーチャー能力タイプ："&amp;クリーチャー_2!L5&amp;"
"&amp;"防御："&amp;クリーチャー_2!C14&amp;" / "&amp;"抵抗："&amp;クリーチャー_2!C15&amp;" / "&amp;"行動値："&amp;クリーチャー_2!D5&amp;"
"&amp;"SS："&amp;クリーチャー_2!D5&amp;"+"&amp;クリーチャー_2!F19&amp;" / "&amp;"命中："&amp;クリーチャー_2!D5&amp;"+"&amp;クリーチャー_2!F19&amp;" / "&amp;"回避："&amp;クリーチャー_2!D5&amp;"+"&amp;クリーチャー_2!F19&amp;"
"&amp;"スペック："&amp;クリーチャー_2!F23&amp;" / "&amp;"精度："&amp;クリーチャー_2!C23&amp;"
"&amp;"習得技能：ここだけは手入力でお願いします"&amp;"
"&amp;"クリーチャー判定値："&amp;クリーチャー_2!H5</f>
        <v>【】創造PP0
創造タイプ:－
クリーチャー能力タイプ：－
防御：0 / 抵抗：0 / 行動値：0
SS：0+1D6 / 命中：0+1D6 / 回避：0+1D6
スペック：2 / 精度：4
習得技能：ここだけは手入力でお願いします
クリーチャー判定値：4</v>
      </c>
      <c r="G3" s="170"/>
      <c r="H3" s="160" t="str">
        <f>"【"&amp;クリーチャー_3!D2&amp;"】創造PP"&amp;クリーチャー_3!D5&amp;"
"&amp;"創造タイプ:"&amp;クリーチャー_3!K2&amp;"
"&amp;"クリーチャー能力タイプ："&amp;クリーチャー_3!L5&amp;"
"&amp;"防御："&amp;クリーチャー_3!C14&amp;" / "&amp;"抵抗："&amp;クリーチャー_3!C15&amp;" / "&amp;"行動値："&amp;クリーチャー_3!D5&amp;"
"&amp;"SS："&amp;クリーチャー_3!D5&amp;"+"&amp;クリーチャー_3!F19&amp;" / "&amp;"命中："&amp;クリーチャー_3!D5&amp;"+"&amp;クリーチャー_3!F19&amp;" / "&amp;"回避："&amp;クリーチャー_3!D5&amp;"+"&amp;クリーチャー_3!F19&amp;"
"&amp;"スペック："&amp;クリーチャー_3!F23&amp;" / "&amp;"精度："&amp;クリーチャー_3!C23&amp;"
"&amp;"習得技能：ここだけは手入力でお願いします"&amp;"
"&amp;"クリーチャー判定値："&amp;クリーチャー_3!H5</f>
        <v>【】創造PP0
創造タイプ:－
クリーチャー能力タイプ：－
防御：0 / 抵抗：0 / 行動値：0
SS：0+1D6 / 命中：0+1D6 / 回避：0+1D6
スペック：2 / 精度：4
習得技能：ここだけは手入力でお願いします
クリーチャー判定値：4</v>
      </c>
      <c r="I3" s="170"/>
    </row>
    <row r="4" spans="1:9" ht="12.75" thickBot="1" x14ac:dyDescent="0.2">
      <c r="A4" s="170"/>
      <c r="B4" s="171"/>
      <c r="C4" s="171"/>
      <c r="D4" s="171"/>
      <c r="E4" s="170"/>
      <c r="F4" s="170"/>
      <c r="G4" s="170"/>
      <c r="H4" s="170"/>
      <c r="I4" s="170"/>
    </row>
    <row r="5" spans="1:9" ht="114.95" customHeight="1" thickBot="1" x14ac:dyDescent="0.2">
      <c r="A5" s="170"/>
      <c r="B5" s="160" t="str">
        <f>"【応用技】"&amp;"
"&amp;IF(応用技!B9="","","〔"&amp;応用技!B9&amp;"〕")&amp;" "&amp;IF(応用技!B9="","","SP"&amp;応用技!J9)&amp;" / "&amp;IF(応用技!B9="","","PP"&amp;応用技!I9)&amp;" / "&amp;IF(応用技!B9="","",応用技!B17)&amp;"
"&amp;IF(応用技!B20="","","〔"&amp;応用技!B20&amp;"〕")&amp;" "&amp;IF(応用技!B20="","","SP"&amp;応用技!J20)&amp;" / "&amp;IF(応用技!B20="","","PP"&amp;応用技!I20)&amp;" / "&amp;IF(応用技!B20="","",応用技!B28)&amp;"
"&amp;IF(応用技!B31="","","〔"&amp;応用技!B31&amp;"〕")&amp;" "&amp;IF(応用技!B31="","","SP"&amp;応用技!J31)&amp;" / "&amp;IF(応用技!B31="","","PP"&amp;応用技!I31)&amp;" / "&amp;IF(応用技!B31="","",応用技!B39)&amp;"
"&amp;IF(応用技!B42="","","〔"&amp;応用技!B42&amp;"〕")&amp;" "&amp;IF(応用技!B42="","","SP"&amp;応用技!J42)&amp;" / "&amp;IF(応用技!B42="","","PP"&amp;応用技!I42)&amp;" / "&amp;IF(応用技!B42="","",応用技!B50)&amp;"
"&amp;IF(応用技!B53="","","〔"&amp;応用技!B53&amp;"〕")&amp;" "&amp;IF(応用技!B53="","","SP"&amp;応用技!J53)&amp;" / "&amp;IF(応用技!B53="","","PP"&amp;応用技!I53)&amp;" / "&amp;IF(応用技!B53="","",応用技!B61)&amp;"
"&amp;IF(応用技!B64="","","〔"&amp;応用技!B64&amp;"〕")&amp;" "&amp;IF(応用技!B64="","","SP"&amp;応用技!J64)&amp;" / "&amp;IF(応用技!B64="","","PP"&amp;応用技!I64)&amp;" / "&amp;IF(応用技!B64="","",応用技!B72)&amp;"
"&amp;IF(応用技!B75="","","〔"&amp;応用技!B75&amp;"〕")&amp;" "&amp;IF(応用技!B75="","","SP"&amp;応用技!J75)&amp;" / "&amp;IF(応用技!B75="","","PP"&amp;応用技!I75)&amp;" / "&amp;IF(応用技!B75="","",応用技!B83)&amp;"
"&amp;IF(応用技!B86="","","〔"&amp;応用技!B86&amp;"〕")&amp;" "&amp;IF(応用技!B86="","","SP"&amp;応用技!J86)&amp;" / "&amp;IF(応用技!B86="","","PP"&amp;応用技!I86)&amp;" / "&amp;IF(応用技!B86="","",応用技!B94)</f>
        <v xml:space="preserve">【応用技】
  /  / 
  /  / 
  /  / 
  /  / 
  /  / 
  /  / 
  /  / 
  /  / </v>
      </c>
      <c r="C5" s="171"/>
      <c r="D5" s="160" t="str">
        <f>"【応用技】"&amp;"
"&amp;IF(クリーチャー!P9="","","〔"&amp;クリーチャー!P9&amp;"〕")&amp;" "&amp;IF(クリーチャー!P9="","","SP"&amp;クリーチャー!X9)&amp;" / "&amp;IF(クリーチャー!P9="","","PP"&amp;クリーチャー!W9)&amp;" / "&amp;IF(クリーチャー!P9="","",クリーチャー!P17)&amp;"
"&amp;IF(クリーチャー!P20="","","〔"&amp;クリーチャー!P20&amp;"〕")&amp;" "&amp;IF(クリーチャー!P20="","","SP"&amp;クリーチャー!X20)&amp;" / "&amp;IF(クリーチャー!P20="","","PP"&amp;クリーチャー!W20)&amp;" / "&amp;IF(クリーチャー!P20="","",クリーチャー!P28)&amp;"
"&amp;IF(クリーチャー!P31="","","〔"&amp;クリーチャー!P31&amp;"〕")&amp;" "&amp;IF(クリーチャー!P31="","","SP"&amp;クリーチャー!X31)&amp;" / "&amp;IF(クリーチャー!P31="","","PP"&amp;クリーチャー!W31)&amp;" / "&amp;IF(クリーチャー!P31="","",クリーチャー!P39)&amp;"
"&amp;IF(クリーチャー!P42="","","〔"&amp;クリーチャー!P42&amp;"〕")&amp;" "&amp;IF(クリーチャー!P42="","","SP"&amp;クリーチャー!X42)&amp;" / "&amp;IF(クリーチャー!P42="","","PP"&amp;クリーチャー!W42)&amp;" / "&amp;IF(クリーチャー!P42="","",クリーチャー!P50)&amp;"
"&amp;IF(クリーチャー!P53="","","〔"&amp;クリーチャー!P53&amp;"〕")&amp;" "&amp;IF(クリーチャー!P53="","","SP"&amp;クリーチャー!X53)&amp;" / "&amp;IF(クリーチャー!P53="","","PP"&amp;クリーチャー!W53)&amp;" / "&amp;IF(クリーチャー!P53="","",クリーチャー!P61)</f>
        <v xml:space="preserve">【応用技】
  /  / 
  /  / 
  /  / 
  /  / 
  /  / </v>
      </c>
      <c r="E5" s="170"/>
      <c r="F5" s="160" t="str">
        <f>"【応用技】"&amp;"
"&amp;IF(クリーチャー_2!P9="","","〔"&amp;クリーチャー_2!P9&amp;"〕")&amp;" "&amp;IF(クリーチャー_2!P9="","","SP"&amp;クリーチャー_2!X9)&amp;" / "&amp;IF(クリーチャー_2!P9="","","PP"&amp;クリーチャー_2!W9)&amp;" / "&amp;IF(クリーチャー_2!P9="","",クリーチャー_2!P17)&amp;"
"&amp;IF(クリーチャー_2!P20="","","〔"&amp;クリーチャー_2!P20&amp;"〕")&amp;" "&amp;IF(クリーチャー_2!P20="","","SP"&amp;クリーチャー_2!X20)&amp;" / "&amp;IF(クリーチャー_2!P20="","","PP"&amp;クリーチャー_2!W20)&amp;" / "&amp;IF(クリーチャー_2!P20="","",クリーチャー_2!P28)&amp;"
"&amp;IF(クリーチャー_2!P31="","","〔"&amp;クリーチャー_2!P31&amp;"〕")&amp;" "&amp;IF(クリーチャー_2!P31="","","SP"&amp;クリーチャー_2!X31)&amp;" / "&amp;IF(クリーチャー_2!P31="","","PP"&amp;クリーチャー_2!W31)&amp;" / "&amp;IF(クリーチャー_2!P31="","",クリーチャー_2!P39)&amp;"
"&amp;IF(クリーチャー_2!P42="","","〔"&amp;クリーチャー_2!P42&amp;"〕")&amp;" "&amp;IF(クリーチャー_2!P42="","","SP"&amp;クリーチャー_2!X42)&amp;" / "&amp;IF(クリーチャー_2!P42="","","PP"&amp;クリーチャー_2!W42)&amp;" / "&amp;IF(クリーチャー_2!P42="","",クリーチャー_2!P50)&amp;"
"&amp;IF(クリーチャー_2!P53="","","〔"&amp;クリーチャー_2!P53&amp;"〕")&amp;" "&amp;IF(クリーチャー_2!P53="","","SP"&amp;クリーチャー_2!X53)&amp;" / "&amp;IF(クリーチャー_2!P53="","","PP"&amp;クリーチャー_2!W53)&amp;" / "&amp;IF(クリーチャー_2!P53="","",クリーチャー_2!P61)</f>
        <v xml:space="preserve">【応用技】
  /  / 
  /  / 
  /  / 
  /  / 
  /  / </v>
      </c>
      <c r="G5" s="170"/>
      <c r="H5" s="160" t="str">
        <f>"【応用技】"&amp;"
"&amp;IF(クリーチャー_3!P9="","","〔"&amp;クリーチャー_3!P9&amp;"〕")&amp;" "&amp;IF(クリーチャー_3!P9="","","SP"&amp;クリーチャー_3!X9)&amp;" / "&amp;IF(クリーチャー_3!P9="","","PP"&amp;クリーチャー_3!W9)&amp;" / "&amp;IF(クリーチャー_3!P9="","",クリーチャー_3!P17)&amp;"
"&amp;IF(クリーチャー_3!P20="","","〔"&amp;クリーチャー_3!P20&amp;"〕")&amp;" "&amp;IF(クリーチャー_3!P20="","","SP"&amp;クリーチャー_3!X20)&amp;" / "&amp;IF(クリーチャー_3!P20="","","PP"&amp;クリーチャー_3!W20)&amp;" / "&amp;IF(クリーチャー_3!P20="","",クリーチャー_3!P28)&amp;"
"&amp;IF(クリーチャー_3!P31="","","〔"&amp;クリーチャー_3!P31&amp;"〕")&amp;" "&amp;IF(クリーチャー_3!P31="","","SP"&amp;クリーチャー_3!X31)&amp;" / "&amp;IF(クリーチャー_3!P31="","","PP"&amp;クリーチャー_3!W31)&amp;" / "&amp;IF(クリーチャー_3!P31="","",クリーチャー_3!P39)&amp;"
"&amp;IF(クリーチャー_3!P42="","","〔"&amp;クリーチャー_3!P42&amp;"〕")&amp;" "&amp;IF(クリーチャー_3!P42="","","SP"&amp;クリーチャー_3!X42)&amp;" / "&amp;IF(クリーチャー_3!P42="","","PP"&amp;クリーチャー_3!W42)&amp;" / "&amp;IF(クリーチャー_3!P42="","",クリーチャー_3!P50)&amp;"
"&amp;IF(クリーチャー_3!P53="","","〔"&amp;クリーチャー_3!P53&amp;"〕")&amp;" "&amp;IF(クリーチャー_3!P53="","","SP"&amp;クリーチャー_3!X53)&amp;" / "&amp;IF(クリーチャー_3!P53="","","PP"&amp;クリーチャー_3!W53)&amp;" / "&amp;IF(クリーチャー_3!P53="","",クリーチャー_3!P61)</f>
        <v xml:space="preserve">【応用技】
  /  / 
  /  / 
  /  / 
  /  / 
  /  / </v>
      </c>
      <c r="I5" s="170"/>
    </row>
    <row r="6" spans="1:9" ht="12.75" thickBot="1" x14ac:dyDescent="0.2">
      <c r="A6" s="170"/>
      <c r="B6" s="171"/>
      <c r="C6" s="171"/>
      <c r="D6" s="171"/>
      <c r="E6" s="170"/>
      <c r="F6" s="170"/>
      <c r="G6" s="170"/>
      <c r="H6" s="170"/>
      <c r="I6" s="170"/>
    </row>
    <row r="7" spans="1:9" ht="162.94999999999999" customHeight="1" thickBot="1" x14ac:dyDescent="0.2">
      <c r="A7" s="170"/>
      <c r="B7" s="160" t="str">
        <f>"武装/"&amp;"
"&amp;"〔1〕"&amp;IF(キャラシート!B40="－","－",LEFT(キャラシート!B40,LEN(キャラシート!B40)-8))&amp;"
"&amp;"〔2〕"&amp;IF(キャラシート!B41="－","－",LEFT(キャラシート!B41,LEN(キャラシート!B41)-8))&amp;"
"&amp;"〔3〕"&amp;IF(キャラシート!B42="－","－",LEFT(キャラシート!B42,LEN(キャラシート!B42)-8))&amp;"
"&amp;"〔4〕"&amp;IF(キャラシート!B43="－","－",LEFT(キャラシート!B43,LEN(キャラシート!B43)-8))&amp;"
"&amp;"〔5〕"&amp;IF(キャラシート!B44="－","－",LEFT(キャラシート!B44,LEN(キャラシート!B44)-8))&amp;"
"&amp;"〔6〕"&amp;IF(キャラシート!B45="－","－",LEFT(キャラシート!B45,LEN(キャラシート!B45)-8))&amp;"
"&amp;"〔7〕"&amp;IF(キャラシート!B46="－","－",LEFT(キャラシート!B46,LEN(キャラシート!B46)-8))&amp;"
"&amp;"〔8〕"&amp;IF(キャラシート!B47="－","－",LEFT(キャラシート!B47,LEN(キャラシート!B47)-8))&amp;"
"&amp;"〔9〕"&amp;IF(キャラシート!B48="－","－",LEFT(キャラシート!B48,LEN(キャラシート!B48)-8))&amp;"
"&amp;"〔10〕"&amp;IF(キャラシート!B49="－","－",LEFT(キャラシート!B49,LEN(キャラシート!B49)-8))&amp;"
"&amp;"〔11〕"&amp;IF(キャラシート!B50="－","－",LEFT(キャラシート!B50,LEN(キャラシート!B50)-8))&amp;"
"&amp;"〔12〕"&amp;IF(キャラシート!B51="－","－",LEFT(キャラシート!B51,LEN(キャラシート!B51)-8))</f>
        <v>武装/
〔1〕－
〔2〕－
〔3〕－
〔4〕－
〔5〕－
〔6〕－
〔7〕－
〔8〕－
〔9〕－
〔10〕－
〔11〕－
〔12〕－</v>
      </c>
      <c r="C7" s="171"/>
      <c r="D7" s="1064" t="s">
        <v>452</v>
      </c>
      <c r="E7" s="1064"/>
      <c r="F7" s="1064"/>
      <c r="G7" s="170"/>
      <c r="H7" s="170"/>
      <c r="I7" s="170"/>
    </row>
    <row r="8" spans="1:9" ht="18" thickBot="1" x14ac:dyDescent="0.2">
      <c r="A8" s="170"/>
      <c r="B8" s="171"/>
      <c r="C8" s="171"/>
      <c r="D8" s="172"/>
      <c r="E8" s="172"/>
      <c r="F8" s="172"/>
      <c r="G8" s="170"/>
      <c r="H8" s="170"/>
      <c r="I8" s="170"/>
    </row>
    <row r="9" spans="1:9" ht="162.94999999999999" customHeight="1" thickBot="1" x14ac:dyDescent="0.2">
      <c r="A9" s="170"/>
      <c r="B9" s="160" t="str">
        <f>"【消費アイテム】"&amp;"
"&amp;"〔1〕"&amp;IF(キャラシート!E40="－","－",LEFT(キャラシート!E40,LEN(キャラシート!E40)-6))&amp;"
"&amp;"〔2〕"&amp;IF(キャラシート!E41="－","－",LEFT(キャラシート!E41,LEN(キャラシート!E41)-6))&amp;"
"&amp;"〔3〕"&amp;IF(キャラシート!E42="－","－",LEFT(キャラシート!E42,LEN(キャラシート!E42)-6))&amp;"
"&amp;"〔4〕"&amp;IF(キャラシート!E43="－","－",LEFT(キャラシート!E43,LEN(キャラシート!E43)-6))&amp;"
"&amp;"〔5〕"&amp;IF(キャラシート!E44="－","－",LEFT(キャラシート!E44,LEN(キャラシート!E44)-6))&amp;"
"&amp;"〔6〕"&amp;IF(キャラシート!E45="－","－",LEFT(キャラシート!E45,LEN(キャラシート!E45)-6))&amp;"
"&amp;"〔7〕"&amp;IF(キャラシート!E46="－","－",LEFT(キャラシート!E46,LEN(キャラシート!E46)-6))&amp;"
"&amp;"〔8〕"&amp;IF(キャラシート!E47="－","－",LEFT(キャラシート!E47,LEN(キャラシート!E47)-6))&amp;"
"&amp;"〔9〕"&amp;IF(キャラシート!E48="－","－",LEFT(キャラシート!E48,LEN(キャラシート!E48)-6))&amp;"
"&amp;"〔10〕"&amp;IF(キャラシート!E49="－","－",LEFT(キャラシート!E49,LEN(キャラシート!E49)-6))&amp;"
"&amp;"〔アタッチメント1〕"&amp;キャラシート!E50&amp;"
"&amp;"〔アタッチメント2〕"&amp;キャラシート!E51</f>
        <v>【消費アイテム】
〔1〕－
〔2〕－
〔3〕－
〔4〕－
〔5〕－
〔6〕－
〔7〕－
〔8〕－
〔9〕－
〔10〕－
〔アタッチメント1〕-
〔アタッチメント2〕-</v>
      </c>
      <c r="C9" s="171"/>
      <c r="D9" s="160" t="str">
        <f>"【探索用チャットパレット】"&amp;"
"&amp;"cf"&amp;進行表!C29&amp;""&amp;"+1D6 力技"&amp;"
"&amp;"cf"&amp;進行表!C30&amp;""&amp;"+1D6 威圧"&amp;"
"&amp;"cf"&amp;進行表!C31&amp;""&amp;"+1D6 観察眼"&amp;"
"&amp;"cf"&amp;進行表!C32&amp;""&amp;"+1D6 察知"&amp;"
"&amp;"cf"&amp;進行表!C33&amp;""&amp;"+1D6 知識"&amp;"
"&amp;"cf"&amp;進行表!C34&amp;""&amp;"+1D6 技術"&amp;"
"&amp;"cf"&amp;進行表!F29&amp;""&amp;"+1D6 隠密"&amp;"
"&amp;"cf"&amp;進行表!F30&amp;""&amp;"+1D6 俊敏"&amp;"
"&amp;"cf"&amp;進行表!F31&amp;""&amp;"+1D6 話術"&amp;"
"&amp;"cf"&amp;進行表!F32&amp;""&amp;"+1D6 読心"&amp;"
"&amp;"cf"&amp;進行表!F33&amp;""&amp;"+1D6 閃き"&amp;"
"&amp;"cf"&amp;進行表!F34&amp;""&amp;"+1D6 幸運"</f>
        <v>【探索用チャットパレット】
cf3+1D6 力技
cf3+1D6 威圧
cf3+1D6 観察眼
cf3+1D6 察知
cf3+1D6 知識
cf3+1D6 技術
cf3+1D6 隠密
cf3+1D6 俊敏
cf3+1D6 話術
cf3+1D6 読心
cf3+1D6 閃き
cf3+1D6 幸運</v>
      </c>
      <c r="E9" s="172"/>
      <c r="F9" s="172"/>
      <c r="G9" s="170"/>
      <c r="H9" s="170"/>
      <c r="I9" s="170"/>
    </row>
    <row r="10" spans="1:9" ht="12.75" thickBot="1" x14ac:dyDescent="0.2">
      <c r="A10" s="170"/>
      <c r="B10" s="171"/>
      <c r="C10" s="171"/>
      <c r="D10" s="171"/>
      <c r="E10" s="170"/>
      <c r="F10" s="170"/>
      <c r="G10" s="170"/>
      <c r="H10" s="170"/>
      <c r="I10" s="170"/>
    </row>
    <row r="11" spans="1:9" ht="144.94999999999999" customHeight="1" thickBot="1" x14ac:dyDescent="0.2">
      <c r="A11" s="170"/>
      <c r="B11" s="161" t="str">
        <f>"【特殊技】"&amp;"
"&amp;IF(応用技!M9="","","〔"&amp;応用技!M9&amp;"〕")&amp;" "&amp;IF(応用技!M9="","","SP"&amp;応用技!U9)&amp;" / "&amp;IF(応用技!M9="","","PP"&amp;応用技!R9)&amp;" / "&amp;IF(応用技!M9="","",応用技!M17)&amp;"
"&amp;IF(応用技!M20="","","〔"&amp;応用技!M20&amp;"〕")&amp;" "&amp;IF(応用技!M20="","","SP"&amp;応用技!U20)&amp;" / "&amp;IF(応用技!M20="","","PP"&amp;応用技!R20)&amp;" / "&amp;IF(応用技!M20="","",応用技!M28)&amp;"
"&amp;IF(応用技!M31="","","〔"&amp;応用技!M31&amp;"〕")&amp;" "&amp;IF(応用技!M31="","","SP"&amp;応用技!U31)&amp;" / "&amp;IF(応用技!M31="","","PP"&amp;応用技!R31)&amp;" / "&amp;IF(応用技!M31="","",応用技!M39)&amp;"
"&amp;IF(応用技!M42="","","〔"&amp;応用技!M42&amp;"〕")&amp;" "&amp;IF(応用技!M42="","","SP"&amp;応用技!U42)&amp;" / "&amp;IF(応用技!M42="","","PP"&amp;応用技!R42)&amp;" / "&amp;IF(応用技!M42="","",応用技!M50)&amp;"
"&amp;IF(応用技!M53="","","〔"&amp;応用技!M53&amp;"〕")&amp;" "&amp;IF(応用技!M53="","","SP"&amp;応用技!U53)&amp;" / "&amp;IF(応用技!M53="","","PP"&amp;応用技!R53)&amp;" / "&amp;IF(応用技!M53="","",応用技!M61)&amp;"
"&amp;IF(応用技!M64="","","〔"&amp;応用技!M64&amp;"〕")&amp;" "&amp;IF(応用技!M64="","","SP"&amp;応用技!U64)&amp;" / "&amp;IF(応用技!M64="","","PP"&amp;応用技!R64)&amp;" / "&amp;IF(応用技!M64="","",応用技!M72)&amp;"
"&amp;IF(応用技!M75="","","〔"&amp;応用技!M75&amp;"〕")&amp;" "&amp;IF(応用技!M75="","","SP"&amp;応用技!U75)&amp;" / "&amp;IF(応用技!M75="","","PP"&amp;応用技!R75)&amp;" / "&amp;IF(応用技!M75="","",応用技!M83)&amp;"
"&amp;IF(応用技!M86="","","〔"&amp;応用技!M86&amp;"〕")&amp;" "&amp;IF(応用技!M86="","","SP"&amp;応用技!U86)&amp;" / "&amp;IF(応用技!M86="","","PP"&amp;応用技!R86)&amp;" / "&amp;IF(応用技!M86="","",応用技!M94)</f>
        <v xml:space="preserve">【特殊技】
  /  / 
  /  / 
  /  / 
  /  / 
  /  / 
  /  / 
  /  / 
  /  / </v>
      </c>
      <c r="C11" s="171"/>
      <c r="D11" s="160" t="str">
        <f>"【戦闘用チャットパレット】"&amp;"
"&amp;"cf"&amp;進行表!B23&amp;""&amp;"  SS"&amp;"
"&amp;"cf"&amp;進行表!B24&amp;""&amp;"  命中"&amp;"
"&amp;"cf"&amp;進行表!B25&amp;""&amp;"  回避"&amp;"
"&amp;進行表!E23&amp;" 格闘"&amp;"
"&amp;進行表!E24&amp;" 武器"&amp;"
"&amp;進行表!E25&amp;" 能力"</f>
        <v>【戦闘用チャットパレット】
cf6+1D6  SS
cf7+1D6  命中
cf7+1D6  回避
0D6+0 格闘
0D6+0 武器
0D6+0 能力</v>
      </c>
      <c r="E11" s="170"/>
      <c r="F11" s="170"/>
      <c r="G11" s="170"/>
      <c r="H11" s="170"/>
      <c r="I11" s="170"/>
    </row>
    <row r="12" spans="1:9" x14ac:dyDescent="0.15">
      <c r="A12" s="170"/>
      <c r="B12" s="171"/>
      <c r="C12" s="171"/>
      <c r="D12" s="171"/>
      <c r="E12" s="170"/>
      <c r="F12" s="170"/>
      <c r="G12" s="170"/>
      <c r="H12" s="170"/>
      <c r="I12" s="170"/>
    </row>
    <row r="13" spans="1:9" x14ac:dyDescent="0.15">
      <c r="B13" s="162"/>
      <c r="C13" s="162"/>
      <c r="D13" s="162"/>
    </row>
    <row r="14" spans="1:9" x14ac:dyDescent="0.15">
      <c r="B14" s="162"/>
      <c r="C14" s="162"/>
      <c r="D14" s="162"/>
    </row>
    <row r="20" spans="7:7" ht="12" customHeight="1" x14ac:dyDescent="0.15">
      <c r="G20" s="163"/>
    </row>
  </sheetData>
  <sheetProtection selectLockedCells="1" selectUnlockedCells="1"/>
  <mergeCells count="1">
    <mergeCell ref="D7:F7"/>
  </mergeCells>
  <phoneticPr fontId="50"/>
  <pageMargins left="0.78749999999999998" right="0.78749999999999998" top="1.0527777777777778" bottom="1.0527777777777778" header="0.78749999999999998" footer="0.78749999999999998"/>
  <pageSetup paperSize="9" orientation="portrait" horizontalDpi="300" verticalDpi="300" r:id="rId1"/>
  <headerFooter scaleWithDoc="0" alignWithMargins="0">
    <oddHeader>&amp;C&amp;"Times New Roman,標準"&amp;12&amp;A</oddHeader>
    <oddFooter>&amp;C&amp;"Times New Roman,標準"&amp;12ページ &amp;P</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FB4657-463E-4AC8-87F6-18D22DBD0BCD}">
  <sheetPr>
    <pageSetUpPr fitToPage="1"/>
  </sheetPr>
  <dimension ref="A1:AS115"/>
  <sheetViews>
    <sheetView zoomScaleNormal="100" workbookViewId="0">
      <selection activeCell="J19" sqref="J19:X24"/>
    </sheetView>
  </sheetViews>
  <sheetFormatPr defaultColWidth="8.85546875" defaultRowHeight="12" x14ac:dyDescent="0.15"/>
  <cols>
    <col min="1" max="1" width="3.28515625" style="164" customWidth="1"/>
    <col min="2" max="2" width="3.5703125" style="164" customWidth="1"/>
    <col min="3" max="3" width="9.5703125" style="164" customWidth="1"/>
    <col min="4" max="4" width="12" style="164" customWidth="1"/>
    <col min="5" max="5" width="8.42578125" style="164" customWidth="1"/>
    <col min="6" max="6" width="10.28515625" style="164" customWidth="1"/>
    <col min="7" max="7" width="12.42578125" style="164" customWidth="1"/>
    <col min="8" max="8" width="2.7109375" style="164" customWidth="1"/>
    <col min="9" max="9" width="9.5703125" style="164" customWidth="1"/>
    <col min="10" max="16" width="4.7109375" style="164" customWidth="1"/>
    <col min="17" max="17" width="8" style="164" customWidth="1"/>
    <col min="18" max="18" width="2.7109375" style="164" customWidth="1"/>
    <col min="19" max="19" width="9.5703125" style="164" customWidth="1"/>
    <col min="20" max="21" width="8.85546875" style="164"/>
    <col min="22" max="24" width="7.42578125" style="164" customWidth="1"/>
    <col min="25" max="25" width="2.7109375" style="164" customWidth="1"/>
    <col min="26" max="26" width="9.5703125" style="164" customWidth="1"/>
    <col min="27" max="29" width="8.85546875" style="164"/>
    <col min="30" max="31" width="7.42578125" style="164" customWidth="1"/>
    <col min="32" max="32" width="2.7109375" style="164" customWidth="1"/>
    <col min="33" max="33" width="6.28515625" style="164" customWidth="1"/>
    <col min="34" max="16384" width="8.85546875" style="164"/>
  </cols>
  <sheetData>
    <row r="1" spans="1:45" ht="12" customHeight="1" thickBot="1" x14ac:dyDescent="0.2">
      <c r="A1" s="493"/>
      <c r="B1" s="493"/>
      <c r="C1" s="493"/>
      <c r="D1" s="493"/>
      <c r="E1" s="493"/>
      <c r="F1" s="493"/>
      <c r="G1" s="493"/>
      <c r="H1" s="493"/>
      <c r="I1" s="493"/>
      <c r="J1" s="493"/>
      <c r="K1" s="493"/>
      <c r="L1" s="493"/>
      <c r="M1" s="493"/>
      <c r="N1" s="493"/>
      <c r="O1" s="493"/>
      <c r="P1" s="493"/>
      <c r="Q1" s="493"/>
      <c r="R1" s="493"/>
      <c r="S1" s="493"/>
      <c r="T1" s="493"/>
      <c r="U1" s="493"/>
      <c r="V1" s="493"/>
      <c r="W1" s="493"/>
      <c r="X1" s="493"/>
      <c r="Y1" s="493"/>
      <c r="Z1" s="493"/>
      <c r="AA1" s="493"/>
      <c r="AB1" s="493"/>
      <c r="AC1" s="493"/>
      <c r="AD1" s="493"/>
      <c r="AE1" s="493"/>
      <c r="AF1" s="493"/>
      <c r="AG1" s="493"/>
      <c r="AH1" s="493"/>
      <c r="AI1" s="493"/>
      <c r="AJ1" s="493"/>
      <c r="AK1" s="493"/>
      <c r="AL1" s="493"/>
      <c r="AM1" s="493"/>
      <c r="AN1" s="493"/>
      <c r="AO1" s="493"/>
      <c r="AP1" s="493"/>
      <c r="AQ1" s="493"/>
      <c r="AR1" s="493"/>
      <c r="AS1" s="493"/>
    </row>
    <row r="2" spans="1:45" ht="12" customHeight="1" x14ac:dyDescent="0.15">
      <c r="A2" s="493"/>
      <c r="B2" s="1092" t="s">
        <v>707</v>
      </c>
      <c r="C2" s="1093"/>
      <c r="D2" s="1093"/>
      <c r="E2" s="1093"/>
      <c r="F2" s="1093"/>
      <c r="G2" s="1093"/>
      <c r="H2" s="1093"/>
      <c r="I2" s="1093"/>
      <c r="J2" s="1093"/>
      <c r="K2" s="1093"/>
      <c r="L2" s="1093"/>
      <c r="M2" s="1093"/>
      <c r="N2" s="1093"/>
      <c r="O2" s="1094"/>
      <c r="P2" s="1101" t="s">
        <v>1061</v>
      </c>
      <c r="Q2" s="1102"/>
      <c r="R2" s="1102"/>
      <c r="S2" s="1103"/>
      <c r="T2" s="1107"/>
      <c r="U2" s="1108"/>
      <c r="V2" s="1108"/>
      <c r="W2" s="1108"/>
      <c r="X2" s="1108"/>
      <c r="Y2" s="1108"/>
      <c r="Z2" s="1108"/>
      <c r="AA2" s="1108"/>
      <c r="AB2" s="1108"/>
      <c r="AC2" s="1108"/>
      <c r="AD2" s="1108"/>
      <c r="AE2" s="1108"/>
      <c r="AF2" s="1108"/>
      <c r="AG2" s="1109"/>
      <c r="AH2" s="493"/>
      <c r="AI2" s="493"/>
      <c r="AJ2" s="493"/>
      <c r="AK2" s="493"/>
      <c r="AL2" s="493"/>
      <c r="AM2" s="493"/>
      <c r="AN2" s="493"/>
      <c r="AO2" s="493"/>
      <c r="AP2" s="493"/>
      <c r="AQ2" s="493"/>
      <c r="AR2" s="493"/>
      <c r="AS2" s="493"/>
    </row>
    <row r="3" spans="1:45" ht="12" customHeight="1" thickBot="1" x14ac:dyDescent="0.2">
      <c r="A3" s="493"/>
      <c r="B3" s="1095"/>
      <c r="C3" s="1096"/>
      <c r="D3" s="1096"/>
      <c r="E3" s="1096"/>
      <c r="F3" s="1096"/>
      <c r="G3" s="1096"/>
      <c r="H3" s="1096"/>
      <c r="I3" s="1096"/>
      <c r="J3" s="1096"/>
      <c r="K3" s="1096"/>
      <c r="L3" s="1096"/>
      <c r="M3" s="1096"/>
      <c r="N3" s="1096"/>
      <c r="O3" s="1097"/>
      <c r="P3" s="1104"/>
      <c r="Q3" s="1105"/>
      <c r="R3" s="1105"/>
      <c r="S3" s="1106"/>
      <c r="T3" s="1110"/>
      <c r="U3" s="1111"/>
      <c r="V3" s="1111"/>
      <c r="W3" s="1111"/>
      <c r="X3" s="1111"/>
      <c r="Y3" s="1111"/>
      <c r="Z3" s="1111"/>
      <c r="AA3" s="1111"/>
      <c r="AB3" s="1111"/>
      <c r="AC3" s="1111"/>
      <c r="AD3" s="1111"/>
      <c r="AE3" s="1111"/>
      <c r="AF3" s="1111"/>
      <c r="AG3" s="1112"/>
      <c r="AH3" s="493"/>
      <c r="AI3" s="493"/>
      <c r="AJ3" s="493"/>
      <c r="AK3" s="493"/>
      <c r="AL3" s="493"/>
      <c r="AM3" s="493"/>
      <c r="AN3" s="493"/>
      <c r="AO3" s="493"/>
      <c r="AP3" s="493"/>
      <c r="AQ3" s="493"/>
      <c r="AR3" s="493"/>
      <c r="AS3" s="493"/>
    </row>
    <row r="4" spans="1:45" ht="12" customHeight="1" x14ac:dyDescent="0.15">
      <c r="A4" s="493"/>
      <c r="B4" s="1095"/>
      <c r="C4" s="1096"/>
      <c r="D4" s="1096"/>
      <c r="E4" s="1096"/>
      <c r="F4" s="1096"/>
      <c r="G4" s="1096"/>
      <c r="H4" s="1096"/>
      <c r="I4" s="1096"/>
      <c r="J4" s="1096"/>
      <c r="K4" s="1096"/>
      <c r="L4" s="1096"/>
      <c r="M4" s="1096"/>
      <c r="N4" s="1096"/>
      <c r="O4" s="1097"/>
      <c r="P4" s="1101" t="s">
        <v>1062</v>
      </c>
      <c r="Q4" s="1102"/>
      <c r="R4" s="1102"/>
      <c r="S4" s="1103"/>
      <c r="T4" s="1107"/>
      <c r="U4" s="1108"/>
      <c r="V4" s="1108"/>
      <c r="W4" s="1108"/>
      <c r="X4" s="1108"/>
      <c r="Y4" s="1108"/>
      <c r="Z4" s="1108"/>
      <c r="AA4" s="1108"/>
      <c r="AB4" s="1108"/>
      <c r="AC4" s="1108"/>
      <c r="AD4" s="1108"/>
      <c r="AE4" s="1108"/>
      <c r="AF4" s="1108"/>
      <c r="AG4" s="1109"/>
      <c r="AH4" s="493"/>
      <c r="AI4" s="493"/>
      <c r="AJ4" s="493"/>
      <c r="AK4" s="493"/>
      <c r="AL4" s="493"/>
      <c r="AM4" s="493"/>
      <c r="AN4" s="493"/>
      <c r="AO4" s="493"/>
      <c r="AP4" s="493"/>
      <c r="AQ4" s="493"/>
      <c r="AR4" s="493"/>
      <c r="AS4" s="493"/>
    </row>
    <row r="5" spans="1:45" ht="12" customHeight="1" thickBot="1" x14ac:dyDescent="0.2">
      <c r="A5" s="493"/>
      <c r="B5" s="1095"/>
      <c r="C5" s="1096"/>
      <c r="D5" s="1096"/>
      <c r="E5" s="1096"/>
      <c r="F5" s="1096"/>
      <c r="G5" s="1096"/>
      <c r="H5" s="1096"/>
      <c r="I5" s="1096"/>
      <c r="J5" s="1096"/>
      <c r="K5" s="1096"/>
      <c r="L5" s="1096"/>
      <c r="M5" s="1096"/>
      <c r="N5" s="1096"/>
      <c r="O5" s="1097"/>
      <c r="P5" s="1104"/>
      <c r="Q5" s="1105"/>
      <c r="R5" s="1105"/>
      <c r="S5" s="1106"/>
      <c r="T5" s="1110"/>
      <c r="U5" s="1111"/>
      <c r="V5" s="1111"/>
      <c r="W5" s="1111"/>
      <c r="X5" s="1111"/>
      <c r="Y5" s="1111"/>
      <c r="Z5" s="1111"/>
      <c r="AA5" s="1111"/>
      <c r="AB5" s="1111"/>
      <c r="AC5" s="1111"/>
      <c r="AD5" s="1111"/>
      <c r="AE5" s="1111"/>
      <c r="AF5" s="1111"/>
      <c r="AG5" s="1112"/>
      <c r="AH5" s="493"/>
      <c r="AI5" s="493"/>
      <c r="AJ5" s="493"/>
      <c r="AK5" s="493"/>
      <c r="AL5" s="493"/>
      <c r="AM5" s="493"/>
      <c r="AN5" s="493"/>
      <c r="AO5" s="493"/>
      <c r="AP5" s="493"/>
      <c r="AQ5" s="493"/>
      <c r="AR5" s="493"/>
      <c r="AS5" s="493"/>
    </row>
    <row r="6" spans="1:45" ht="12" customHeight="1" x14ac:dyDescent="0.15">
      <c r="A6" s="493"/>
      <c r="B6" s="1095"/>
      <c r="C6" s="1096"/>
      <c r="D6" s="1096"/>
      <c r="E6" s="1096"/>
      <c r="F6" s="1096"/>
      <c r="G6" s="1096"/>
      <c r="H6" s="1096"/>
      <c r="I6" s="1096"/>
      <c r="J6" s="1096"/>
      <c r="K6" s="1096"/>
      <c r="L6" s="1096"/>
      <c r="M6" s="1096"/>
      <c r="N6" s="1096"/>
      <c r="O6" s="1097"/>
      <c r="P6" s="1101" t="s">
        <v>1063</v>
      </c>
      <c r="Q6" s="1102"/>
      <c r="R6" s="1102"/>
      <c r="S6" s="1103"/>
      <c r="T6" s="1107"/>
      <c r="U6" s="1108"/>
      <c r="V6" s="1108"/>
      <c r="W6" s="1108"/>
      <c r="X6" s="1108"/>
      <c r="Y6" s="1108"/>
      <c r="Z6" s="1108"/>
      <c r="AA6" s="1108"/>
      <c r="AB6" s="1108"/>
      <c r="AC6" s="1108"/>
      <c r="AD6" s="1108"/>
      <c r="AE6" s="1108"/>
      <c r="AF6" s="1108"/>
      <c r="AG6" s="1109"/>
      <c r="AH6" s="493"/>
      <c r="AI6" s="493"/>
      <c r="AJ6" s="493"/>
      <c r="AK6" s="493"/>
      <c r="AL6" s="493"/>
      <c r="AM6" s="493"/>
      <c r="AN6" s="493"/>
      <c r="AO6" s="493"/>
      <c r="AP6" s="493"/>
      <c r="AQ6" s="493"/>
      <c r="AR6" s="493"/>
      <c r="AS6" s="493"/>
    </row>
    <row r="7" spans="1:45" ht="12" customHeight="1" x14ac:dyDescent="0.15">
      <c r="A7" s="493"/>
      <c r="B7" s="1095"/>
      <c r="C7" s="1096"/>
      <c r="D7" s="1096"/>
      <c r="E7" s="1096"/>
      <c r="F7" s="1096"/>
      <c r="G7" s="1096"/>
      <c r="H7" s="1096"/>
      <c r="I7" s="1096"/>
      <c r="J7" s="1096"/>
      <c r="K7" s="1096"/>
      <c r="L7" s="1096"/>
      <c r="M7" s="1096"/>
      <c r="N7" s="1096"/>
      <c r="O7" s="1097"/>
      <c r="P7" s="1113"/>
      <c r="Q7" s="1114"/>
      <c r="R7" s="1114"/>
      <c r="S7" s="1115"/>
      <c r="T7" s="1116"/>
      <c r="U7" s="1117"/>
      <c r="V7" s="1117"/>
      <c r="W7" s="1117"/>
      <c r="X7" s="1117"/>
      <c r="Y7" s="1117"/>
      <c r="Z7" s="1117"/>
      <c r="AA7" s="1117"/>
      <c r="AB7" s="1117"/>
      <c r="AC7" s="1117"/>
      <c r="AD7" s="1117"/>
      <c r="AE7" s="1117"/>
      <c r="AF7" s="1117"/>
      <c r="AG7" s="1118"/>
      <c r="AH7" s="493"/>
      <c r="AI7" s="493"/>
      <c r="AJ7" s="493"/>
      <c r="AK7" s="493"/>
      <c r="AL7" s="493"/>
      <c r="AM7" s="493"/>
      <c r="AN7" s="493"/>
      <c r="AO7" s="493"/>
      <c r="AP7" s="493"/>
      <c r="AQ7" s="493"/>
      <c r="AR7" s="493"/>
      <c r="AS7" s="493"/>
    </row>
    <row r="8" spans="1:45" ht="12" customHeight="1" x14ac:dyDescent="0.15">
      <c r="A8" s="493"/>
      <c r="B8" s="1095"/>
      <c r="C8" s="1096"/>
      <c r="D8" s="1096"/>
      <c r="E8" s="1096"/>
      <c r="F8" s="1096"/>
      <c r="G8" s="1096"/>
      <c r="H8" s="1096"/>
      <c r="I8" s="1096"/>
      <c r="J8" s="1096"/>
      <c r="K8" s="1096"/>
      <c r="L8" s="1096"/>
      <c r="M8" s="1096"/>
      <c r="N8" s="1096"/>
      <c r="O8" s="1097"/>
      <c r="P8" s="1113"/>
      <c r="Q8" s="1114"/>
      <c r="R8" s="1114"/>
      <c r="S8" s="1115"/>
      <c r="T8" s="1116"/>
      <c r="U8" s="1117"/>
      <c r="V8" s="1117"/>
      <c r="W8" s="1117"/>
      <c r="X8" s="1117"/>
      <c r="Y8" s="1117"/>
      <c r="Z8" s="1117"/>
      <c r="AA8" s="1117"/>
      <c r="AB8" s="1117"/>
      <c r="AC8" s="1117"/>
      <c r="AD8" s="1117"/>
      <c r="AE8" s="1117"/>
      <c r="AF8" s="1117"/>
      <c r="AG8" s="1118"/>
      <c r="AH8" s="493"/>
      <c r="AI8" s="493"/>
      <c r="AJ8" s="493"/>
      <c r="AK8" s="493"/>
      <c r="AL8" s="493"/>
      <c r="AM8" s="493"/>
      <c r="AN8" s="493"/>
      <c r="AO8" s="493"/>
      <c r="AP8" s="493"/>
      <c r="AQ8" s="493"/>
      <c r="AR8" s="493"/>
      <c r="AS8" s="493"/>
    </row>
    <row r="9" spans="1:45" ht="12" customHeight="1" thickBot="1" x14ac:dyDescent="0.2">
      <c r="A9" s="493"/>
      <c r="B9" s="1098"/>
      <c r="C9" s="1099"/>
      <c r="D9" s="1099"/>
      <c r="E9" s="1099"/>
      <c r="F9" s="1099"/>
      <c r="G9" s="1099"/>
      <c r="H9" s="1099"/>
      <c r="I9" s="1099"/>
      <c r="J9" s="1099"/>
      <c r="K9" s="1099"/>
      <c r="L9" s="1099"/>
      <c r="M9" s="1099"/>
      <c r="N9" s="1099"/>
      <c r="O9" s="1100"/>
      <c r="P9" s="1104"/>
      <c r="Q9" s="1105"/>
      <c r="R9" s="1105"/>
      <c r="S9" s="1106"/>
      <c r="T9" s="1110"/>
      <c r="U9" s="1111"/>
      <c r="V9" s="1111"/>
      <c r="W9" s="1111"/>
      <c r="X9" s="1111"/>
      <c r="Y9" s="1111"/>
      <c r="Z9" s="1111"/>
      <c r="AA9" s="1111"/>
      <c r="AB9" s="1111"/>
      <c r="AC9" s="1111"/>
      <c r="AD9" s="1111"/>
      <c r="AE9" s="1111"/>
      <c r="AF9" s="1111"/>
      <c r="AG9" s="1112"/>
      <c r="AH9" s="493"/>
      <c r="AI9" s="493"/>
      <c r="AJ9" s="493"/>
      <c r="AK9" s="493"/>
      <c r="AL9" s="493"/>
      <c r="AM9" s="493"/>
      <c r="AN9" s="493"/>
      <c r="AO9" s="493"/>
      <c r="AP9" s="493"/>
      <c r="AQ9" s="493"/>
      <c r="AR9" s="493"/>
      <c r="AS9" s="493"/>
    </row>
    <row r="10" spans="1:45" ht="12" customHeight="1" thickBot="1" x14ac:dyDescent="0.2">
      <c r="A10" s="493"/>
      <c r="B10" s="493"/>
      <c r="C10" s="493"/>
      <c r="D10" s="493"/>
      <c r="E10" s="493"/>
      <c r="F10" s="493"/>
      <c r="G10" s="493"/>
      <c r="H10" s="493"/>
      <c r="I10" s="493"/>
      <c r="J10" s="493"/>
      <c r="K10" s="493"/>
      <c r="L10" s="493"/>
      <c r="M10" s="493"/>
      <c r="N10" s="493"/>
      <c r="O10" s="493"/>
      <c r="P10" s="493"/>
      <c r="Q10" s="493"/>
      <c r="R10" s="493"/>
      <c r="S10" s="493"/>
      <c r="T10" s="493"/>
      <c r="U10" s="493"/>
      <c r="V10" s="493"/>
      <c r="W10" s="493"/>
      <c r="X10" s="493"/>
      <c r="Y10" s="493"/>
      <c r="Z10" s="493"/>
      <c r="AA10" s="493"/>
      <c r="AB10" s="493"/>
      <c r="AC10" s="493"/>
      <c r="AD10" s="493"/>
      <c r="AE10" s="493"/>
      <c r="AF10" s="493"/>
      <c r="AG10" s="493"/>
      <c r="AH10" s="493"/>
      <c r="AI10" s="493"/>
      <c r="AJ10" s="493"/>
      <c r="AK10" s="493"/>
      <c r="AL10" s="493"/>
      <c r="AM10" s="493"/>
      <c r="AN10" s="493"/>
      <c r="AO10" s="493"/>
      <c r="AP10" s="493"/>
      <c r="AQ10" s="493"/>
      <c r="AR10" s="493"/>
      <c r="AS10" s="493"/>
    </row>
    <row r="11" spans="1:45" s="165" customFormat="1" ht="12" customHeight="1" thickBot="1" x14ac:dyDescent="0.2">
      <c r="A11" s="494"/>
      <c r="B11" s="495"/>
      <c r="C11" s="496"/>
      <c r="D11" s="497"/>
      <c r="E11" s="497"/>
      <c r="F11" s="497"/>
      <c r="G11" s="497"/>
      <c r="H11" s="497"/>
      <c r="I11" s="497"/>
      <c r="J11" s="497"/>
      <c r="K11" s="497"/>
      <c r="L11" s="497"/>
      <c r="M11" s="497"/>
      <c r="N11" s="497"/>
      <c r="O11" s="497"/>
      <c r="P11" s="497"/>
      <c r="Q11" s="497"/>
      <c r="R11" s="497"/>
      <c r="S11" s="498"/>
      <c r="T11" s="497"/>
      <c r="U11" s="497"/>
      <c r="V11" s="497"/>
      <c r="W11" s="497"/>
      <c r="X11" s="497"/>
      <c r="Y11" s="497"/>
      <c r="Z11" s="498"/>
      <c r="AA11" s="497"/>
      <c r="AB11" s="497"/>
      <c r="AC11" s="497"/>
      <c r="AD11" s="497"/>
      <c r="AE11" s="497"/>
      <c r="AF11" s="497"/>
      <c r="AG11" s="499"/>
      <c r="AH11" s="494"/>
      <c r="AI11" s="494"/>
      <c r="AJ11" s="494"/>
      <c r="AK11" s="494"/>
      <c r="AL11" s="494"/>
      <c r="AM11" s="494"/>
      <c r="AN11" s="494"/>
      <c r="AO11" s="494"/>
      <c r="AP11" s="494"/>
      <c r="AQ11" s="494"/>
      <c r="AR11" s="494"/>
      <c r="AS11" s="494"/>
    </row>
    <row r="12" spans="1:45" s="165" customFormat="1" ht="24" customHeight="1" thickBot="1" x14ac:dyDescent="0.2">
      <c r="A12" s="494"/>
      <c r="B12" s="500"/>
      <c r="C12" s="406" t="s">
        <v>694</v>
      </c>
      <c r="D12" s="1131">
        <f>キャラシート!B3</f>
        <v>0</v>
      </c>
      <c r="E12" s="1132"/>
      <c r="F12" s="1132"/>
      <c r="G12" s="1133"/>
      <c r="H12" s="501"/>
      <c r="I12" s="414" t="s">
        <v>1064</v>
      </c>
      <c r="J12" s="502"/>
      <c r="K12" s="167"/>
      <c r="L12" s="167"/>
      <c r="M12" s="167"/>
      <c r="N12" s="167"/>
      <c r="O12" s="167"/>
      <c r="P12" s="167"/>
      <c r="Q12" s="416" t="s">
        <v>1065</v>
      </c>
      <c r="R12" s="501"/>
      <c r="S12" s="503" t="s">
        <v>556</v>
      </c>
      <c r="T12" s="1128">
        <f>キャラシート!J39</f>
        <v>0</v>
      </c>
      <c r="U12" s="1129"/>
      <c r="V12" s="1129"/>
      <c r="W12" s="1129"/>
      <c r="X12" s="1130"/>
      <c r="Y12" s="501"/>
      <c r="Z12" s="1078" t="s">
        <v>436</v>
      </c>
      <c r="AA12" s="1065"/>
      <c r="AB12" s="1066"/>
      <c r="AC12" s="1066"/>
      <c r="AD12" s="1066"/>
      <c r="AE12" s="1067"/>
      <c r="AF12" s="501"/>
      <c r="AG12" s="1074" t="s">
        <v>1066</v>
      </c>
      <c r="AH12" s="494"/>
      <c r="AI12" s="494"/>
      <c r="AJ12" s="494"/>
      <c r="AK12" s="494"/>
      <c r="AL12" s="494"/>
      <c r="AM12" s="494"/>
      <c r="AN12" s="494"/>
      <c r="AO12" s="494"/>
      <c r="AP12" s="494"/>
      <c r="AQ12" s="494"/>
      <c r="AR12" s="494"/>
      <c r="AS12" s="494"/>
    </row>
    <row r="13" spans="1:45" s="165" customFormat="1" ht="24" customHeight="1" thickBot="1" x14ac:dyDescent="0.2">
      <c r="A13" s="494"/>
      <c r="B13" s="500"/>
      <c r="C13" s="1075" t="s">
        <v>3</v>
      </c>
      <c r="D13" s="1076"/>
      <c r="E13" s="1077" t="s">
        <v>5</v>
      </c>
      <c r="F13" s="1076"/>
      <c r="G13" s="504" t="s">
        <v>1067</v>
      </c>
      <c r="H13" s="501"/>
      <c r="I13" s="414" t="s">
        <v>1068</v>
      </c>
      <c r="J13" s="168"/>
      <c r="K13" s="167"/>
      <c r="L13" s="167"/>
      <c r="M13" s="167"/>
      <c r="N13" s="167"/>
      <c r="O13" s="167"/>
      <c r="P13" s="167"/>
      <c r="Q13" s="416" t="s">
        <v>1069</v>
      </c>
      <c r="R13" s="501"/>
      <c r="S13" s="1078" t="s">
        <v>567</v>
      </c>
      <c r="T13" s="1081">
        <f>キャラシート!J43</f>
        <v>0</v>
      </c>
      <c r="U13" s="1082"/>
      <c r="V13" s="1082"/>
      <c r="W13" s="1082"/>
      <c r="X13" s="1083"/>
      <c r="Y13" s="501"/>
      <c r="Z13" s="1079"/>
      <c r="AA13" s="1068"/>
      <c r="AB13" s="1069"/>
      <c r="AC13" s="1069"/>
      <c r="AD13" s="1069"/>
      <c r="AE13" s="1070"/>
      <c r="AF13" s="501"/>
      <c r="AG13" s="1074"/>
      <c r="AH13" s="494"/>
      <c r="AI13" s="494"/>
      <c r="AJ13" s="494"/>
      <c r="AK13" s="494"/>
      <c r="AL13" s="494"/>
      <c r="AM13" s="494"/>
      <c r="AN13" s="494"/>
      <c r="AO13" s="494"/>
      <c r="AP13" s="494"/>
      <c r="AQ13" s="494"/>
      <c r="AR13" s="494"/>
      <c r="AS13" s="494"/>
    </row>
    <row r="14" spans="1:45" s="165" customFormat="1" ht="24" customHeight="1" thickBot="1" x14ac:dyDescent="0.2">
      <c r="A14" s="494"/>
      <c r="B14" s="500"/>
      <c r="C14" s="1090" t="str">
        <f>キャラシート!K8</f>
        <v>－</v>
      </c>
      <c r="D14" s="1091"/>
      <c r="E14" s="1119" t="str">
        <f>キャラシート!K7</f>
        <v>－</v>
      </c>
      <c r="F14" s="1091"/>
      <c r="G14" s="169"/>
      <c r="H14" s="501"/>
      <c r="I14" s="414" t="s">
        <v>412</v>
      </c>
      <c r="J14" s="168"/>
      <c r="K14" s="167"/>
      <c r="L14" s="167"/>
      <c r="M14" s="167"/>
      <c r="N14" s="167"/>
      <c r="O14" s="167"/>
      <c r="P14" s="167"/>
      <c r="Q14" s="416" t="s">
        <v>1070</v>
      </c>
      <c r="R14" s="501"/>
      <c r="S14" s="1079"/>
      <c r="T14" s="1084"/>
      <c r="U14" s="1085"/>
      <c r="V14" s="1085"/>
      <c r="W14" s="1085"/>
      <c r="X14" s="1086"/>
      <c r="Y14" s="501"/>
      <c r="Z14" s="1079"/>
      <c r="AA14" s="1068"/>
      <c r="AB14" s="1069"/>
      <c r="AC14" s="1069"/>
      <c r="AD14" s="1069"/>
      <c r="AE14" s="1070"/>
      <c r="AF14" s="501"/>
      <c r="AG14" s="1074"/>
      <c r="AH14" s="494"/>
      <c r="AI14" s="494"/>
      <c r="AJ14" s="494"/>
      <c r="AK14" s="494"/>
      <c r="AL14" s="494"/>
      <c r="AM14" s="494"/>
      <c r="AN14" s="494"/>
      <c r="AO14" s="494"/>
      <c r="AP14" s="494"/>
      <c r="AQ14" s="494"/>
      <c r="AR14" s="494"/>
      <c r="AS14" s="494"/>
    </row>
    <row r="15" spans="1:45" s="165" customFormat="1" ht="24" customHeight="1" thickBot="1" x14ac:dyDescent="0.2">
      <c r="A15" s="494"/>
      <c r="B15" s="500"/>
      <c r="C15" s="1075" t="s">
        <v>465</v>
      </c>
      <c r="D15" s="1076"/>
      <c r="E15" s="505" t="s">
        <v>466</v>
      </c>
      <c r="F15" s="505" t="s">
        <v>1071</v>
      </c>
      <c r="G15" s="506" t="s">
        <v>464</v>
      </c>
      <c r="H15" s="501"/>
      <c r="I15" s="414" t="s">
        <v>1072</v>
      </c>
      <c r="J15" s="167"/>
      <c r="K15" s="167"/>
      <c r="L15" s="167"/>
      <c r="M15" s="167"/>
      <c r="N15" s="167"/>
      <c r="O15" s="167"/>
      <c r="P15" s="167"/>
      <c r="Q15" s="416" t="s">
        <v>1073</v>
      </c>
      <c r="R15" s="501"/>
      <c r="S15" s="1079"/>
      <c r="T15" s="1084"/>
      <c r="U15" s="1085"/>
      <c r="V15" s="1085"/>
      <c r="W15" s="1085"/>
      <c r="X15" s="1086"/>
      <c r="Y15" s="501"/>
      <c r="Z15" s="1079"/>
      <c r="AA15" s="1068"/>
      <c r="AB15" s="1069"/>
      <c r="AC15" s="1069"/>
      <c r="AD15" s="1069"/>
      <c r="AE15" s="1070"/>
      <c r="AF15" s="501"/>
      <c r="AG15" s="1074"/>
      <c r="AH15" s="494"/>
      <c r="AI15" s="494"/>
      <c r="AJ15" s="494"/>
      <c r="AK15" s="494"/>
      <c r="AL15" s="494"/>
      <c r="AM15" s="494"/>
      <c r="AN15" s="494"/>
      <c r="AO15" s="494"/>
      <c r="AP15" s="494"/>
      <c r="AQ15" s="494"/>
      <c r="AR15" s="494"/>
      <c r="AS15" s="494"/>
    </row>
    <row r="16" spans="1:45" s="165" customFormat="1" ht="24" customHeight="1" thickBot="1" x14ac:dyDescent="0.2">
      <c r="A16" s="494"/>
      <c r="B16" s="500"/>
      <c r="C16" s="1120">
        <f>キャラシート!D6</f>
        <v>0</v>
      </c>
      <c r="D16" s="1121"/>
      <c r="E16" s="166">
        <f>キャラシート!F6</f>
        <v>0</v>
      </c>
      <c r="F16" s="166"/>
      <c r="G16" s="80">
        <f>キャラシート!B6</f>
        <v>0</v>
      </c>
      <c r="H16" s="501"/>
      <c r="I16" s="507" t="s">
        <v>1074</v>
      </c>
      <c r="J16" s="508"/>
      <c r="K16" s="589"/>
      <c r="L16" s="589"/>
      <c r="M16" s="589"/>
      <c r="N16" s="589"/>
      <c r="P16" s="167"/>
      <c r="Q16" s="509" t="s">
        <v>1075</v>
      </c>
      <c r="R16" s="501"/>
      <c r="S16" s="1080"/>
      <c r="T16" s="1087"/>
      <c r="U16" s="1088"/>
      <c r="V16" s="1088"/>
      <c r="W16" s="1088"/>
      <c r="X16" s="1089"/>
      <c r="Y16" s="501"/>
      <c r="Z16" s="1079"/>
      <c r="AA16" s="1068"/>
      <c r="AB16" s="1069"/>
      <c r="AC16" s="1069"/>
      <c r="AD16" s="1069"/>
      <c r="AE16" s="1070"/>
      <c r="AF16" s="501"/>
      <c r="AG16" s="1074"/>
      <c r="AH16" s="510"/>
      <c r="AI16" s="494"/>
      <c r="AJ16" s="494"/>
      <c r="AK16" s="494"/>
      <c r="AL16" s="494"/>
      <c r="AM16" s="494"/>
      <c r="AN16" s="494"/>
      <c r="AO16" s="494"/>
      <c r="AP16" s="494"/>
      <c r="AQ16" s="494"/>
      <c r="AR16" s="494"/>
      <c r="AS16" s="494"/>
    </row>
    <row r="17" spans="1:45" s="165" customFormat="1" ht="24" customHeight="1" thickBot="1" x14ac:dyDescent="0.2">
      <c r="A17" s="494"/>
      <c r="B17" s="500"/>
      <c r="C17" s="406" t="s">
        <v>470</v>
      </c>
      <c r="D17" s="1122">
        <f>キャラシート!D7</f>
        <v>0</v>
      </c>
      <c r="E17" s="1123"/>
      <c r="F17" s="1123"/>
      <c r="G17" s="1124"/>
      <c r="H17" s="501"/>
      <c r="I17" s="415" t="s">
        <v>1076</v>
      </c>
      <c r="J17" s="1125"/>
      <c r="K17" s="1126"/>
      <c r="L17" s="1126"/>
      <c r="M17" s="1126"/>
      <c r="N17" s="1126"/>
      <c r="O17" s="1126"/>
      <c r="P17" s="1126"/>
      <c r="Q17" s="1127"/>
      <c r="R17" s="501"/>
      <c r="S17" s="413" t="s">
        <v>1077</v>
      </c>
      <c r="T17" s="1128" t="s">
        <v>1122</v>
      </c>
      <c r="U17" s="1129"/>
      <c r="V17" s="1129"/>
      <c r="W17" s="1129"/>
      <c r="X17" s="1130"/>
      <c r="Y17" s="501"/>
      <c r="Z17" s="1080"/>
      <c r="AA17" s="1071"/>
      <c r="AB17" s="1072"/>
      <c r="AC17" s="1072"/>
      <c r="AD17" s="1072"/>
      <c r="AE17" s="1073"/>
      <c r="AF17" s="501"/>
      <c r="AG17" s="1074"/>
      <c r="AH17" s="494"/>
      <c r="AI17" s="494"/>
      <c r="AJ17" s="494"/>
      <c r="AK17" s="494"/>
      <c r="AL17" s="494"/>
      <c r="AM17" s="494"/>
      <c r="AN17" s="494"/>
      <c r="AO17" s="494"/>
      <c r="AP17" s="494"/>
      <c r="AQ17" s="494"/>
      <c r="AR17" s="494"/>
      <c r="AS17" s="494"/>
    </row>
    <row r="18" spans="1:45" s="165" customFormat="1" ht="14.45" customHeight="1" thickBot="1" x14ac:dyDescent="0.2">
      <c r="A18" s="494"/>
      <c r="B18" s="500"/>
      <c r="C18" s="501"/>
      <c r="D18" s="501"/>
      <c r="E18" s="501"/>
      <c r="F18" s="501"/>
      <c r="G18" s="501"/>
      <c r="H18" s="501"/>
      <c r="I18" s="511"/>
      <c r="J18" s="511"/>
      <c r="K18" s="511"/>
      <c r="L18" s="511"/>
      <c r="M18" s="511"/>
      <c r="N18" s="511"/>
      <c r="O18" s="511"/>
      <c r="P18" s="511"/>
      <c r="Q18" s="511"/>
      <c r="R18" s="501"/>
      <c r="S18" s="511"/>
      <c r="T18" s="501"/>
      <c r="U18" s="501"/>
      <c r="V18" s="501"/>
      <c r="W18" s="501"/>
      <c r="X18" s="501"/>
      <c r="Y18" s="501"/>
      <c r="Z18" s="511"/>
      <c r="AA18" s="501"/>
      <c r="AB18" s="501"/>
      <c r="AC18" s="501"/>
      <c r="AD18" s="501"/>
      <c r="AE18" s="501"/>
      <c r="AF18" s="512"/>
      <c r="AG18" s="1074"/>
      <c r="AH18" s="494"/>
      <c r="AI18" s="494"/>
      <c r="AJ18" s="494"/>
      <c r="AK18" s="494"/>
      <c r="AL18" s="494"/>
      <c r="AM18" s="494"/>
      <c r="AN18" s="494"/>
      <c r="AO18" s="494"/>
      <c r="AP18" s="494"/>
      <c r="AQ18" s="494"/>
      <c r="AR18" s="494"/>
      <c r="AS18" s="494"/>
    </row>
    <row r="19" spans="1:45" s="165" customFormat="1" ht="28.9" customHeight="1" x14ac:dyDescent="0.15">
      <c r="A19" s="494"/>
      <c r="B19" s="500"/>
      <c r="C19" s="1078" t="s">
        <v>1132</v>
      </c>
      <c r="D19" s="1151"/>
      <c r="E19" s="1152"/>
      <c r="F19" s="1152"/>
      <c r="G19" s="1153"/>
      <c r="H19" s="501"/>
      <c r="I19" s="1078" t="s">
        <v>1078</v>
      </c>
      <c r="J19" s="1151"/>
      <c r="K19" s="1152"/>
      <c r="L19" s="1152"/>
      <c r="M19" s="1152"/>
      <c r="N19" s="1152"/>
      <c r="O19" s="1152"/>
      <c r="P19" s="1152"/>
      <c r="Q19" s="1152"/>
      <c r="R19" s="1152"/>
      <c r="S19" s="1152"/>
      <c r="T19" s="1152"/>
      <c r="U19" s="1152"/>
      <c r="V19" s="1152"/>
      <c r="W19" s="1152"/>
      <c r="X19" s="1153"/>
      <c r="Y19" s="514"/>
      <c r="Z19" s="515" t="s">
        <v>1079</v>
      </c>
      <c r="AA19" s="1134"/>
      <c r="AB19" s="1135"/>
      <c r="AC19" s="1135"/>
      <c r="AD19" s="1135"/>
      <c r="AE19" s="1136"/>
      <c r="AF19" s="516"/>
      <c r="AG19" s="1074"/>
      <c r="AH19" s="494"/>
      <c r="AI19" s="494"/>
      <c r="AJ19" s="494"/>
      <c r="AK19" s="494"/>
      <c r="AL19" s="494"/>
      <c r="AM19" s="494"/>
      <c r="AN19" s="494"/>
      <c r="AO19" s="494"/>
      <c r="AP19" s="494"/>
      <c r="AQ19" s="494"/>
      <c r="AR19" s="494"/>
      <c r="AS19" s="494"/>
    </row>
    <row r="20" spans="1:45" s="165" customFormat="1" ht="28.9" customHeight="1" x14ac:dyDescent="0.15">
      <c r="A20" s="494"/>
      <c r="B20" s="500"/>
      <c r="C20" s="1079"/>
      <c r="D20" s="1154"/>
      <c r="E20" s="1155"/>
      <c r="F20" s="1155"/>
      <c r="G20" s="1156"/>
      <c r="H20" s="501"/>
      <c r="I20" s="1079"/>
      <c r="J20" s="1154"/>
      <c r="K20" s="1155"/>
      <c r="L20" s="1155"/>
      <c r="M20" s="1155"/>
      <c r="N20" s="1155"/>
      <c r="O20" s="1155"/>
      <c r="P20" s="1155"/>
      <c r="Q20" s="1155"/>
      <c r="R20" s="1155"/>
      <c r="S20" s="1155"/>
      <c r="T20" s="1155"/>
      <c r="U20" s="1155"/>
      <c r="V20" s="1155"/>
      <c r="W20" s="1155"/>
      <c r="X20" s="1156"/>
      <c r="Y20" s="514"/>
      <c r="Z20" s="1137" t="s">
        <v>1080</v>
      </c>
      <c r="AA20" s="1139"/>
      <c r="AB20" s="1140"/>
      <c r="AC20" s="1140"/>
      <c r="AD20" s="1140"/>
      <c r="AE20" s="1141"/>
      <c r="AF20" s="516"/>
      <c r="AG20" s="1074"/>
      <c r="AH20" s="494"/>
      <c r="AI20" s="494"/>
      <c r="AJ20" s="494"/>
      <c r="AK20" s="494"/>
      <c r="AL20" s="494"/>
      <c r="AM20" s="494"/>
      <c r="AN20" s="494"/>
      <c r="AO20" s="494"/>
      <c r="AP20" s="494"/>
      <c r="AQ20" s="494"/>
      <c r="AR20" s="494"/>
      <c r="AS20" s="494"/>
    </row>
    <row r="21" spans="1:45" s="165" customFormat="1" ht="28.9" customHeight="1" x14ac:dyDescent="0.15">
      <c r="A21" s="494"/>
      <c r="B21" s="500"/>
      <c r="C21" s="1079"/>
      <c r="D21" s="1154"/>
      <c r="E21" s="1155"/>
      <c r="F21" s="1155"/>
      <c r="G21" s="1156"/>
      <c r="H21" s="501"/>
      <c r="I21" s="1079"/>
      <c r="J21" s="1154"/>
      <c r="K21" s="1155"/>
      <c r="L21" s="1155"/>
      <c r="M21" s="1155"/>
      <c r="N21" s="1155"/>
      <c r="O21" s="1155"/>
      <c r="P21" s="1155"/>
      <c r="Q21" s="1155"/>
      <c r="R21" s="1155"/>
      <c r="S21" s="1155"/>
      <c r="T21" s="1155"/>
      <c r="U21" s="1155"/>
      <c r="V21" s="1155"/>
      <c r="W21" s="1155"/>
      <c r="X21" s="1156"/>
      <c r="Y21" s="514"/>
      <c r="Z21" s="1138"/>
      <c r="AA21" s="1142"/>
      <c r="AB21" s="1143"/>
      <c r="AC21" s="1143"/>
      <c r="AD21" s="1143"/>
      <c r="AE21" s="1144"/>
      <c r="AF21" s="516"/>
      <c r="AG21" s="1074"/>
      <c r="AH21" s="494"/>
      <c r="AI21" s="494"/>
      <c r="AJ21" s="494"/>
      <c r="AK21" s="494"/>
      <c r="AL21" s="494"/>
      <c r="AM21" s="494"/>
      <c r="AN21" s="494"/>
      <c r="AO21" s="494"/>
      <c r="AP21" s="494"/>
      <c r="AQ21" s="494"/>
      <c r="AR21" s="494"/>
      <c r="AS21" s="494"/>
    </row>
    <row r="22" spans="1:45" s="165" customFormat="1" ht="28.9" customHeight="1" x14ac:dyDescent="0.15">
      <c r="A22" s="494"/>
      <c r="B22" s="500"/>
      <c r="C22" s="1079"/>
      <c r="D22" s="1154"/>
      <c r="E22" s="1155"/>
      <c r="F22" s="1155"/>
      <c r="G22" s="1156"/>
      <c r="H22" s="501"/>
      <c r="I22" s="1079"/>
      <c r="J22" s="1154"/>
      <c r="K22" s="1155"/>
      <c r="L22" s="1155"/>
      <c r="M22" s="1155"/>
      <c r="N22" s="1155"/>
      <c r="O22" s="1155"/>
      <c r="P22" s="1155"/>
      <c r="Q22" s="1155"/>
      <c r="R22" s="1155"/>
      <c r="S22" s="1155"/>
      <c r="T22" s="1155"/>
      <c r="U22" s="1155"/>
      <c r="V22" s="1155"/>
      <c r="W22" s="1155"/>
      <c r="X22" s="1156"/>
      <c r="Y22" s="514"/>
      <c r="Z22" s="412" t="s">
        <v>1081</v>
      </c>
      <c r="AA22" s="1145"/>
      <c r="AB22" s="1146"/>
      <c r="AC22" s="1146"/>
      <c r="AD22" s="1146"/>
      <c r="AE22" s="1147"/>
      <c r="AF22" s="516"/>
      <c r="AG22" s="1074"/>
      <c r="AH22" s="494"/>
      <c r="AI22" s="494"/>
      <c r="AJ22" s="494"/>
      <c r="AK22" s="494"/>
      <c r="AL22" s="494"/>
      <c r="AM22" s="494"/>
      <c r="AN22" s="494"/>
      <c r="AO22" s="494"/>
      <c r="AP22" s="494"/>
      <c r="AQ22" s="494"/>
      <c r="AR22" s="494"/>
      <c r="AS22" s="494"/>
    </row>
    <row r="23" spans="1:45" s="165" customFormat="1" ht="28.9" customHeight="1" x14ac:dyDescent="0.15">
      <c r="A23" s="494"/>
      <c r="B23" s="500"/>
      <c r="C23" s="1079"/>
      <c r="D23" s="1154"/>
      <c r="E23" s="1155"/>
      <c r="F23" s="1155"/>
      <c r="G23" s="1156"/>
      <c r="H23" s="501"/>
      <c r="I23" s="1079"/>
      <c r="J23" s="1154"/>
      <c r="K23" s="1155"/>
      <c r="L23" s="1155"/>
      <c r="M23" s="1155"/>
      <c r="N23" s="1155"/>
      <c r="O23" s="1155"/>
      <c r="P23" s="1155"/>
      <c r="Q23" s="1155"/>
      <c r="R23" s="1155"/>
      <c r="S23" s="1155"/>
      <c r="T23" s="1155"/>
      <c r="U23" s="1155"/>
      <c r="V23" s="1155"/>
      <c r="W23" s="1155"/>
      <c r="X23" s="1156"/>
      <c r="Y23" s="514"/>
      <c r="Z23" s="412" t="s">
        <v>1082</v>
      </c>
      <c r="AA23" s="1145"/>
      <c r="AB23" s="1146"/>
      <c r="AC23" s="1146"/>
      <c r="AD23" s="1146"/>
      <c r="AE23" s="1147"/>
      <c r="AF23" s="516"/>
      <c r="AG23" s="1074"/>
      <c r="AH23" s="494"/>
      <c r="AI23" s="494"/>
      <c r="AJ23" s="494"/>
      <c r="AK23" s="494"/>
      <c r="AL23" s="494"/>
      <c r="AM23" s="494"/>
      <c r="AN23" s="494"/>
      <c r="AO23" s="494"/>
      <c r="AP23" s="494"/>
      <c r="AQ23" s="494"/>
      <c r="AR23" s="494"/>
      <c r="AS23" s="494"/>
    </row>
    <row r="24" spans="1:45" s="165" customFormat="1" ht="28.9" customHeight="1" thickBot="1" x14ac:dyDescent="0.2">
      <c r="A24" s="494"/>
      <c r="B24" s="500"/>
      <c r="C24" s="1080"/>
      <c r="D24" s="1157"/>
      <c r="E24" s="1158"/>
      <c r="F24" s="1158"/>
      <c r="G24" s="1159"/>
      <c r="H24" s="501"/>
      <c r="I24" s="1080"/>
      <c r="J24" s="1157"/>
      <c r="K24" s="1158"/>
      <c r="L24" s="1158"/>
      <c r="M24" s="1158"/>
      <c r="N24" s="1158"/>
      <c r="O24" s="1158"/>
      <c r="P24" s="1158"/>
      <c r="Q24" s="1158"/>
      <c r="R24" s="1158"/>
      <c r="S24" s="1158"/>
      <c r="T24" s="1158"/>
      <c r="U24" s="1158"/>
      <c r="V24" s="1158"/>
      <c r="W24" s="1158"/>
      <c r="X24" s="1159"/>
      <c r="Y24" s="513"/>
      <c r="Z24" s="413" t="s">
        <v>1083</v>
      </c>
      <c r="AA24" s="1148"/>
      <c r="AB24" s="1149"/>
      <c r="AC24" s="1149"/>
      <c r="AD24" s="1149"/>
      <c r="AE24" s="1150"/>
      <c r="AF24" s="516"/>
      <c r="AG24" s="1074"/>
      <c r="AH24" s="494"/>
      <c r="AI24" s="494"/>
      <c r="AJ24" s="494"/>
      <c r="AK24" s="494"/>
      <c r="AL24" s="494"/>
      <c r="AM24" s="494"/>
      <c r="AN24" s="494"/>
      <c r="AO24" s="494"/>
      <c r="AP24" s="494"/>
      <c r="AQ24" s="494"/>
      <c r="AR24" s="494"/>
      <c r="AS24" s="494"/>
    </row>
    <row r="25" spans="1:45" s="165" customFormat="1" ht="14.45" customHeight="1" thickBot="1" x14ac:dyDescent="0.2">
      <c r="A25" s="494"/>
      <c r="B25" s="500"/>
      <c r="C25" s="501"/>
      <c r="D25" s="517"/>
      <c r="E25" s="501"/>
      <c r="F25" s="501"/>
      <c r="G25" s="501"/>
      <c r="H25" s="501"/>
      <c r="I25" s="511"/>
      <c r="J25" s="511"/>
      <c r="K25" s="511"/>
      <c r="L25" s="511"/>
      <c r="M25" s="511"/>
      <c r="N25" s="511"/>
      <c r="O25" s="511"/>
      <c r="P25" s="511"/>
      <c r="Q25" s="511"/>
      <c r="R25" s="501"/>
      <c r="S25" s="511"/>
      <c r="T25" s="501"/>
      <c r="U25" s="501"/>
      <c r="V25" s="501"/>
      <c r="W25" s="501"/>
      <c r="X25" s="501"/>
      <c r="Y25" s="501"/>
      <c r="Z25" s="518"/>
      <c r="AA25" s="514"/>
      <c r="AB25" s="514"/>
      <c r="AC25" s="514"/>
      <c r="AD25" s="514"/>
      <c r="AE25" s="514"/>
      <c r="AF25" s="516"/>
      <c r="AG25" s="1074"/>
      <c r="AH25" s="494"/>
      <c r="AI25" s="494"/>
      <c r="AJ25" s="494"/>
      <c r="AK25" s="494"/>
      <c r="AL25" s="494"/>
      <c r="AM25" s="494"/>
      <c r="AN25" s="494"/>
      <c r="AO25" s="494"/>
      <c r="AP25" s="494"/>
      <c r="AQ25" s="494"/>
      <c r="AR25" s="494"/>
      <c r="AS25" s="494"/>
    </row>
    <row r="26" spans="1:45" s="165" customFormat="1" ht="24" customHeight="1" x14ac:dyDescent="0.15">
      <c r="A26" s="494"/>
      <c r="B26" s="500"/>
      <c r="C26" s="519" t="s">
        <v>1084</v>
      </c>
      <c r="D26" s="1134"/>
      <c r="E26" s="1135"/>
      <c r="F26" s="1135"/>
      <c r="G26" s="1136"/>
      <c r="H26" s="501"/>
      <c r="I26" s="515" t="s">
        <v>1085</v>
      </c>
      <c r="J26" s="1163"/>
      <c r="K26" s="1164"/>
      <c r="L26" s="1164"/>
      <c r="M26" s="1164"/>
      <c r="N26" s="1164"/>
      <c r="O26" s="1164"/>
      <c r="P26" s="1164"/>
      <c r="Q26" s="1165"/>
      <c r="R26" s="501"/>
      <c r="S26" s="520" t="s">
        <v>1086</v>
      </c>
      <c r="T26" s="1134"/>
      <c r="U26" s="1135"/>
      <c r="V26" s="1135"/>
      <c r="W26" s="1135"/>
      <c r="X26" s="1136"/>
      <c r="Y26" s="501"/>
      <c r="Z26" s="515" t="s">
        <v>1087</v>
      </c>
      <c r="AA26" s="1163"/>
      <c r="AB26" s="1164"/>
      <c r="AC26" s="1164"/>
      <c r="AD26" s="1164"/>
      <c r="AE26" s="1165"/>
      <c r="AF26" s="511"/>
      <c r="AG26" s="1074"/>
      <c r="AH26" s="494"/>
      <c r="AI26" s="494"/>
      <c r="AJ26" s="494"/>
      <c r="AK26" s="494"/>
      <c r="AL26" s="494"/>
      <c r="AM26" s="494"/>
      <c r="AN26" s="494"/>
      <c r="AO26" s="494"/>
      <c r="AP26" s="494"/>
      <c r="AQ26" s="494"/>
      <c r="AR26" s="494"/>
      <c r="AS26" s="494"/>
    </row>
    <row r="27" spans="1:45" s="165" customFormat="1" ht="24" customHeight="1" x14ac:dyDescent="0.15">
      <c r="A27" s="494"/>
      <c r="B27" s="500"/>
      <c r="C27" s="407" t="s">
        <v>1088</v>
      </c>
      <c r="D27" s="1145"/>
      <c r="E27" s="1146"/>
      <c r="F27" s="1146"/>
      <c r="G27" s="1147"/>
      <c r="H27" s="501"/>
      <c r="I27" s="412" t="s">
        <v>1089</v>
      </c>
      <c r="J27" s="1160"/>
      <c r="K27" s="1161"/>
      <c r="L27" s="1161"/>
      <c r="M27" s="1161"/>
      <c r="N27" s="1161"/>
      <c r="O27" s="1161"/>
      <c r="P27" s="1161"/>
      <c r="Q27" s="1162"/>
      <c r="R27" s="501"/>
      <c r="S27" s="417" t="s">
        <v>1090</v>
      </c>
      <c r="T27" s="1145"/>
      <c r="U27" s="1146"/>
      <c r="V27" s="1146"/>
      <c r="W27" s="1146"/>
      <c r="X27" s="1147"/>
      <c r="Y27" s="501"/>
      <c r="Z27" s="412" t="s">
        <v>317</v>
      </c>
      <c r="AA27" s="1160"/>
      <c r="AB27" s="1161"/>
      <c r="AC27" s="1161"/>
      <c r="AD27" s="1161"/>
      <c r="AE27" s="1162"/>
      <c r="AF27" s="511"/>
      <c r="AG27" s="1074"/>
      <c r="AH27" s="494"/>
      <c r="AI27" s="494"/>
      <c r="AJ27" s="494"/>
      <c r="AK27" s="494"/>
      <c r="AL27" s="494"/>
      <c r="AM27" s="494"/>
      <c r="AN27" s="494"/>
      <c r="AO27" s="494"/>
      <c r="AP27" s="494"/>
      <c r="AQ27" s="494"/>
      <c r="AR27" s="494"/>
      <c r="AS27" s="494"/>
    </row>
    <row r="28" spans="1:45" s="165" customFormat="1" ht="24" customHeight="1" x14ac:dyDescent="0.15">
      <c r="A28" s="494"/>
      <c r="B28" s="500"/>
      <c r="C28" s="408" t="s">
        <v>1091</v>
      </c>
      <c r="D28" s="1145"/>
      <c r="E28" s="1146"/>
      <c r="F28" s="1146"/>
      <c r="G28" s="1147"/>
      <c r="H28" s="501"/>
      <c r="I28" s="412" t="s">
        <v>1092</v>
      </c>
      <c r="J28" s="1160"/>
      <c r="K28" s="1161"/>
      <c r="L28" s="1161"/>
      <c r="M28" s="1161"/>
      <c r="N28" s="1161"/>
      <c r="O28" s="1161"/>
      <c r="P28" s="1161"/>
      <c r="Q28" s="1162"/>
      <c r="R28" s="501"/>
      <c r="S28" s="417" t="s">
        <v>1093</v>
      </c>
      <c r="T28" s="1145"/>
      <c r="U28" s="1146"/>
      <c r="V28" s="1146"/>
      <c r="W28" s="1146"/>
      <c r="X28" s="1147"/>
      <c r="Y28" s="501"/>
      <c r="Z28" s="412" t="s">
        <v>1094</v>
      </c>
      <c r="AA28" s="1160"/>
      <c r="AB28" s="1161"/>
      <c r="AC28" s="1161"/>
      <c r="AD28" s="1161"/>
      <c r="AE28" s="1162"/>
      <c r="AF28" s="511"/>
      <c r="AG28" s="1074"/>
      <c r="AH28" s="494"/>
      <c r="AI28" s="494"/>
      <c r="AJ28" s="494"/>
      <c r="AK28" s="494"/>
      <c r="AL28" s="494"/>
      <c r="AM28" s="494"/>
      <c r="AN28" s="494"/>
      <c r="AO28" s="494"/>
      <c r="AP28" s="494"/>
      <c r="AQ28" s="494"/>
      <c r="AR28" s="494"/>
      <c r="AS28" s="494"/>
    </row>
    <row r="29" spans="1:45" s="165" customFormat="1" ht="24" customHeight="1" x14ac:dyDescent="0.15">
      <c r="A29" s="494"/>
      <c r="B29" s="500"/>
      <c r="C29" s="407" t="s">
        <v>1095</v>
      </c>
      <c r="D29" s="1145"/>
      <c r="E29" s="1146"/>
      <c r="F29" s="1146"/>
      <c r="G29" s="1147"/>
      <c r="H29" s="501"/>
      <c r="I29" s="412" t="s">
        <v>1096</v>
      </c>
      <c r="J29" s="1160"/>
      <c r="K29" s="1161"/>
      <c r="L29" s="1161"/>
      <c r="M29" s="1161"/>
      <c r="N29" s="1161"/>
      <c r="O29" s="1161"/>
      <c r="P29" s="1161"/>
      <c r="Q29" s="1162"/>
      <c r="R29" s="501"/>
      <c r="S29" s="412" t="s">
        <v>1097</v>
      </c>
      <c r="T29" s="1145"/>
      <c r="U29" s="1146"/>
      <c r="V29" s="1146"/>
      <c r="W29" s="1146"/>
      <c r="X29" s="1147"/>
      <c r="Y29" s="501"/>
      <c r="Z29" s="417" t="s">
        <v>1098</v>
      </c>
      <c r="AA29" s="1160"/>
      <c r="AB29" s="1161"/>
      <c r="AC29" s="1161"/>
      <c r="AD29" s="1161"/>
      <c r="AE29" s="1162"/>
      <c r="AF29" s="511"/>
      <c r="AG29" s="1074"/>
      <c r="AH29" s="494"/>
      <c r="AI29" s="494"/>
      <c r="AJ29" s="494"/>
      <c r="AK29" s="494"/>
      <c r="AL29" s="494"/>
      <c r="AM29" s="494"/>
      <c r="AN29" s="494"/>
      <c r="AO29" s="494"/>
      <c r="AP29" s="494"/>
      <c r="AQ29" s="494"/>
      <c r="AR29" s="494"/>
      <c r="AS29" s="494"/>
    </row>
    <row r="30" spans="1:45" s="165" customFormat="1" ht="24" customHeight="1" x14ac:dyDescent="0.15">
      <c r="A30" s="494"/>
      <c r="B30" s="500"/>
      <c r="C30" s="407" t="s">
        <v>1099</v>
      </c>
      <c r="D30" s="1145"/>
      <c r="E30" s="1146"/>
      <c r="F30" s="1146"/>
      <c r="G30" s="1147"/>
      <c r="H30" s="501"/>
      <c r="I30" s="412" t="s">
        <v>1100</v>
      </c>
      <c r="J30" s="1160"/>
      <c r="K30" s="1161"/>
      <c r="L30" s="1161"/>
      <c r="M30" s="1161"/>
      <c r="N30" s="1161"/>
      <c r="O30" s="1161"/>
      <c r="P30" s="1161"/>
      <c r="Q30" s="1162"/>
      <c r="R30" s="501"/>
      <c r="S30" s="1166" t="s">
        <v>1101</v>
      </c>
      <c r="T30" s="1167"/>
      <c r="U30" s="1168"/>
      <c r="V30" s="1168"/>
      <c r="W30" s="1168"/>
      <c r="X30" s="1169"/>
      <c r="Y30" s="501"/>
      <c r="Z30" s="412" t="s">
        <v>1102</v>
      </c>
      <c r="AA30" s="1160"/>
      <c r="AB30" s="1161"/>
      <c r="AC30" s="1161"/>
      <c r="AD30" s="1161"/>
      <c r="AE30" s="1162"/>
      <c r="AF30" s="511"/>
      <c r="AG30" s="1074"/>
      <c r="AH30" s="494"/>
      <c r="AI30" s="494"/>
      <c r="AJ30" s="494"/>
      <c r="AK30" s="494"/>
      <c r="AL30" s="494"/>
      <c r="AM30" s="494"/>
      <c r="AN30" s="494"/>
      <c r="AO30" s="494"/>
      <c r="AP30" s="494"/>
      <c r="AQ30" s="494"/>
      <c r="AR30" s="494"/>
      <c r="AS30" s="494"/>
    </row>
    <row r="31" spans="1:45" s="165" customFormat="1" ht="24" customHeight="1" thickBot="1" x14ac:dyDescent="0.2">
      <c r="A31" s="494"/>
      <c r="B31" s="500"/>
      <c r="C31" s="409" t="s">
        <v>1103</v>
      </c>
      <c r="D31" s="1148"/>
      <c r="E31" s="1149"/>
      <c r="F31" s="1149"/>
      <c r="G31" s="1150"/>
      <c r="H31" s="501"/>
      <c r="I31" s="413" t="s">
        <v>538</v>
      </c>
      <c r="J31" s="1170" t="str">
        <f>キャラシート!J35</f>
        <v>－</v>
      </c>
      <c r="K31" s="1170"/>
      <c r="L31" s="1170"/>
      <c r="M31" s="1170"/>
      <c r="N31" s="1170"/>
      <c r="O31" s="1170"/>
      <c r="P31" s="1170"/>
      <c r="Q31" s="1171"/>
      <c r="R31" s="501"/>
      <c r="S31" s="1080"/>
      <c r="T31" s="1087"/>
      <c r="U31" s="1088"/>
      <c r="V31" s="1088"/>
      <c r="W31" s="1088"/>
      <c r="X31" s="1089"/>
      <c r="Y31" s="501"/>
      <c r="Z31" s="413" t="s">
        <v>1104</v>
      </c>
      <c r="AA31" s="1172"/>
      <c r="AB31" s="1173"/>
      <c r="AC31" s="1173"/>
      <c r="AD31" s="1173"/>
      <c r="AE31" s="1174"/>
      <c r="AF31" s="511"/>
      <c r="AG31" s="522"/>
      <c r="AH31" s="494"/>
      <c r="AI31" s="494"/>
      <c r="AJ31" s="494"/>
      <c r="AK31" s="494"/>
      <c r="AL31" s="494"/>
      <c r="AM31" s="494"/>
      <c r="AN31" s="494"/>
      <c r="AO31" s="494"/>
      <c r="AP31" s="494"/>
      <c r="AQ31" s="494"/>
      <c r="AR31" s="494"/>
      <c r="AS31" s="494"/>
    </row>
    <row r="32" spans="1:45" s="165" customFormat="1" ht="14.45" customHeight="1" thickBot="1" x14ac:dyDescent="0.2">
      <c r="A32" s="494"/>
      <c r="B32" s="500"/>
      <c r="C32" s="501"/>
      <c r="D32" s="523"/>
      <c r="E32" s="523"/>
      <c r="F32" s="523"/>
      <c r="G32" s="523"/>
      <c r="H32" s="501"/>
      <c r="I32" s="501"/>
      <c r="J32" s="523"/>
      <c r="K32" s="523"/>
      <c r="L32" s="523"/>
      <c r="M32" s="523"/>
      <c r="N32" s="523"/>
      <c r="O32" s="523"/>
      <c r="P32" s="523"/>
      <c r="Q32" s="523"/>
      <c r="R32" s="501"/>
      <c r="S32" s="511"/>
      <c r="T32" s="524"/>
      <c r="U32" s="524"/>
      <c r="V32" s="524"/>
      <c r="W32" s="524"/>
      <c r="X32" s="524"/>
      <c r="Y32" s="501"/>
      <c r="Z32" s="511"/>
      <c r="AA32" s="524"/>
      <c r="AB32" s="524"/>
      <c r="AC32" s="524"/>
      <c r="AD32" s="524"/>
      <c r="AE32" s="524"/>
      <c r="AF32" s="511"/>
      <c r="AG32" s="522"/>
      <c r="AH32" s="494"/>
      <c r="AI32" s="494"/>
      <c r="AJ32" s="494"/>
      <c r="AK32" s="494"/>
      <c r="AL32" s="494"/>
      <c r="AM32" s="494"/>
      <c r="AN32" s="494"/>
      <c r="AO32" s="494"/>
      <c r="AP32" s="494"/>
      <c r="AQ32" s="494"/>
      <c r="AR32" s="494"/>
      <c r="AS32" s="494"/>
    </row>
    <row r="33" spans="1:45" s="165" customFormat="1" ht="24" customHeight="1" x14ac:dyDescent="0.15">
      <c r="A33" s="494"/>
      <c r="B33" s="500"/>
      <c r="C33" s="519" t="s">
        <v>1126</v>
      </c>
      <c r="D33" s="1134"/>
      <c r="E33" s="1135"/>
      <c r="F33" s="1135"/>
      <c r="G33" s="1136"/>
      <c r="H33" s="501"/>
      <c r="I33" s="515" t="s">
        <v>1105</v>
      </c>
      <c r="J33" s="1134"/>
      <c r="K33" s="1135"/>
      <c r="L33" s="1135"/>
      <c r="M33" s="1135"/>
      <c r="N33" s="1135"/>
      <c r="O33" s="1135"/>
      <c r="P33" s="1135"/>
      <c r="Q33" s="1136"/>
      <c r="R33" s="501"/>
      <c r="S33" s="515" t="s">
        <v>1106</v>
      </c>
      <c r="T33" s="1134"/>
      <c r="U33" s="1135"/>
      <c r="V33" s="1135"/>
      <c r="W33" s="1135"/>
      <c r="X33" s="1136"/>
      <c r="Y33" s="501"/>
      <c r="Z33" s="515" t="s">
        <v>1107</v>
      </c>
      <c r="AA33" s="1134"/>
      <c r="AB33" s="1135"/>
      <c r="AC33" s="1135"/>
      <c r="AD33" s="1135"/>
      <c r="AE33" s="1136"/>
      <c r="AF33" s="525"/>
      <c r="AG33" s="526"/>
      <c r="AH33" s="527"/>
      <c r="AI33" s="527"/>
      <c r="AJ33" s="494"/>
      <c r="AK33" s="494"/>
      <c r="AL33" s="494"/>
      <c r="AM33" s="494"/>
      <c r="AN33" s="494"/>
      <c r="AO33" s="494"/>
      <c r="AP33" s="494"/>
      <c r="AQ33" s="494"/>
      <c r="AR33" s="494"/>
      <c r="AS33" s="494"/>
    </row>
    <row r="34" spans="1:45" s="165" customFormat="1" ht="24" customHeight="1" x14ac:dyDescent="0.15">
      <c r="A34" s="494"/>
      <c r="B34" s="500"/>
      <c r="C34" s="407" t="s">
        <v>1127</v>
      </c>
      <c r="D34" s="1145"/>
      <c r="E34" s="1146"/>
      <c r="F34" s="1146"/>
      <c r="G34" s="1147"/>
      <c r="H34" s="501"/>
      <c r="I34" s="411" t="s">
        <v>1108</v>
      </c>
      <c r="J34" s="1145"/>
      <c r="K34" s="1146"/>
      <c r="L34" s="1146"/>
      <c r="M34" s="1146"/>
      <c r="N34" s="1146"/>
      <c r="O34" s="1146"/>
      <c r="P34" s="1146"/>
      <c r="Q34" s="1147"/>
      <c r="R34" s="501"/>
      <c r="S34" s="418" t="s">
        <v>1109</v>
      </c>
      <c r="T34" s="1145"/>
      <c r="U34" s="1146"/>
      <c r="V34" s="1146"/>
      <c r="W34" s="1146"/>
      <c r="X34" s="1147"/>
      <c r="Y34" s="501"/>
      <c r="Z34" s="412" t="s">
        <v>1110</v>
      </c>
      <c r="AA34" s="1145"/>
      <c r="AB34" s="1146"/>
      <c r="AC34" s="1146"/>
      <c r="AD34" s="1146"/>
      <c r="AE34" s="1147"/>
      <c r="AF34" s="525"/>
      <c r="AG34" s="526"/>
      <c r="AH34" s="527"/>
      <c r="AI34" s="527"/>
      <c r="AJ34" s="494"/>
      <c r="AK34" s="494"/>
      <c r="AL34" s="494"/>
      <c r="AM34" s="494"/>
      <c r="AN34" s="494"/>
      <c r="AO34" s="494"/>
      <c r="AP34" s="494"/>
      <c r="AQ34" s="494"/>
      <c r="AR34" s="494"/>
      <c r="AS34" s="494"/>
    </row>
    <row r="35" spans="1:45" s="165" customFormat="1" ht="24" customHeight="1" x14ac:dyDescent="0.15">
      <c r="A35" s="494"/>
      <c r="B35" s="500"/>
      <c r="C35" s="407" t="s">
        <v>1128</v>
      </c>
      <c r="D35" s="1145"/>
      <c r="E35" s="1146"/>
      <c r="F35" s="1146"/>
      <c r="G35" s="1147"/>
      <c r="H35" s="501"/>
      <c r="I35" s="521" t="s">
        <v>1111</v>
      </c>
      <c r="J35" s="1145"/>
      <c r="K35" s="1146"/>
      <c r="L35" s="1146"/>
      <c r="M35" s="1146"/>
      <c r="N35" s="1146"/>
      <c r="O35" s="1146"/>
      <c r="P35" s="1146"/>
      <c r="Q35" s="1147"/>
      <c r="R35" s="501"/>
      <c r="S35" s="418" t="s">
        <v>1112</v>
      </c>
      <c r="T35" s="1145"/>
      <c r="U35" s="1146"/>
      <c r="V35" s="1146"/>
      <c r="W35" s="1146"/>
      <c r="X35" s="1147"/>
      <c r="Y35" s="501"/>
      <c r="Z35" s="1166" t="s">
        <v>1113</v>
      </c>
      <c r="AA35" s="1139"/>
      <c r="AB35" s="1140"/>
      <c r="AC35" s="1140"/>
      <c r="AD35" s="1140"/>
      <c r="AE35" s="1141"/>
      <c r="AF35" s="525"/>
      <c r="AG35" s="526"/>
      <c r="AH35" s="527"/>
      <c r="AI35" s="527"/>
      <c r="AJ35" s="494"/>
      <c r="AK35" s="494"/>
      <c r="AL35" s="494"/>
      <c r="AM35" s="494"/>
      <c r="AN35" s="494"/>
      <c r="AO35" s="494"/>
      <c r="AP35" s="494"/>
      <c r="AQ35" s="494"/>
      <c r="AR35" s="494"/>
      <c r="AS35" s="494"/>
    </row>
    <row r="36" spans="1:45" s="165" customFormat="1" ht="24" customHeight="1" x14ac:dyDescent="0.15">
      <c r="A36" s="494"/>
      <c r="B36" s="500"/>
      <c r="C36" s="410" t="s">
        <v>1129</v>
      </c>
      <c r="D36" s="1145"/>
      <c r="E36" s="1146"/>
      <c r="F36" s="1146"/>
      <c r="G36" s="1147"/>
      <c r="H36" s="501"/>
      <c r="I36" s="412" t="s">
        <v>1114</v>
      </c>
      <c r="J36" s="1145"/>
      <c r="K36" s="1146"/>
      <c r="L36" s="1146"/>
      <c r="M36" s="1146"/>
      <c r="N36" s="1146"/>
      <c r="O36" s="1146"/>
      <c r="P36" s="1146"/>
      <c r="Q36" s="1147"/>
      <c r="R36" s="501"/>
      <c r="S36" s="411" t="s">
        <v>1115</v>
      </c>
      <c r="T36" s="1145"/>
      <c r="U36" s="1146"/>
      <c r="V36" s="1146"/>
      <c r="W36" s="1146"/>
      <c r="X36" s="1147"/>
      <c r="Y36" s="501"/>
      <c r="Z36" s="1178"/>
      <c r="AA36" s="1142"/>
      <c r="AB36" s="1143"/>
      <c r="AC36" s="1143"/>
      <c r="AD36" s="1143"/>
      <c r="AE36" s="1144"/>
      <c r="AF36" s="525"/>
      <c r="AG36" s="526"/>
      <c r="AH36" s="527"/>
      <c r="AI36" s="527"/>
      <c r="AJ36" s="494"/>
      <c r="AK36" s="494"/>
      <c r="AL36" s="494"/>
      <c r="AM36" s="494"/>
      <c r="AN36" s="494"/>
      <c r="AO36" s="494"/>
      <c r="AP36" s="494"/>
      <c r="AQ36" s="494"/>
      <c r="AR36" s="494"/>
      <c r="AS36" s="494"/>
    </row>
    <row r="37" spans="1:45" s="165" customFormat="1" ht="24" customHeight="1" x14ac:dyDescent="0.15">
      <c r="A37" s="494"/>
      <c r="B37" s="500"/>
      <c r="C37" s="407" t="s">
        <v>1130</v>
      </c>
      <c r="D37" s="1145"/>
      <c r="E37" s="1146"/>
      <c r="F37" s="1146"/>
      <c r="G37" s="1147"/>
      <c r="H37" s="501"/>
      <c r="I37" s="412" t="s">
        <v>311</v>
      </c>
      <c r="J37" s="1145"/>
      <c r="K37" s="1146"/>
      <c r="L37" s="1146"/>
      <c r="M37" s="1146"/>
      <c r="N37" s="1146"/>
      <c r="O37" s="1146"/>
      <c r="P37" s="1146"/>
      <c r="Q37" s="1147"/>
      <c r="R37" s="501"/>
      <c r="S37" s="417" t="s">
        <v>1116</v>
      </c>
      <c r="T37" s="1145"/>
      <c r="U37" s="1146"/>
      <c r="V37" s="1146"/>
      <c r="W37" s="1146"/>
      <c r="X37" s="1147"/>
      <c r="Y37" s="501"/>
      <c r="Z37" s="420" t="s">
        <v>1117</v>
      </c>
      <c r="AA37" s="1145"/>
      <c r="AB37" s="1146"/>
      <c r="AC37" s="1146"/>
      <c r="AD37" s="1146"/>
      <c r="AE37" s="1147"/>
      <c r="AF37" s="525"/>
      <c r="AG37" s="526"/>
      <c r="AH37" s="527"/>
      <c r="AI37" s="527"/>
      <c r="AJ37" s="494"/>
      <c r="AK37" s="494"/>
      <c r="AL37" s="494"/>
      <c r="AM37" s="494"/>
      <c r="AN37" s="494"/>
      <c r="AO37" s="494"/>
      <c r="AP37" s="494"/>
      <c r="AQ37" s="494"/>
      <c r="AR37" s="494"/>
      <c r="AS37" s="494"/>
    </row>
    <row r="38" spans="1:45" s="165" customFormat="1" ht="24" customHeight="1" thickBot="1" x14ac:dyDescent="0.2">
      <c r="A38" s="494"/>
      <c r="B38" s="500"/>
      <c r="C38" s="620" t="s">
        <v>1131</v>
      </c>
      <c r="D38" s="1148"/>
      <c r="E38" s="1149"/>
      <c r="F38" s="1149"/>
      <c r="G38" s="1150"/>
      <c r="H38" s="501"/>
      <c r="I38" s="528" t="s">
        <v>1118</v>
      </c>
      <c r="J38" s="1148"/>
      <c r="K38" s="1149"/>
      <c r="L38" s="1149"/>
      <c r="M38" s="1149"/>
      <c r="N38" s="1149"/>
      <c r="O38" s="1149"/>
      <c r="P38" s="1149"/>
      <c r="Q38" s="1150"/>
      <c r="R38" s="501"/>
      <c r="S38" s="419" t="s">
        <v>1119</v>
      </c>
      <c r="T38" s="1148"/>
      <c r="U38" s="1149"/>
      <c r="V38" s="1149"/>
      <c r="W38" s="1149"/>
      <c r="X38" s="1150"/>
      <c r="Y38" s="501"/>
      <c r="Z38" s="421" t="s">
        <v>1120</v>
      </c>
      <c r="AA38" s="1175"/>
      <c r="AB38" s="1176"/>
      <c r="AC38" s="1176"/>
      <c r="AD38" s="1176"/>
      <c r="AE38" s="1177"/>
      <c r="AF38" s="525"/>
      <c r="AG38" s="526"/>
      <c r="AH38" s="527"/>
      <c r="AI38" s="527"/>
      <c r="AJ38" s="494"/>
      <c r="AK38" s="494"/>
      <c r="AL38" s="494"/>
      <c r="AM38" s="494"/>
      <c r="AN38" s="494"/>
      <c r="AO38" s="494"/>
      <c r="AP38" s="494"/>
      <c r="AQ38" s="494"/>
      <c r="AR38" s="494"/>
      <c r="AS38" s="494"/>
    </row>
    <row r="39" spans="1:45" s="165" customFormat="1" ht="24" customHeight="1" thickBot="1" x14ac:dyDescent="0.2">
      <c r="A39" s="494"/>
      <c r="B39" s="529"/>
      <c r="C39" s="530"/>
      <c r="D39" s="531"/>
      <c r="E39" s="531"/>
      <c r="F39" s="531"/>
      <c r="G39" s="531"/>
      <c r="H39" s="531"/>
      <c r="I39" s="530"/>
      <c r="J39" s="531"/>
      <c r="K39" s="531"/>
      <c r="L39" s="531"/>
      <c r="M39" s="531"/>
      <c r="N39" s="531"/>
      <c r="O39" s="531"/>
      <c r="P39" s="531"/>
      <c r="Q39" s="531"/>
      <c r="R39" s="531"/>
      <c r="S39" s="531"/>
      <c r="T39" s="530"/>
      <c r="U39" s="530"/>
      <c r="V39" s="530"/>
      <c r="W39" s="530"/>
      <c r="X39" s="530"/>
      <c r="Y39" s="531"/>
      <c r="Z39" s="531"/>
      <c r="AA39" s="530"/>
      <c r="AB39" s="530"/>
      <c r="AC39" s="530"/>
      <c r="AD39" s="530"/>
      <c r="AE39" s="530"/>
      <c r="AF39" s="530"/>
      <c r="AG39" s="532"/>
      <c r="AH39" s="494"/>
      <c r="AI39" s="494"/>
      <c r="AJ39" s="494"/>
      <c r="AK39" s="494"/>
      <c r="AL39" s="494"/>
      <c r="AM39" s="494"/>
      <c r="AN39" s="494"/>
      <c r="AO39" s="494"/>
      <c r="AP39" s="494"/>
      <c r="AQ39" s="494"/>
      <c r="AR39" s="494"/>
      <c r="AS39" s="494"/>
    </row>
    <row r="40" spans="1:45" s="165" customFormat="1" ht="24" customHeight="1" x14ac:dyDescent="0.15">
      <c r="A40" s="494"/>
      <c r="B40" s="494"/>
      <c r="C40" s="494"/>
      <c r="D40" s="533"/>
      <c r="E40" s="533"/>
      <c r="F40" s="533"/>
      <c r="G40" s="533"/>
      <c r="H40" s="533"/>
      <c r="I40" s="533"/>
      <c r="J40" s="533"/>
      <c r="K40" s="533"/>
      <c r="L40" s="533"/>
      <c r="M40" s="533"/>
      <c r="N40" s="533"/>
      <c r="O40" s="533"/>
      <c r="P40" s="533"/>
      <c r="Q40" s="533"/>
      <c r="R40" s="533"/>
      <c r="S40" s="533"/>
      <c r="T40" s="494"/>
      <c r="U40" s="494"/>
      <c r="V40" s="494"/>
      <c r="W40" s="494"/>
      <c r="X40" s="494"/>
      <c r="Y40" s="533"/>
      <c r="Z40" s="533"/>
      <c r="AA40" s="494"/>
      <c r="AB40" s="494"/>
      <c r="AC40" s="494"/>
      <c r="AD40" s="494"/>
      <c r="AE40" s="494"/>
      <c r="AF40" s="494"/>
      <c r="AG40" s="494"/>
      <c r="AH40" s="494"/>
      <c r="AI40" s="494"/>
      <c r="AJ40" s="494"/>
      <c r="AK40" s="494"/>
      <c r="AL40" s="494"/>
      <c r="AM40" s="494"/>
      <c r="AN40" s="534"/>
      <c r="AO40" s="494"/>
      <c r="AP40" s="494"/>
      <c r="AQ40" s="494"/>
      <c r="AR40" s="494"/>
      <c r="AS40" s="494"/>
    </row>
    <row r="41" spans="1:45" s="165" customFormat="1" ht="12" customHeight="1" thickBot="1" x14ac:dyDescent="0.2">
      <c r="A41" s="494"/>
      <c r="B41" s="494"/>
      <c r="C41" s="535"/>
      <c r="D41" s="535"/>
      <c r="E41" s="533"/>
      <c r="F41" s="533"/>
      <c r="G41" s="533"/>
      <c r="H41" s="533"/>
      <c r="I41" s="533"/>
      <c r="J41" s="533"/>
      <c r="K41" s="533"/>
      <c r="L41" s="533"/>
      <c r="M41" s="533"/>
      <c r="N41" s="533"/>
      <c r="O41" s="533"/>
      <c r="P41" s="533"/>
      <c r="Q41" s="533"/>
      <c r="R41" s="533"/>
      <c r="S41" s="533"/>
      <c r="T41" s="494"/>
      <c r="U41" s="494"/>
      <c r="V41" s="534"/>
      <c r="W41" s="534"/>
      <c r="X41" s="494"/>
      <c r="Y41" s="533"/>
      <c r="Z41" s="533"/>
      <c r="AA41" s="536"/>
      <c r="AB41" s="536"/>
      <c r="AC41" s="536"/>
      <c r="AD41" s="536"/>
      <c r="AE41" s="536"/>
      <c r="AF41" s="536"/>
      <c r="AG41" s="536"/>
      <c r="AH41" s="536"/>
      <c r="AI41" s="494"/>
      <c r="AJ41" s="494"/>
      <c r="AK41" s="494"/>
      <c r="AL41" s="494"/>
      <c r="AM41" s="494"/>
      <c r="AN41" s="534"/>
      <c r="AO41" s="494"/>
      <c r="AP41" s="494"/>
      <c r="AQ41" s="494"/>
      <c r="AR41" s="494"/>
      <c r="AS41" s="494"/>
    </row>
    <row r="42" spans="1:45" s="165" customFormat="1" ht="18" customHeight="1" thickBot="1" x14ac:dyDescent="0.2">
      <c r="A42" s="494"/>
      <c r="B42" s="534"/>
      <c r="C42" s="1202" t="s">
        <v>1121</v>
      </c>
      <c r="D42" s="1203"/>
      <c r="E42" s="1203"/>
      <c r="F42" s="1203"/>
      <c r="G42" s="1203"/>
      <c r="H42" s="1203"/>
      <c r="I42" s="1203"/>
      <c r="J42" s="1203"/>
      <c r="K42" s="1203"/>
      <c r="L42" s="1203"/>
      <c r="M42" s="1203"/>
      <c r="N42" s="1203"/>
      <c r="O42" s="1203"/>
      <c r="P42" s="1203"/>
      <c r="Q42" s="1203"/>
      <c r="R42" s="1203"/>
      <c r="S42" s="1204"/>
      <c r="T42" s="494"/>
      <c r="U42" s="1211" t="s">
        <v>689</v>
      </c>
      <c r="V42" s="1212"/>
      <c r="W42" s="1212"/>
      <c r="X42" s="1212"/>
      <c r="Y42" s="1212"/>
      <c r="Z42" s="1212"/>
      <c r="AA42" s="1212"/>
      <c r="AB42" s="1212"/>
      <c r="AC42" s="1212"/>
      <c r="AD42" s="1212"/>
      <c r="AE42" s="1212"/>
      <c r="AF42" s="1212"/>
      <c r="AG42" s="1213"/>
      <c r="AH42" s="536"/>
      <c r="AI42" s="494"/>
      <c r="AJ42" s="494"/>
      <c r="AK42" s="494"/>
      <c r="AL42" s="494"/>
      <c r="AM42" s="494"/>
      <c r="AN42" s="534"/>
      <c r="AO42" s="494"/>
      <c r="AP42" s="494"/>
      <c r="AQ42" s="494"/>
      <c r="AR42" s="494"/>
      <c r="AS42" s="494"/>
    </row>
    <row r="43" spans="1:45" s="165" customFormat="1" ht="18" customHeight="1" thickTop="1" thickBot="1" x14ac:dyDescent="0.2">
      <c r="A43" s="494"/>
      <c r="B43" s="534"/>
      <c r="C43" s="1205"/>
      <c r="D43" s="1206"/>
      <c r="E43" s="1206"/>
      <c r="F43" s="1206"/>
      <c r="G43" s="1206"/>
      <c r="H43" s="1206"/>
      <c r="I43" s="1206"/>
      <c r="J43" s="1206"/>
      <c r="K43" s="1206"/>
      <c r="L43" s="1206"/>
      <c r="M43" s="1206"/>
      <c r="N43" s="1206"/>
      <c r="O43" s="1206"/>
      <c r="P43" s="1206"/>
      <c r="Q43" s="1206"/>
      <c r="R43" s="1206"/>
      <c r="S43" s="1207"/>
      <c r="T43" s="494"/>
      <c r="U43" s="590" t="s">
        <v>1123</v>
      </c>
      <c r="V43" s="1184" t="s">
        <v>691</v>
      </c>
      <c r="W43" s="1185"/>
      <c r="X43" s="1185"/>
      <c r="Y43" s="1185"/>
      <c r="Z43" s="1185"/>
      <c r="AA43" s="1186"/>
      <c r="AB43" s="1184" t="s">
        <v>692</v>
      </c>
      <c r="AC43" s="1186"/>
      <c r="AD43" s="1185" t="s">
        <v>693</v>
      </c>
      <c r="AE43" s="1185"/>
      <c r="AF43" s="1185"/>
      <c r="AG43" s="1187"/>
      <c r="AH43" s="536"/>
      <c r="AI43" s="494"/>
      <c r="AJ43" s="494"/>
      <c r="AK43" s="494"/>
      <c r="AL43" s="494"/>
      <c r="AM43" s="494"/>
      <c r="AN43" s="534"/>
      <c r="AO43" s="494"/>
      <c r="AP43" s="494"/>
      <c r="AQ43" s="494"/>
      <c r="AR43" s="494"/>
      <c r="AS43" s="494"/>
    </row>
    <row r="44" spans="1:45" s="165" customFormat="1" ht="18" customHeight="1" thickTop="1" x14ac:dyDescent="0.15">
      <c r="A44" s="494"/>
      <c r="B44" s="534"/>
      <c r="C44" s="1205"/>
      <c r="D44" s="1206"/>
      <c r="E44" s="1206"/>
      <c r="F44" s="1206"/>
      <c r="G44" s="1206"/>
      <c r="H44" s="1206"/>
      <c r="I44" s="1206"/>
      <c r="J44" s="1206"/>
      <c r="K44" s="1206"/>
      <c r="L44" s="1206"/>
      <c r="M44" s="1206"/>
      <c r="N44" s="1206"/>
      <c r="O44" s="1206"/>
      <c r="P44" s="1206"/>
      <c r="Q44" s="1206"/>
      <c r="R44" s="1206"/>
      <c r="S44" s="1207"/>
      <c r="T44" s="494"/>
      <c r="U44" s="591">
        <v>1</v>
      </c>
      <c r="V44" s="1188"/>
      <c r="W44" s="1189"/>
      <c r="X44" s="1189"/>
      <c r="Y44" s="1189"/>
      <c r="Z44" s="1189"/>
      <c r="AA44" s="1190"/>
      <c r="AB44" s="1191" t="s">
        <v>292</v>
      </c>
      <c r="AC44" s="1192"/>
      <c r="AD44" s="1193" t="s">
        <v>292</v>
      </c>
      <c r="AE44" s="1194"/>
      <c r="AF44" s="1194"/>
      <c r="AG44" s="1195"/>
      <c r="AH44" s="536"/>
      <c r="AI44" s="494"/>
      <c r="AJ44" s="494"/>
      <c r="AK44" s="494"/>
      <c r="AL44" s="494"/>
      <c r="AM44" s="494"/>
      <c r="AN44" s="534"/>
      <c r="AO44" s="494"/>
      <c r="AP44" s="494"/>
      <c r="AQ44" s="494"/>
      <c r="AR44" s="494"/>
      <c r="AS44" s="494"/>
    </row>
    <row r="45" spans="1:45" s="165" customFormat="1" ht="18" customHeight="1" x14ac:dyDescent="0.15">
      <c r="A45" s="494"/>
      <c r="B45" s="534"/>
      <c r="C45" s="1205"/>
      <c r="D45" s="1206"/>
      <c r="E45" s="1206"/>
      <c r="F45" s="1206"/>
      <c r="G45" s="1206"/>
      <c r="H45" s="1206"/>
      <c r="I45" s="1206"/>
      <c r="J45" s="1206"/>
      <c r="K45" s="1206"/>
      <c r="L45" s="1206"/>
      <c r="M45" s="1206"/>
      <c r="N45" s="1206"/>
      <c r="O45" s="1206"/>
      <c r="P45" s="1206"/>
      <c r="Q45" s="1206"/>
      <c r="R45" s="1206"/>
      <c r="S45" s="1207"/>
      <c r="T45" s="494"/>
      <c r="U45" s="592">
        <v>2</v>
      </c>
      <c r="V45" s="1196"/>
      <c r="W45" s="1197"/>
      <c r="X45" s="1197"/>
      <c r="Y45" s="1197"/>
      <c r="Z45" s="1197"/>
      <c r="AA45" s="1198"/>
      <c r="AB45" s="1191" t="s">
        <v>292</v>
      </c>
      <c r="AC45" s="1192"/>
      <c r="AD45" s="1199" t="s">
        <v>292</v>
      </c>
      <c r="AE45" s="1200"/>
      <c r="AF45" s="1200"/>
      <c r="AG45" s="1201"/>
      <c r="AH45" s="536"/>
      <c r="AI45" s="494"/>
      <c r="AJ45" s="494"/>
      <c r="AK45" s="494"/>
      <c r="AL45" s="494"/>
      <c r="AM45" s="494"/>
      <c r="AN45" s="534"/>
      <c r="AO45" s="494"/>
      <c r="AP45" s="494"/>
      <c r="AQ45" s="494"/>
      <c r="AR45" s="494"/>
      <c r="AS45" s="494"/>
    </row>
    <row r="46" spans="1:45" s="165" customFormat="1" ht="18" customHeight="1" x14ac:dyDescent="0.15">
      <c r="A46" s="494"/>
      <c r="B46" s="534"/>
      <c r="C46" s="1205"/>
      <c r="D46" s="1206"/>
      <c r="E46" s="1206"/>
      <c r="F46" s="1206"/>
      <c r="G46" s="1206"/>
      <c r="H46" s="1206"/>
      <c r="I46" s="1206"/>
      <c r="J46" s="1206"/>
      <c r="K46" s="1206"/>
      <c r="L46" s="1206"/>
      <c r="M46" s="1206"/>
      <c r="N46" s="1206"/>
      <c r="O46" s="1206"/>
      <c r="P46" s="1206"/>
      <c r="Q46" s="1206"/>
      <c r="R46" s="1206"/>
      <c r="S46" s="1207"/>
      <c r="T46" s="494"/>
      <c r="U46" s="592">
        <v>3</v>
      </c>
      <c r="V46" s="1196"/>
      <c r="W46" s="1197"/>
      <c r="X46" s="1197"/>
      <c r="Y46" s="1197"/>
      <c r="Z46" s="1197"/>
      <c r="AA46" s="1198"/>
      <c r="AB46" s="1214" t="s">
        <v>292</v>
      </c>
      <c r="AC46" s="1215"/>
      <c r="AD46" s="1199" t="s">
        <v>292</v>
      </c>
      <c r="AE46" s="1200"/>
      <c r="AF46" s="1200"/>
      <c r="AG46" s="1201"/>
      <c r="AH46" s="536"/>
      <c r="AI46" s="494"/>
      <c r="AJ46" s="494"/>
      <c r="AK46" s="494"/>
      <c r="AL46" s="494"/>
      <c r="AM46" s="494"/>
      <c r="AN46" s="534"/>
      <c r="AO46" s="494"/>
      <c r="AP46" s="494"/>
      <c r="AQ46" s="494"/>
      <c r="AR46" s="494"/>
      <c r="AS46" s="494"/>
    </row>
    <row r="47" spans="1:45" s="165" customFormat="1" ht="18" customHeight="1" x14ac:dyDescent="0.15">
      <c r="A47" s="494"/>
      <c r="B47" s="534"/>
      <c r="C47" s="1205"/>
      <c r="D47" s="1206"/>
      <c r="E47" s="1206"/>
      <c r="F47" s="1206"/>
      <c r="G47" s="1206"/>
      <c r="H47" s="1206"/>
      <c r="I47" s="1206"/>
      <c r="J47" s="1206"/>
      <c r="K47" s="1206"/>
      <c r="L47" s="1206"/>
      <c r="M47" s="1206"/>
      <c r="N47" s="1206"/>
      <c r="O47" s="1206"/>
      <c r="P47" s="1206"/>
      <c r="Q47" s="1206"/>
      <c r="R47" s="1206"/>
      <c r="S47" s="1207"/>
      <c r="T47" s="494"/>
      <c r="U47" s="591">
        <v>4</v>
      </c>
      <c r="V47" s="1196"/>
      <c r="W47" s="1197"/>
      <c r="X47" s="1197"/>
      <c r="Y47" s="1197"/>
      <c r="Z47" s="1197"/>
      <c r="AA47" s="1198"/>
      <c r="AB47" s="1214" t="s">
        <v>292</v>
      </c>
      <c r="AC47" s="1215"/>
      <c r="AD47" s="1199" t="s">
        <v>292</v>
      </c>
      <c r="AE47" s="1200"/>
      <c r="AF47" s="1200"/>
      <c r="AG47" s="1201"/>
      <c r="AH47" s="494"/>
      <c r="AI47" s="494"/>
      <c r="AJ47" s="494"/>
      <c r="AK47" s="494"/>
      <c r="AL47" s="494"/>
      <c r="AM47" s="494"/>
      <c r="AN47" s="494"/>
      <c r="AO47" s="494"/>
      <c r="AP47" s="494"/>
      <c r="AQ47" s="494"/>
      <c r="AR47" s="494"/>
      <c r="AS47" s="494"/>
    </row>
    <row r="48" spans="1:45" s="165" customFormat="1" ht="18" customHeight="1" x14ac:dyDescent="0.15">
      <c r="A48" s="494"/>
      <c r="B48" s="534"/>
      <c r="C48" s="1205"/>
      <c r="D48" s="1206"/>
      <c r="E48" s="1206"/>
      <c r="F48" s="1206"/>
      <c r="G48" s="1206"/>
      <c r="H48" s="1206"/>
      <c r="I48" s="1206"/>
      <c r="J48" s="1206"/>
      <c r="K48" s="1206"/>
      <c r="L48" s="1206"/>
      <c r="M48" s="1206"/>
      <c r="N48" s="1206"/>
      <c r="O48" s="1206"/>
      <c r="P48" s="1206"/>
      <c r="Q48" s="1206"/>
      <c r="R48" s="1206"/>
      <c r="S48" s="1207"/>
      <c r="T48" s="494"/>
      <c r="U48" s="592">
        <v>5</v>
      </c>
      <c r="V48" s="1196"/>
      <c r="W48" s="1197"/>
      <c r="X48" s="1197"/>
      <c r="Y48" s="1197"/>
      <c r="Z48" s="1197"/>
      <c r="AA48" s="1198"/>
      <c r="AB48" s="1214" t="s">
        <v>292</v>
      </c>
      <c r="AC48" s="1215"/>
      <c r="AD48" s="1199" t="s">
        <v>292</v>
      </c>
      <c r="AE48" s="1200"/>
      <c r="AF48" s="1200"/>
      <c r="AG48" s="1201"/>
      <c r="AH48" s="494"/>
      <c r="AI48" s="494"/>
      <c r="AJ48" s="494"/>
      <c r="AK48" s="494"/>
      <c r="AL48" s="494"/>
      <c r="AM48" s="494"/>
      <c r="AN48" s="494"/>
      <c r="AO48" s="494"/>
      <c r="AP48" s="494"/>
      <c r="AQ48" s="494"/>
      <c r="AR48" s="494"/>
      <c r="AS48" s="494"/>
    </row>
    <row r="49" spans="1:45" s="165" customFormat="1" ht="18" customHeight="1" x14ac:dyDescent="0.15">
      <c r="A49" s="494"/>
      <c r="B49" s="534"/>
      <c r="C49" s="1205"/>
      <c r="D49" s="1206"/>
      <c r="E49" s="1206"/>
      <c r="F49" s="1206"/>
      <c r="G49" s="1206"/>
      <c r="H49" s="1206"/>
      <c r="I49" s="1206"/>
      <c r="J49" s="1206"/>
      <c r="K49" s="1206"/>
      <c r="L49" s="1206"/>
      <c r="M49" s="1206"/>
      <c r="N49" s="1206"/>
      <c r="O49" s="1206"/>
      <c r="P49" s="1206"/>
      <c r="Q49" s="1206"/>
      <c r="R49" s="1206"/>
      <c r="S49" s="1207"/>
      <c r="T49" s="494"/>
      <c r="U49" s="592">
        <v>6</v>
      </c>
      <c r="V49" s="1196"/>
      <c r="W49" s="1197"/>
      <c r="X49" s="1197"/>
      <c r="Y49" s="1197"/>
      <c r="Z49" s="1197"/>
      <c r="AA49" s="1198"/>
      <c r="AB49" s="1214" t="s">
        <v>292</v>
      </c>
      <c r="AC49" s="1215"/>
      <c r="AD49" s="1199" t="s">
        <v>292</v>
      </c>
      <c r="AE49" s="1200"/>
      <c r="AF49" s="1200"/>
      <c r="AG49" s="1201"/>
      <c r="AH49" s="494"/>
      <c r="AI49" s="494"/>
      <c r="AJ49" s="494"/>
      <c r="AK49" s="494"/>
      <c r="AL49" s="494"/>
      <c r="AM49" s="494"/>
      <c r="AN49" s="494"/>
      <c r="AO49" s="494"/>
      <c r="AP49" s="494"/>
      <c r="AQ49" s="494"/>
      <c r="AR49" s="494"/>
      <c r="AS49" s="494"/>
    </row>
    <row r="50" spans="1:45" s="165" customFormat="1" ht="18" customHeight="1" x14ac:dyDescent="0.15">
      <c r="A50" s="494"/>
      <c r="B50" s="494"/>
      <c r="C50" s="1205"/>
      <c r="D50" s="1206"/>
      <c r="E50" s="1206"/>
      <c r="F50" s="1206"/>
      <c r="G50" s="1206"/>
      <c r="H50" s="1206"/>
      <c r="I50" s="1206"/>
      <c r="J50" s="1206"/>
      <c r="K50" s="1206"/>
      <c r="L50" s="1206"/>
      <c r="M50" s="1206"/>
      <c r="N50" s="1206"/>
      <c r="O50" s="1206"/>
      <c r="P50" s="1206"/>
      <c r="Q50" s="1206"/>
      <c r="R50" s="1206"/>
      <c r="S50" s="1207"/>
      <c r="T50" s="494"/>
      <c r="U50" s="591">
        <v>7</v>
      </c>
      <c r="V50" s="1196"/>
      <c r="W50" s="1197"/>
      <c r="X50" s="1197"/>
      <c r="Y50" s="1197"/>
      <c r="Z50" s="1197"/>
      <c r="AA50" s="1198"/>
      <c r="AB50" s="1214" t="s">
        <v>292</v>
      </c>
      <c r="AC50" s="1215"/>
      <c r="AD50" s="1199" t="s">
        <v>292</v>
      </c>
      <c r="AE50" s="1200"/>
      <c r="AF50" s="1200"/>
      <c r="AG50" s="1201"/>
      <c r="AH50" s="494"/>
      <c r="AI50" s="494"/>
      <c r="AJ50" s="494"/>
      <c r="AK50" s="494"/>
      <c r="AL50" s="494"/>
      <c r="AM50" s="494"/>
      <c r="AN50" s="494"/>
      <c r="AO50" s="494"/>
      <c r="AP50" s="494"/>
      <c r="AQ50" s="494"/>
      <c r="AR50" s="494"/>
      <c r="AS50" s="494"/>
    </row>
    <row r="51" spans="1:45" s="165" customFormat="1" ht="18" customHeight="1" x14ac:dyDescent="0.15">
      <c r="A51" s="494"/>
      <c r="B51" s="494"/>
      <c r="C51" s="1205"/>
      <c r="D51" s="1206"/>
      <c r="E51" s="1206"/>
      <c r="F51" s="1206"/>
      <c r="G51" s="1206"/>
      <c r="H51" s="1206"/>
      <c r="I51" s="1206"/>
      <c r="J51" s="1206"/>
      <c r="K51" s="1206"/>
      <c r="L51" s="1206"/>
      <c r="M51" s="1206"/>
      <c r="N51" s="1206"/>
      <c r="O51" s="1206"/>
      <c r="P51" s="1206"/>
      <c r="Q51" s="1206"/>
      <c r="R51" s="1206"/>
      <c r="S51" s="1207"/>
      <c r="T51" s="494"/>
      <c r="U51" s="592">
        <v>8</v>
      </c>
      <c r="V51" s="1196"/>
      <c r="W51" s="1197"/>
      <c r="X51" s="1197"/>
      <c r="Y51" s="1197"/>
      <c r="Z51" s="1197"/>
      <c r="AA51" s="1198"/>
      <c r="AB51" s="1214" t="s">
        <v>292</v>
      </c>
      <c r="AC51" s="1215"/>
      <c r="AD51" s="1199" t="s">
        <v>292</v>
      </c>
      <c r="AE51" s="1200"/>
      <c r="AF51" s="1200"/>
      <c r="AG51" s="1201"/>
      <c r="AH51" s="494"/>
      <c r="AI51" s="494"/>
      <c r="AJ51" s="494"/>
      <c r="AK51" s="494"/>
      <c r="AL51" s="494"/>
      <c r="AM51" s="494"/>
      <c r="AN51" s="494"/>
      <c r="AO51" s="494"/>
      <c r="AP51" s="494"/>
      <c r="AQ51" s="494"/>
      <c r="AR51" s="494"/>
      <c r="AS51" s="494"/>
    </row>
    <row r="52" spans="1:45" s="165" customFormat="1" ht="18" customHeight="1" x14ac:dyDescent="0.15">
      <c r="A52" s="494"/>
      <c r="B52" s="494"/>
      <c r="C52" s="1208"/>
      <c r="D52" s="1209"/>
      <c r="E52" s="1209"/>
      <c r="F52" s="1209"/>
      <c r="G52" s="1209"/>
      <c r="H52" s="1209"/>
      <c r="I52" s="1209"/>
      <c r="J52" s="1209"/>
      <c r="K52" s="1209"/>
      <c r="L52" s="1209"/>
      <c r="M52" s="1209"/>
      <c r="N52" s="1209"/>
      <c r="O52" s="1209"/>
      <c r="P52" s="1209"/>
      <c r="Q52" s="1209"/>
      <c r="R52" s="1209"/>
      <c r="S52" s="1210"/>
      <c r="T52" s="494"/>
      <c r="U52" s="592">
        <v>9</v>
      </c>
      <c r="V52" s="1196"/>
      <c r="W52" s="1197"/>
      <c r="X52" s="1197"/>
      <c r="Y52" s="1197"/>
      <c r="Z52" s="1197"/>
      <c r="AA52" s="1198"/>
      <c r="AB52" s="1214" t="s">
        <v>292</v>
      </c>
      <c r="AC52" s="1215"/>
      <c r="AD52" s="1199" t="s">
        <v>292</v>
      </c>
      <c r="AE52" s="1200"/>
      <c r="AF52" s="1200"/>
      <c r="AG52" s="1201"/>
      <c r="AH52" s="494"/>
      <c r="AI52" s="494"/>
      <c r="AJ52" s="494"/>
      <c r="AK52" s="494"/>
      <c r="AL52" s="494"/>
      <c r="AM52" s="494"/>
      <c r="AN52" s="494"/>
      <c r="AO52" s="494"/>
      <c r="AP52" s="494"/>
      <c r="AQ52" s="494"/>
      <c r="AR52" s="494"/>
      <c r="AS52" s="494"/>
    </row>
    <row r="53" spans="1:45" s="165" customFormat="1" ht="18" customHeight="1" thickBot="1" x14ac:dyDescent="0.2">
      <c r="A53" s="494"/>
      <c r="B53" s="494"/>
      <c r="C53" s="494"/>
      <c r="D53" s="494"/>
      <c r="E53" s="494"/>
      <c r="F53" s="494"/>
      <c r="G53" s="494"/>
      <c r="H53" s="494"/>
      <c r="I53" s="494"/>
      <c r="J53" s="494"/>
      <c r="K53" s="494"/>
      <c r="L53" s="494"/>
      <c r="M53" s="494"/>
      <c r="N53" s="494"/>
      <c r="O53" s="494"/>
      <c r="P53" s="494"/>
      <c r="Q53" s="494"/>
      <c r="R53" s="494"/>
      <c r="S53" s="494"/>
      <c r="T53" s="494"/>
      <c r="U53" s="591">
        <v>10</v>
      </c>
      <c r="V53" s="1196"/>
      <c r="W53" s="1197"/>
      <c r="X53" s="1197"/>
      <c r="Y53" s="1197"/>
      <c r="Z53" s="1197"/>
      <c r="AA53" s="1198"/>
      <c r="AB53" s="1214" t="s">
        <v>292</v>
      </c>
      <c r="AC53" s="1215"/>
      <c r="AD53" s="1199" t="s">
        <v>292</v>
      </c>
      <c r="AE53" s="1200"/>
      <c r="AF53" s="1200"/>
      <c r="AG53" s="1201"/>
      <c r="AH53" s="494"/>
      <c r="AI53" s="494"/>
      <c r="AJ53" s="494"/>
      <c r="AK53" s="494"/>
      <c r="AL53" s="494"/>
      <c r="AM53" s="494"/>
      <c r="AN53" s="494"/>
      <c r="AO53" s="494"/>
      <c r="AP53" s="494"/>
      <c r="AQ53" s="494"/>
      <c r="AR53" s="494"/>
      <c r="AS53" s="494"/>
    </row>
    <row r="54" spans="1:45" s="165" customFormat="1" ht="18" customHeight="1" x14ac:dyDescent="0.15">
      <c r="A54" s="494"/>
      <c r="B54" s="494"/>
      <c r="C54" s="1181" t="s">
        <v>1017</v>
      </c>
      <c r="D54" s="539" t="s">
        <v>1018</v>
      </c>
      <c r="E54" s="540"/>
      <c r="F54" s="540"/>
      <c r="G54" s="540"/>
      <c r="H54" s="540"/>
      <c r="I54" s="540"/>
      <c r="J54" s="540"/>
      <c r="K54" s="540"/>
      <c r="L54" s="541"/>
      <c r="M54" s="541"/>
      <c r="N54" s="541"/>
      <c r="O54" s="540"/>
      <c r="P54" s="541"/>
      <c r="Q54" s="541"/>
      <c r="R54" s="541"/>
      <c r="S54" s="542"/>
      <c r="T54" s="494"/>
      <c r="U54" s="592">
        <v>11</v>
      </c>
      <c r="V54" s="1196"/>
      <c r="W54" s="1197"/>
      <c r="X54" s="1197"/>
      <c r="Y54" s="1197"/>
      <c r="Z54" s="1197"/>
      <c r="AA54" s="1198"/>
      <c r="AB54" s="1214" t="s">
        <v>292</v>
      </c>
      <c r="AC54" s="1215"/>
      <c r="AD54" s="1199" t="s">
        <v>292</v>
      </c>
      <c r="AE54" s="1200"/>
      <c r="AF54" s="1200"/>
      <c r="AG54" s="1201"/>
      <c r="AH54" s="494"/>
      <c r="AI54" s="494"/>
      <c r="AJ54" s="494"/>
      <c r="AK54" s="494"/>
      <c r="AL54" s="494"/>
      <c r="AM54" s="494"/>
      <c r="AN54" s="494"/>
      <c r="AO54" s="494"/>
      <c r="AP54" s="494"/>
      <c r="AQ54" s="494"/>
      <c r="AR54" s="494"/>
      <c r="AS54" s="494"/>
    </row>
    <row r="55" spans="1:45" s="165" customFormat="1" ht="18" customHeight="1" x14ac:dyDescent="0.15">
      <c r="A55" s="494"/>
      <c r="B55" s="494"/>
      <c r="C55" s="1182"/>
      <c r="D55" s="543"/>
      <c r="E55" s="544"/>
      <c r="F55" s="545"/>
      <c r="G55" s="545"/>
      <c r="H55" s="545"/>
      <c r="I55" s="545"/>
      <c r="J55" s="545"/>
      <c r="K55" s="545"/>
      <c r="L55" s="544"/>
      <c r="M55" s="544"/>
      <c r="N55" s="544"/>
      <c r="O55" s="545"/>
      <c r="P55" s="544"/>
      <c r="Q55" s="544"/>
      <c r="R55" s="544"/>
      <c r="S55" s="546"/>
      <c r="T55" s="494"/>
      <c r="U55" s="592">
        <v>12</v>
      </c>
      <c r="V55" s="1196"/>
      <c r="W55" s="1197"/>
      <c r="X55" s="1197"/>
      <c r="Y55" s="1197"/>
      <c r="Z55" s="1197"/>
      <c r="AA55" s="1198"/>
      <c r="AB55" s="1214" t="s">
        <v>292</v>
      </c>
      <c r="AC55" s="1215"/>
      <c r="AD55" s="1199" t="s">
        <v>292</v>
      </c>
      <c r="AE55" s="1200"/>
      <c r="AF55" s="1200"/>
      <c r="AG55" s="1201"/>
      <c r="AH55" s="494"/>
      <c r="AI55" s="494"/>
      <c r="AJ55" s="494"/>
      <c r="AK55" s="494"/>
      <c r="AL55" s="494"/>
      <c r="AM55" s="494"/>
      <c r="AN55" s="494"/>
      <c r="AO55" s="494"/>
      <c r="AP55" s="494"/>
      <c r="AQ55" s="494"/>
      <c r="AR55" s="494"/>
      <c r="AS55" s="494"/>
    </row>
    <row r="56" spans="1:45" ht="18" customHeight="1" x14ac:dyDescent="0.15">
      <c r="A56" s="493"/>
      <c r="B56" s="493"/>
      <c r="C56" s="1179" t="s">
        <v>1019</v>
      </c>
      <c r="D56" s="547" t="s">
        <v>1020</v>
      </c>
      <c r="E56" s="548"/>
      <c r="F56" s="548"/>
      <c r="G56" s="548"/>
      <c r="H56" s="548"/>
      <c r="I56" s="548"/>
      <c r="J56" s="548"/>
      <c r="K56" s="548"/>
      <c r="L56" s="549"/>
      <c r="M56" s="549"/>
      <c r="N56" s="549"/>
      <c r="O56" s="548"/>
      <c r="P56" s="549"/>
      <c r="Q56" s="549"/>
      <c r="R56" s="549"/>
      <c r="S56" s="550"/>
      <c r="T56" s="493"/>
      <c r="U56" s="591">
        <v>13</v>
      </c>
      <c r="V56" s="1196"/>
      <c r="W56" s="1197"/>
      <c r="X56" s="1197"/>
      <c r="Y56" s="1197"/>
      <c r="Z56" s="1197"/>
      <c r="AA56" s="1198"/>
      <c r="AB56" s="1214" t="s">
        <v>292</v>
      </c>
      <c r="AC56" s="1215"/>
      <c r="AD56" s="1199" t="s">
        <v>292</v>
      </c>
      <c r="AE56" s="1200"/>
      <c r="AF56" s="1200"/>
      <c r="AG56" s="1201"/>
      <c r="AH56" s="493"/>
      <c r="AI56" s="493"/>
      <c r="AJ56" s="493"/>
      <c r="AK56" s="493"/>
      <c r="AL56" s="493"/>
      <c r="AM56" s="493"/>
      <c r="AN56" s="493"/>
      <c r="AO56" s="493"/>
      <c r="AP56" s="493"/>
      <c r="AQ56" s="493"/>
      <c r="AR56" s="493"/>
      <c r="AS56" s="493"/>
    </row>
    <row r="57" spans="1:45" ht="18" customHeight="1" x14ac:dyDescent="0.15">
      <c r="A57" s="493"/>
      <c r="B57" s="493"/>
      <c r="C57" s="1182"/>
      <c r="D57" s="543"/>
      <c r="E57" s="544"/>
      <c r="F57" s="545"/>
      <c r="G57" s="545"/>
      <c r="H57" s="545"/>
      <c r="I57" s="545"/>
      <c r="J57" s="545"/>
      <c r="K57" s="545"/>
      <c r="L57" s="544"/>
      <c r="M57" s="544"/>
      <c r="N57" s="544"/>
      <c r="O57" s="545"/>
      <c r="P57" s="544"/>
      <c r="Q57" s="544"/>
      <c r="R57" s="544"/>
      <c r="S57" s="546"/>
      <c r="T57" s="493"/>
      <c r="U57" s="592">
        <v>14</v>
      </c>
      <c r="V57" s="1196"/>
      <c r="W57" s="1197"/>
      <c r="X57" s="1197"/>
      <c r="Y57" s="1197"/>
      <c r="Z57" s="1197"/>
      <c r="AA57" s="1198"/>
      <c r="AB57" s="1214" t="s">
        <v>292</v>
      </c>
      <c r="AC57" s="1215"/>
      <c r="AD57" s="1199" t="s">
        <v>292</v>
      </c>
      <c r="AE57" s="1200"/>
      <c r="AF57" s="1200"/>
      <c r="AG57" s="1201"/>
      <c r="AH57" s="493"/>
      <c r="AI57" s="493"/>
      <c r="AJ57" s="493"/>
      <c r="AK57" s="493"/>
      <c r="AL57" s="493"/>
      <c r="AM57" s="493"/>
      <c r="AN57" s="493"/>
      <c r="AO57" s="493"/>
      <c r="AP57" s="493"/>
      <c r="AQ57" s="493"/>
      <c r="AR57" s="493"/>
      <c r="AS57" s="493"/>
    </row>
    <row r="58" spans="1:45" ht="18" customHeight="1" x14ac:dyDescent="0.15">
      <c r="A58" s="493"/>
      <c r="B58" s="493"/>
      <c r="C58" s="1179" t="s">
        <v>1021</v>
      </c>
      <c r="D58" s="547" t="s">
        <v>1022</v>
      </c>
      <c r="E58" s="548"/>
      <c r="F58" s="548"/>
      <c r="G58" s="548"/>
      <c r="H58" s="548"/>
      <c r="I58" s="548"/>
      <c r="J58" s="548"/>
      <c r="K58" s="548"/>
      <c r="L58" s="537"/>
      <c r="M58" s="537"/>
      <c r="N58" s="537"/>
      <c r="O58" s="548"/>
      <c r="P58" s="537"/>
      <c r="Q58" s="537"/>
      <c r="R58" s="537"/>
      <c r="S58" s="538"/>
      <c r="T58" s="493"/>
      <c r="U58" s="592">
        <v>15</v>
      </c>
      <c r="V58" s="1196"/>
      <c r="W58" s="1197"/>
      <c r="X58" s="1197"/>
      <c r="Y58" s="1197"/>
      <c r="Z58" s="1197"/>
      <c r="AA58" s="1198"/>
      <c r="AB58" s="1214" t="s">
        <v>292</v>
      </c>
      <c r="AC58" s="1215"/>
      <c r="AD58" s="1199" t="s">
        <v>292</v>
      </c>
      <c r="AE58" s="1200"/>
      <c r="AF58" s="1200"/>
      <c r="AG58" s="1201"/>
      <c r="AH58" s="493"/>
      <c r="AI58" s="493"/>
      <c r="AJ58" s="493"/>
      <c r="AK58" s="493"/>
      <c r="AL58" s="493"/>
      <c r="AM58" s="493"/>
      <c r="AN58" s="493"/>
      <c r="AO58" s="493"/>
      <c r="AP58" s="493"/>
      <c r="AQ58" s="493"/>
      <c r="AR58" s="493"/>
      <c r="AS58" s="493"/>
    </row>
    <row r="59" spans="1:45" ht="18" customHeight="1" x14ac:dyDescent="0.15">
      <c r="A59" s="493"/>
      <c r="B59" s="493"/>
      <c r="C59" s="1182"/>
      <c r="D59" s="551"/>
      <c r="E59" s="537"/>
      <c r="F59" s="548"/>
      <c r="G59" s="548"/>
      <c r="H59" s="548"/>
      <c r="I59" s="548"/>
      <c r="J59" s="548"/>
      <c r="K59" s="548"/>
      <c r="L59" s="537"/>
      <c r="M59" s="537"/>
      <c r="N59" s="537"/>
      <c r="O59" s="548"/>
      <c r="P59" s="537"/>
      <c r="Q59" s="537"/>
      <c r="R59" s="537"/>
      <c r="S59" s="538"/>
      <c r="T59" s="493"/>
      <c r="U59" s="591">
        <v>16</v>
      </c>
      <c r="V59" s="1196"/>
      <c r="W59" s="1197"/>
      <c r="X59" s="1197"/>
      <c r="Y59" s="1197"/>
      <c r="Z59" s="1197"/>
      <c r="AA59" s="1198"/>
      <c r="AB59" s="1214" t="s">
        <v>292</v>
      </c>
      <c r="AC59" s="1215"/>
      <c r="AD59" s="1199" t="s">
        <v>292</v>
      </c>
      <c r="AE59" s="1200"/>
      <c r="AF59" s="1200"/>
      <c r="AG59" s="1201"/>
      <c r="AH59" s="493"/>
      <c r="AI59" s="493"/>
      <c r="AJ59" s="493"/>
      <c r="AK59" s="493"/>
      <c r="AL59" s="493"/>
      <c r="AM59" s="493"/>
      <c r="AN59" s="493"/>
      <c r="AO59" s="493"/>
      <c r="AP59" s="493"/>
      <c r="AQ59" s="493"/>
      <c r="AR59" s="493"/>
      <c r="AS59" s="493"/>
    </row>
    <row r="60" spans="1:45" ht="18" customHeight="1" x14ac:dyDescent="0.15">
      <c r="A60" s="493"/>
      <c r="B60" s="493"/>
      <c r="C60" s="1179" t="s">
        <v>1023</v>
      </c>
      <c r="D60" s="552" t="s">
        <v>1024</v>
      </c>
      <c r="E60" s="553"/>
      <c r="F60" s="553"/>
      <c r="G60" s="553"/>
      <c r="H60" s="553"/>
      <c r="I60" s="553"/>
      <c r="J60" s="553"/>
      <c r="K60" s="553"/>
      <c r="L60" s="554"/>
      <c r="M60" s="554"/>
      <c r="N60" s="554"/>
      <c r="O60" s="553"/>
      <c r="P60" s="554"/>
      <c r="Q60" s="554"/>
      <c r="R60" s="554"/>
      <c r="S60" s="555"/>
      <c r="T60" s="493"/>
      <c r="U60" s="592">
        <v>17</v>
      </c>
      <c r="V60" s="1196"/>
      <c r="W60" s="1197"/>
      <c r="X60" s="1197"/>
      <c r="Y60" s="1197"/>
      <c r="Z60" s="1197"/>
      <c r="AA60" s="1198"/>
      <c r="AB60" s="1214" t="s">
        <v>292</v>
      </c>
      <c r="AC60" s="1215"/>
      <c r="AD60" s="1199" t="s">
        <v>292</v>
      </c>
      <c r="AE60" s="1200"/>
      <c r="AF60" s="1200"/>
      <c r="AG60" s="1201"/>
      <c r="AH60" s="493"/>
      <c r="AI60" s="493"/>
      <c r="AJ60" s="493"/>
      <c r="AK60" s="493"/>
      <c r="AL60" s="493"/>
      <c r="AM60" s="493"/>
      <c r="AN60" s="493"/>
      <c r="AO60" s="493"/>
      <c r="AP60" s="493"/>
      <c r="AQ60" s="493"/>
      <c r="AR60" s="493"/>
      <c r="AS60" s="493"/>
    </row>
    <row r="61" spans="1:45" ht="18" customHeight="1" x14ac:dyDescent="0.15">
      <c r="A61" s="493"/>
      <c r="B61" s="493"/>
      <c r="C61" s="1182"/>
      <c r="D61" s="543"/>
      <c r="E61" s="556"/>
      <c r="F61" s="545"/>
      <c r="G61" s="545"/>
      <c r="H61" s="545"/>
      <c r="I61" s="545"/>
      <c r="J61" s="545"/>
      <c r="K61" s="545"/>
      <c r="L61" s="556"/>
      <c r="M61" s="556"/>
      <c r="N61" s="556"/>
      <c r="O61" s="545"/>
      <c r="P61" s="556"/>
      <c r="Q61" s="556"/>
      <c r="R61" s="556"/>
      <c r="S61" s="557"/>
      <c r="T61" s="493"/>
      <c r="U61" s="592">
        <v>18</v>
      </c>
      <c r="V61" s="1196"/>
      <c r="W61" s="1197"/>
      <c r="X61" s="1197"/>
      <c r="Y61" s="1197"/>
      <c r="Z61" s="1197"/>
      <c r="AA61" s="1198"/>
      <c r="AB61" s="1214" t="s">
        <v>292</v>
      </c>
      <c r="AC61" s="1215"/>
      <c r="AD61" s="1199" t="s">
        <v>292</v>
      </c>
      <c r="AE61" s="1200"/>
      <c r="AF61" s="1200"/>
      <c r="AG61" s="1201"/>
      <c r="AH61" s="493"/>
      <c r="AI61" s="493"/>
      <c r="AJ61" s="493"/>
      <c r="AK61" s="493"/>
      <c r="AL61" s="493"/>
      <c r="AM61" s="493"/>
      <c r="AN61" s="493"/>
      <c r="AO61" s="493"/>
      <c r="AP61" s="493"/>
      <c r="AQ61" s="493"/>
      <c r="AR61" s="493"/>
      <c r="AS61" s="493"/>
    </row>
    <row r="62" spans="1:45" ht="18" customHeight="1" x14ac:dyDescent="0.15">
      <c r="A62" s="493"/>
      <c r="B62" s="493"/>
      <c r="C62" s="1179" t="s">
        <v>1025</v>
      </c>
      <c r="D62" s="547" t="s">
        <v>1026</v>
      </c>
      <c r="E62" s="548"/>
      <c r="F62" s="548"/>
      <c r="G62" s="548"/>
      <c r="H62" s="548"/>
      <c r="I62" s="537"/>
      <c r="J62" s="537"/>
      <c r="K62" s="537"/>
      <c r="L62" s="537"/>
      <c r="M62" s="537"/>
      <c r="N62" s="537"/>
      <c r="O62" s="548"/>
      <c r="P62" s="537"/>
      <c r="Q62" s="537"/>
      <c r="R62" s="537"/>
      <c r="S62" s="538"/>
      <c r="T62" s="493"/>
      <c r="U62" s="591">
        <v>19</v>
      </c>
      <c r="V62" s="1196"/>
      <c r="W62" s="1197"/>
      <c r="X62" s="1197"/>
      <c r="Y62" s="1197"/>
      <c r="Z62" s="1197"/>
      <c r="AA62" s="1198"/>
      <c r="AB62" s="1214" t="s">
        <v>292</v>
      </c>
      <c r="AC62" s="1215"/>
      <c r="AD62" s="1199" t="s">
        <v>292</v>
      </c>
      <c r="AE62" s="1200"/>
      <c r="AF62" s="1200"/>
      <c r="AG62" s="1201"/>
      <c r="AH62" s="493"/>
      <c r="AI62" s="493"/>
      <c r="AJ62" s="493"/>
      <c r="AK62" s="493"/>
      <c r="AL62" s="493"/>
      <c r="AM62" s="493"/>
      <c r="AN62" s="493"/>
      <c r="AO62" s="493"/>
      <c r="AP62" s="493"/>
      <c r="AQ62" s="493"/>
      <c r="AR62" s="493"/>
      <c r="AS62" s="493"/>
    </row>
    <row r="63" spans="1:45" ht="18" customHeight="1" thickBot="1" x14ac:dyDescent="0.2">
      <c r="A63" s="493"/>
      <c r="B63" s="493"/>
      <c r="C63" s="1180"/>
      <c r="D63" s="558"/>
      <c r="E63" s="559"/>
      <c r="F63" s="560"/>
      <c r="G63" s="560"/>
      <c r="H63" s="560"/>
      <c r="I63" s="559"/>
      <c r="J63" s="559"/>
      <c r="K63" s="559"/>
      <c r="L63" s="559"/>
      <c r="M63" s="559"/>
      <c r="N63" s="559"/>
      <c r="O63" s="560"/>
      <c r="P63" s="559"/>
      <c r="Q63" s="559"/>
      <c r="R63" s="559"/>
      <c r="S63" s="561"/>
      <c r="T63" s="493"/>
      <c r="U63" s="592">
        <v>20</v>
      </c>
      <c r="V63" s="1196"/>
      <c r="W63" s="1197"/>
      <c r="X63" s="1197"/>
      <c r="Y63" s="1197"/>
      <c r="Z63" s="1197"/>
      <c r="AA63" s="1198"/>
      <c r="AB63" s="1214" t="s">
        <v>292</v>
      </c>
      <c r="AC63" s="1215"/>
      <c r="AD63" s="1199" t="s">
        <v>292</v>
      </c>
      <c r="AE63" s="1200"/>
      <c r="AF63" s="1200"/>
      <c r="AG63" s="1201"/>
      <c r="AH63" s="493"/>
      <c r="AI63" s="493"/>
      <c r="AJ63" s="493"/>
      <c r="AK63" s="493"/>
      <c r="AL63" s="493"/>
      <c r="AM63" s="493"/>
      <c r="AN63" s="493"/>
      <c r="AO63" s="493"/>
      <c r="AP63" s="493"/>
      <c r="AQ63" s="493"/>
      <c r="AR63" s="493"/>
      <c r="AS63" s="493"/>
    </row>
    <row r="64" spans="1:45" ht="18" customHeight="1" thickBot="1" x14ac:dyDescent="0.2">
      <c r="A64" s="493"/>
      <c r="B64" s="493"/>
      <c r="C64" s="533"/>
      <c r="D64" s="534"/>
      <c r="E64" s="534"/>
      <c r="F64" s="534"/>
      <c r="G64" s="534"/>
      <c r="H64" s="534"/>
      <c r="I64" s="494"/>
      <c r="J64" s="494"/>
      <c r="K64" s="494"/>
      <c r="L64" s="494"/>
      <c r="M64" s="494"/>
      <c r="N64" s="494"/>
      <c r="O64" s="534"/>
      <c r="P64" s="494"/>
      <c r="Q64" s="494"/>
      <c r="R64" s="494"/>
      <c r="S64" s="494"/>
      <c r="T64" s="493"/>
      <c r="U64" s="592">
        <v>21</v>
      </c>
      <c r="V64" s="1196"/>
      <c r="W64" s="1197"/>
      <c r="X64" s="1197"/>
      <c r="Y64" s="1197"/>
      <c r="Z64" s="1197"/>
      <c r="AA64" s="1198"/>
      <c r="AB64" s="1214" t="s">
        <v>292</v>
      </c>
      <c r="AC64" s="1215"/>
      <c r="AD64" s="1199" t="s">
        <v>292</v>
      </c>
      <c r="AE64" s="1200"/>
      <c r="AF64" s="1200"/>
      <c r="AG64" s="1201"/>
      <c r="AH64" s="493"/>
      <c r="AI64" s="493"/>
      <c r="AJ64" s="493"/>
      <c r="AK64" s="493"/>
      <c r="AL64" s="493"/>
      <c r="AM64" s="493"/>
      <c r="AN64" s="493"/>
      <c r="AO64" s="493"/>
      <c r="AP64" s="493"/>
      <c r="AQ64" s="493"/>
      <c r="AR64" s="493"/>
      <c r="AS64" s="493"/>
    </row>
    <row r="65" spans="1:45" ht="18" customHeight="1" x14ac:dyDescent="0.15">
      <c r="A65" s="493"/>
      <c r="B65" s="493"/>
      <c r="C65" s="1181" t="s">
        <v>1027</v>
      </c>
      <c r="D65" s="539" t="s">
        <v>1028</v>
      </c>
      <c r="E65" s="562"/>
      <c r="F65" s="562"/>
      <c r="G65" s="562"/>
      <c r="H65" s="562"/>
      <c r="I65" s="563"/>
      <c r="J65" s="563"/>
      <c r="K65" s="563"/>
      <c r="L65" s="563"/>
      <c r="M65" s="563"/>
      <c r="N65" s="563"/>
      <c r="O65" s="562"/>
      <c r="P65" s="563"/>
      <c r="Q65" s="563"/>
      <c r="R65" s="563"/>
      <c r="S65" s="564"/>
      <c r="T65" s="493"/>
      <c r="U65" s="591">
        <v>22</v>
      </c>
      <c r="V65" s="1196"/>
      <c r="W65" s="1197"/>
      <c r="X65" s="1197"/>
      <c r="Y65" s="1197"/>
      <c r="Z65" s="1197"/>
      <c r="AA65" s="1198"/>
      <c r="AB65" s="1214" t="s">
        <v>292</v>
      </c>
      <c r="AC65" s="1215"/>
      <c r="AD65" s="1199" t="s">
        <v>292</v>
      </c>
      <c r="AE65" s="1200"/>
      <c r="AF65" s="1200"/>
      <c r="AG65" s="1201"/>
      <c r="AH65" s="493"/>
      <c r="AI65" s="493"/>
      <c r="AJ65" s="493"/>
      <c r="AK65" s="493"/>
      <c r="AL65" s="493"/>
      <c r="AM65" s="493"/>
      <c r="AN65" s="493"/>
      <c r="AO65" s="493"/>
      <c r="AP65" s="493"/>
      <c r="AQ65" s="493"/>
      <c r="AR65" s="493"/>
      <c r="AS65" s="493"/>
    </row>
    <row r="66" spans="1:45" ht="18" customHeight="1" x14ac:dyDescent="0.15">
      <c r="A66" s="493"/>
      <c r="B66" s="493"/>
      <c r="C66" s="1182"/>
      <c r="D66" s="543"/>
      <c r="E66" s="565"/>
      <c r="F66" s="566"/>
      <c r="G66" s="566"/>
      <c r="H66" s="566"/>
      <c r="I66" s="565"/>
      <c r="J66" s="565"/>
      <c r="K66" s="565"/>
      <c r="L66" s="565"/>
      <c r="M66" s="565"/>
      <c r="N66" s="565"/>
      <c r="O66" s="566"/>
      <c r="P66" s="565"/>
      <c r="Q66" s="565"/>
      <c r="R66" s="565"/>
      <c r="S66" s="567"/>
      <c r="T66" s="493"/>
      <c r="U66" s="592">
        <v>23</v>
      </c>
      <c r="V66" s="1196"/>
      <c r="W66" s="1197"/>
      <c r="X66" s="1197"/>
      <c r="Y66" s="1197"/>
      <c r="Z66" s="1197"/>
      <c r="AA66" s="1198"/>
      <c r="AB66" s="1214" t="s">
        <v>292</v>
      </c>
      <c r="AC66" s="1215"/>
      <c r="AD66" s="1199" t="s">
        <v>292</v>
      </c>
      <c r="AE66" s="1200"/>
      <c r="AF66" s="1200"/>
      <c r="AG66" s="1201"/>
      <c r="AH66" s="493"/>
      <c r="AI66" s="493"/>
      <c r="AJ66" s="493"/>
      <c r="AK66" s="493"/>
      <c r="AL66" s="493"/>
      <c r="AM66" s="493"/>
      <c r="AN66" s="493"/>
      <c r="AO66" s="493"/>
      <c r="AP66" s="493"/>
      <c r="AQ66" s="493"/>
      <c r="AR66" s="493"/>
      <c r="AS66" s="493"/>
    </row>
    <row r="67" spans="1:45" ht="18" customHeight="1" x14ac:dyDescent="0.15">
      <c r="A67" s="493"/>
      <c r="B67" s="493"/>
      <c r="C67" s="1179" t="s">
        <v>1029</v>
      </c>
      <c r="D67" s="547" t="s">
        <v>1030</v>
      </c>
      <c r="E67" s="568"/>
      <c r="F67" s="568"/>
      <c r="G67" s="568"/>
      <c r="H67" s="568"/>
      <c r="I67" s="569"/>
      <c r="J67" s="569"/>
      <c r="K67" s="569"/>
      <c r="L67" s="569"/>
      <c r="M67" s="569"/>
      <c r="N67" s="569"/>
      <c r="O67" s="568"/>
      <c r="P67" s="569"/>
      <c r="Q67" s="569"/>
      <c r="R67" s="569"/>
      <c r="S67" s="570"/>
      <c r="T67" s="493"/>
      <c r="U67" s="592">
        <v>24</v>
      </c>
      <c r="V67" s="1196"/>
      <c r="W67" s="1197"/>
      <c r="X67" s="1197"/>
      <c r="Y67" s="1197"/>
      <c r="Z67" s="1197"/>
      <c r="AA67" s="1198"/>
      <c r="AB67" s="1214" t="s">
        <v>292</v>
      </c>
      <c r="AC67" s="1215"/>
      <c r="AD67" s="1199" t="s">
        <v>292</v>
      </c>
      <c r="AE67" s="1200"/>
      <c r="AF67" s="1200"/>
      <c r="AG67" s="1201"/>
      <c r="AH67" s="493"/>
      <c r="AI67" s="493"/>
      <c r="AJ67" s="493"/>
      <c r="AK67" s="493"/>
      <c r="AL67" s="493"/>
      <c r="AM67" s="493"/>
      <c r="AN67" s="493"/>
      <c r="AO67" s="493"/>
      <c r="AP67" s="493"/>
      <c r="AQ67" s="493"/>
      <c r="AR67" s="493"/>
      <c r="AS67" s="493"/>
    </row>
    <row r="68" spans="1:45" ht="18" customHeight="1" x14ac:dyDescent="0.15">
      <c r="A68" s="493"/>
      <c r="B68" s="493"/>
      <c r="C68" s="1183"/>
      <c r="D68" s="551"/>
      <c r="E68" s="571"/>
      <c r="F68" s="568"/>
      <c r="G68" s="568"/>
      <c r="H68" s="568"/>
      <c r="I68" s="571"/>
      <c r="J68" s="571"/>
      <c r="K68" s="571"/>
      <c r="L68" s="571"/>
      <c r="M68" s="571"/>
      <c r="N68" s="571"/>
      <c r="O68" s="568"/>
      <c r="P68" s="571"/>
      <c r="Q68" s="571"/>
      <c r="R68" s="571"/>
      <c r="S68" s="572"/>
      <c r="T68" s="493"/>
      <c r="U68" s="591">
        <v>25</v>
      </c>
      <c r="V68" s="1196"/>
      <c r="W68" s="1197"/>
      <c r="X68" s="1197"/>
      <c r="Y68" s="1197"/>
      <c r="Z68" s="1197"/>
      <c r="AA68" s="1198"/>
      <c r="AB68" s="1214" t="s">
        <v>292</v>
      </c>
      <c r="AC68" s="1215"/>
      <c r="AD68" s="1199" t="s">
        <v>292</v>
      </c>
      <c r="AE68" s="1200"/>
      <c r="AF68" s="1200"/>
      <c r="AG68" s="1201"/>
      <c r="AH68" s="493"/>
      <c r="AI68" s="493"/>
      <c r="AJ68" s="493"/>
      <c r="AK68" s="493"/>
      <c r="AL68" s="493"/>
      <c r="AM68" s="493"/>
      <c r="AN68" s="493"/>
      <c r="AO68" s="493"/>
      <c r="AP68" s="493"/>
      <c r="AQ68" s="493"/>
      <c r="AR68" s="493"/>
      <c r="AS68" s="493"/>
    </row>
    <row r="69" spans="1:45" ht="18" customHeight="1" x14ac:dyDescent="0.15">
      <c r="A69" s="493"/>
      <c r="B69" s="493"/>
      <c r="C69" s="1179" t="s">
        <v>1031</v>
      </c>
      <c r="D69" s="573" t="s">
        <v>1032</v>
      </c>
      <c r="E69" s="574"/>
      <c r="F69" s="574"/>
      <c r="G69" s="574"/>
      <c r="H69" s="574"/>
      <c r="I69" s="575"/>
      <c r="J69" s="575"/>
      <c r="K69" s="575"/>
      <c r="L69" s="575"/>
      <c r="M69" s="575"/>
      <c r="N69" s="575"/>
      <c r="O69" s="574"/>
      <c r="P69" s="575"/>
      <c r="Q69" s="575"/>
      <c r="R69" s="575"/>
      <c r="S69" s="576"/>
      <c r="T69" s="493"/>
      <c r="U69" s="592">
        <v>26</v>
      </c>
      <c r="V69" s="1196"/>
      <c r="W69" s="1197"/>
      <c r="X69" s="1197"/>
      <c r="Y69" s="1197"/>
      <c r="Z69" s="1197"/>
      <c r="AA69" s="1198"/>
      <c r="AB69" s="1214" t="s">
        <v>292</v>
      </c>
      <c r="AC69" s="1215"/>
      <c r="AD69" s="1199" t="s">
        <v>292</v>
      </c>
      <c r="AE69" s="1200"/>
      <c r="AF69" s="1200"/>
      <c r="AG69" s="1201"/>
      <c r="AH69" s="493"/>
      <c r="AI69" s="493"/>
      <c r="AJ69" s="493"/>
      <c r="AK69" s="493"/>
      <c r="AL69" s="493"/>
      <c r="AM69" s="493"/>
      <c r="AN69" s="493"/>
      <c r="AO69" s="493"/>
      <c r="AP69" s="493"/>
      <c r="AQ69" s="493"/>
      <c r="AR69" s="493"/>
      <c r="AS69" s="493"/>
    </row>
    <row r="70" spans="1:45" ht="18" customHeight="1" x14ac:dyDescent="0.15">
      <c r="A70" s="493"/>
      <c r="B70" s="493"/>
      <c r="C70" s="1182"/>
      <c r="D70" s="577"/>
      <c r="E70" s="578"/>
      <c r="F70" s="566"/>
      <c r="G70" s="566"/>
      <c r="H70" s="566"/>
      <c r="I70" s="578"/>
      <c r="J70" s="578"/>
      <c r="K70" s="578"/>
      <c r="L70" s="578"/>
      <c r="M70" s="578"/>
      <c r="N70" s="578"/>
      <c r="O70" s="566"/>
      <c r="P70" s="578"/>
      <c r="Q70" s="578"/>
      <c r="R70" s="578"/>
      <c r="S70" s="579"/>
      <c r="T70" s="493"/>
      <c r="U70" s="592">
        <v>27</v>
      </c>
      <c r="V70" s="1196"/>
      <c r="W70" s="1197"/>
      <c r="X70" s="1197"/>
      <c r="Y70" s="1197"/>
      <c r="Z70" s="1197"/>
      <c r="AA70" s="1198"/>
      <c r="AB70" s="1214" t="s">
        <v>292</v>
      </c>
      <c r="AC70" s="1215"/>
      <c r="AD70" s="1199" t="s">
        <v>292</v>
      </c>
      <c r="AE70" s="1200"/>
      <c r="AF70" s="1200"/>
      <c r="AG70" s="1201"/>
      <c r="AH70" s="493"/>
      <c r="AI70" s="493"/>
      <c r="AJ70" s="493"/>
      <c r="AK70" s="493"/>
      <c r="AL70" s="493"/>
      <c r="AM70" s="493"/>
      <c r="AN70" s="493"/>
      <c r="AO70" s="493"/>
      <c r="AP70" s="493"/>
      <c r="AQ70" s="493"/>
      <c r="AR70" s="493"/>
      <c r="AS70" s="493"/>
    </row>
    <row r="71" spans="1:45" ht="18" customHeight="1" x14ac:dyDescent="0.15">
      <c r="A71" s="493"/>
      <c r="B71" s="493"/>
      <c r="C71" s="1183" t="s">
        <v>1033</v>
      </c>
      <c r="D71" s="552" t="s">
        <v>1034</v>
      </c>
      <c r="E71" s="574"/>
      <c r="F71" s="574"/>
      <c r="G71" s="574"/>
      <c r="H71" s="574"/>
      <c r="I71" s="575"/>
      <c r="J71" s="575"/>
      <c r="K71" s="575"/>
      <c r="L71" s="575"/>
      <c r="M71" s="575"/>
      <c r="N71" s="575"/>
      <c r="O71" s="574"/>
      <c r="P71" s="575"/>
      <c r="Q71" s="575"/>
      <c r="R71" s="575"/>
      <c r="S71" s="576"/>
      <c r="T71" s="493"/>
      <c r="U71" s="591">
        <v>28</v>
      </c>
      <c r="V71" s="1196"/>
      <c r="W71" s="1197"/>
      <c r="X71" s="1197"/>
      <c r="Y71" s="1197"/>
      <c r="Z71" s="1197"/>
      <c r="AA71" s="1198"/>
      <c r="AB71" s="1214" t="s">
        <v>292</v>
      </c>
      <c r="AC71" s="1215"/>
      <c r="AD71" s="1199" t="s">
        <v>292</v>
      </c>
      <c r="AE71" s="1200"/>
      <c r="AF71" s="1200"/>
      <c r="AG71" s="1201"/>
      <c r="AH71" s="493"/>
      <c r="AI71" s="493"/>
      <c r="AJ71" s="493"/>
      <c r="AK71" s="493"/>
      <c r="AL71" s="493"/>
      <c r="AM71" s="493"/>
      <c r="AN71" s="493"/>
      <c r="AO71" s="493"/>
      <c r="AP71" s="493"/>
      <c r="AQ71" s="493"/>
      <c r="AR71" s="493"/>
      <c r="AS71" s="493"/>
    </row>
    <row r="72" spans="1:45" ht="18" customHeight="1" x14ac:dyDescent="0.15">
      <c r="A72" s="493"/>
      <c r="B72" s="493"/>
      <c r="C72" s="1182"/>
      <c r="D72" s="543"/>
      <c r="E72" s="578"/>
      <c r="F72" s="566"/>
      <c r="G72" s="566"/>
      <c r="H72" s="566"/>
      <c r="I72" s="578"/>
      <c r="J72" s="578"/>
      <c r="K72" s="578"/>
      <c r="L72" s="578"/>
      <c r="M72" s="578"/>
      <c r="N72" s="578"/>
      <c r="O72" s="566"/>
      <c r="P72" s="578"/>
      <c r="Q72" s="578"/>
      <c r="R72" s="578"/>
      <c r="S72" s="579"/>
      <c r="T72" s="493"/>
      <c r="U72" s="592">
        <v>29</v>
      </c>
      <c r="V72" s="1196"/>
      <c r="W72" s="1197"/>
      <c r="X72" s="1197"/>
      <c r="Y72" s="1197"/>
      <c r="Z72" s="1197"/>
      <c r="AA72" s="1198"/>
      <c r="AB72" s="1214" t="s">
        <v>292</v>
      </c>
      <c r="AC72" s="1215"/>
      <c r="AD72" s="1199" t="s">
        <v>292</v>
      </c>
      <c r="AE72" s="1200"/>
      <c r="AF72" s="1200"/>
      <c r="AG72" s="1201"/>
      <c r="AH72" s="493"/>
      <c r="AI72" s="493"/>
      <c r="AJ72" s="493"/>
      <c r="AK72" s="493"/>
      <c r="AL72" s="493"/>
      <c r="AM72" s="493"/>
      <c r="AN72" s="493"/>
      <c r="AO72" s="493"/>
      <c r="AP72" s="493"/>
      <c r="AQ72" s="493"/>
      <c r="AR72" s="493"/>
      <c r="AS72" s="493"/>
    </row>
    <row r="73" spans="1:45" ht="18" customHeight="1" x14ac:dyDescent="0.15">
      <c r="A73" s="493"/>
      <c r="B73" s="493"/>
      <c r="C73" s="1179" t="s">
        <v>1035</v>
      </c>
      <c r="D73" s="547" t="s">
        <v>1036</v>
      </c>
      <c r="E73" s="568"/>
      <c r="F73" s="568"/>
      <c r="G73" s="568"/>
      <c r="H73" s="568"/>
      <c r="I73" s="571"/>
      <c r="J73" s="571"/>
      <c r="K73" s="571"/>
      <c r="L73" s="571"/>
      <c r="M73" s="571"/>
      <c r="N73" s="571"/>
      <c r="O73" s="568"/>
      <c r="P73" s="571"/>
      <c r="Q73" s="571"/>
      <c r="R73" s="571"/>
      <c r="S73" s="572"/>
      <c r="T73" s="493"/>
      <c r="U73" s="592">
        <v>30</v>
      </c>
      <c r="V73" s="1196"/>
      <c r="W73" s="1197"/>
      <c r="X73" s="1197"/>
      <c r="Y73" s="1197"/>
      <c r="Z73" s="1197"/>
      <c r="AA73" s="1198"/>
      <c r="AB73" s="1214" t="s">
        <v>292</v>
      </c>
      <c r="AC73" s="1215"/>
      <c r="AD73" s="1199" t="s">
        <v>292</v>
      </c>
      <c r="AE73" s="1200"/>
      <c r="AF73" s="1200"/>
      <c r="AG73" s="1201"/>
      <c r="AH73" s="493"/>
      <c r="AI73" s="493"/>
      <c r="AJ73" s="493"/>
      <c r="AK73" s="493"/>
      <c r="AL73" s="493"/>
      <c r="AM73" s="493"/>
      <c r="AN73" s="493"/>
      <c r="AO73" s="493"/>
      <c r="AP73" s="493"/>
      <c r="AQ73" s="493"/>
      <c r="AR73" s="493"/>
      <c r="AS73" s="493"/>
    </row>
    <row r="74" spans="1:45" ht="18" customHeight="1" thickBot="1" x14ac:dyDescent="0.2">
      <c r="A74" s="493"/>
      <c r="B74" s="493"/>
      <c r="C74" s="1180"/>
      <c r="D74" s="580"/>
      <c r="E74" s="581"/>
      <c r="F74" s="582"/>
      <c r="G74" s="582"/>
      <c r="H74" s="582"/>
      <c r="I74" s="581"/>
      <c r="J74" s="581"/>
      <c r="K74" s="581"/>
      <c r="L74" s="581"/>
      <c r="M74" s="581"/>
      <c r="N74" s="581"/>
      <c r="O74" s="582"/>
      <c r="P74" s="581"/>
      <c r="Q74" s="581"/>
      <c r="R74" s="581"/>
      <c r="S74" s="583"/>
      <c r="T74" s="493"/>
      <c r="U74" s="591">
        <v>31</v>
      </c>
      <c r="V74" s="1196"/>
      <c r="W74" s="1197"/>
      <c r="X74" s="1197"/>
      <c r="Y74" s="1197"/>
      <c r="Z74" s="1197"/>
      <c r="AA74" s="1198"/>
      <c r="AB74" s="1214" t="s">
        <v>292</v>
      </c>
      <c r="AC74" s="1215"/>
      <c r="AD74" s="1199" t="s">
        <v>292</v>
      </c>
      <c r="AE74" s="1200"/>
      <c r="AF74" s="1200"/>
      <c r="AG74" s="1201"/>
      <c r="AH74" s="493"/>
      <c r="AI74" s="493"/>
      <c r="AJ74" s="493"/>
      <c r="AK74" s="493"/>
      <c r="AL74" s="493"/>
      <c r="AM74" s="493"/>
      <c r="AN74" s="493"/>
      <c r="AO74" s="493"/>
      <c r="AP74" s="493"/>
      <c r="AQ74" s="493"/>
      <c r="AR74" s="493"/>
      <c r="AS74" s="493"/>
    </row>
    <row r="75" spans="1:45" ht="18" customHeight="1" thickBot="1" x14ac:dyDescent="0.2">
      <c r="A75" s="493"/>
      <c r="B75" s="493"/>
      <c r="C75" s="584"/>
      <c r="D75" s="534"/>
      <c r="E75" s="534"/>
      <c r="F75" s="534"/>
      <c r="G75" s="534"/>
      <c r="H75" s="534"/>
      <c r="I75" s="493"/>
      <c r="J75" s="493"/>
      <c r="K75" s="493"/>
      <c r="L75" s="493"/>
      <c r="M75" s="493"/>
      <c r="N75" s="493"/>
      <c r="O75" s="534"/>
      <c r="P75" s="493"/>
      <c r="Q75" s="493"/>
      <c r="R75" s="493"/>
      <c r="S75" s="493"/>
      <c r="T75" s="493"/>
      <c r="U75" s="592">
        <v>32</v>
      </c>
      <c r="V75" s="1196"/>
      <c r="W75" s="1197"/>
      <c r="X75" s="1197"/>
      <c r="Y75" s="1197"/>
      <c r="Z75" s="1197"/>
      <c r="AA75" s="1198"/>
      <c r="AB75" s="1214" t="s">
        <v>292</v>
      </c>
      <c r="AC75" s="1215"/>
      <c r="AD75" s="1199" t="s">
        <v>292</v>
      </c>
      <c r="AE75" s="1200"/>
      <c r="AF75" s="1200"/>
      <c r="AG75" s="1201"/>
      <c r="AH75" s="493"/>
      <c r="AI75" s="493"/>
      <c r="AJ75" s="493"/>
      <c r="AK75" s="493"/>
      <c r="AL75" s="493"/>
      <c r="AM75" s="493"/>
      <c r="AN75" s="493"/>
      <c r="AO75" s="493"/>
      <c r="AP75" s="493"/>
      <c r="AQ75" s="493"/>
      <c r="AR75" s="493"/>
      <c r="AS75" s="493"/>
    </row>
    <row r="76" spans="1:45" ht="18" customHeight="1" x14ac:dyDescent="0.15">
      <c r="A76" s="493"/>
      <c r="B76" s="493"/>
      <c r="C76" s="1181" t="s">
        <v>1027</v>
      </c>
      <c r="D76" s="609" t="s">
        <v>1037</v>
      </c>
      <c r="E76" s="540"/>
      <c r="F76" s="540"/>
      <c r="G76" s="540"/>
      <c r="H76" s="540"/>
      <c r="I76" s="541"/>
      <c r="J76" s="541"/>
      <c r="K76" s="541"/>
      <c r="L76" s="541"/>
      <c r="M76" s="541"/>
      <c r="N76" s="541"/>
      <c r="O76" s="540"/>
      <c r="P76" s="541"/>
      <c r="Q76" s="541"/>
      <c r="R76" s="541"/>
      <c r="S76" s="542"/>
      <c r="T76" s="493"/>
      <c r="U76" s="592">
        <v>33</v>
      </c>
      <c r="V76" s="1196"/>
      <c r="W76" s="1197"/>
      <c r="X76" s="1197"/>
      <c r="Y76" s="1197"/>
      <c r="Z76" s="1197"/>
      <c r="AA76" s="1198"/>
      <c r="AB76" s="1214" t="s">
        <v>292</v>
      </c>
      <c r="AC76" s="1215"/>
      <c r="AD76" s="1199" t="s">
        <v>292</v>
      </c>
      <c r="AE76" s="1200"/>
      <c r="AF76" s="1200"/>
      <c r="AG76" s="1201"/>
      <c r="AH76" s="493"/>
      <c r="AI76" s="493"/>
      <c r="AJ76" s="493"/>
      <c r="AK76" s="493"/>
      <c r="AL76" s="493"/>
      <c r="AM76" s="493"/>
      <c r="AN76" s="493"/>
      <c r="AO76" s="493"/>
      <c r="AP76" s="493"/>
      <c r="AQ76" s="493"/>
      <c r="AR76" s="493"/>
      <c r="AS76" s="493"/>
    </row>
    <row r="77" spans="1:45" ht="18" customHeight="1" x14ac:dyDescent="0.15">
      <c r="A77" s="493"/>
      <c r="B77" s="493"/>
      <c r="C77" s="1182"/>
      <c r="D77" s="610"/>
      <c r="E77" s="548"/>
      <c r="F77" s="548"/>
      <c r="G77" s="548"/>
      <c r="H77" s="548"/>
      <c r="I77" s="549"/>
      <c r="J77" s="549"/>
      <c r="K77" s="549"/>
      <c r="L77" s="549"/>
      <c r="M77" s="549"/>
      <c r="N77" s="549"/>
      <c r="O77" s="548"/>
      <c r="P77" s="549"/>
      <c r="Q77" s="549"/>
      <c r="R77" s="549"/>
      <c r="S77" s="550"/>
      <c r="T77" s="493"/>
      <c r="U77" s="591">
        <v>34</v>
      </c>
      <c r="V77" s="1196"/>
      <c r="W77" s="1197"/>
      <c r="X77" s="1197"/>
      <c r="Y77" s="1197"/>
      <c r="Z77" s="1197"/>
      <c r="AA77" s="1198"/>
      <c r="AB77" s="1214" t="s">
        <v>292</v>
      </c>
      <c r="AC77" s="1215"/>
      <c r="AD77" s="1199" t="s">
        <v>292</v>
      </c>
      <c r="AE77" s="1200"/>
      <c r="AF77" s="1200"/>
      <c r="AG77" s="1201"/>
      <c r="AH77" s="493"/>
      <c r="AI77" s="493"/>
      <c r="AJ77" s="493"/>
      <c r="AK77" s="493"/>
      <c r="AL77" s="493"/>
      <c r="AM77" s="493"/>
      <c r="AN77" s="493"/>
      <c r="AO77" s="493"/>
      <c r="AP77" s="493"/>
      <c r="AQ77" s="493"/>
      <c r="AR77" s="493"/>
      <c r="AS77" s="493"/>
    </row>
    <row r="78" spans="1:45" ht="18" customHeight="1" x14ac:dyDescent="0.15">
      <c r="A78" s="493"/>
      <c r="B78" s="493"/>
      <c r="C78" s="1179" t="s">
        <v>1029</v>
      </c>
      <c r="D78" s="611" t="s">
        <v>1038</v>
      </c>
      <c r="E78" s="553"/>
      <c r="F78" s="553"/>
      <c r="G78" s="553"/>
      <c r="H78" s="553"/>
      <c r="I78" s="612"/>
      <c r="J78" s="612"/>
      <c r="K78" s="612"/>
      <c r="L78" s="612"/>
      <c r="M78" s="612"/>
      <c r="N78" s="612"/>
      <c r="O78" s="553"/>
      <c r="P78" s="612"/>
      <c r="Q78" s="612"/>
      <c r="R78" s="612"/>
      <c r="S78" s="613"/>
      <c r="T78" s="493"/>
      <c r="U78" s="592">
        <v>35</v>
      </c>
      <c r="V78" s="1196"/>
      <c r="W78" s="1197"/>
      <c r="X78" s="1197"/>
      <c r="Y78" s="1197"/>
      <c r="Z78" s="1197"/>
      <c r="AA78" s="1198"/>
      <c r="AB78" s="1214" t="s">
        <v>292</v>
      </c>
      <c r="AC78" s="1215"/>
      <c r="AD78" s="1199" t="s">
        <v>292</v>
      </c>
      <c r="AE78" s="1200"/>
      <c r="AF78" s="1200"/>
      <c r="AG78" s="1201"/>
      <c r="AH78" s="493"/>
      <c r="AI78" s="493"/>
      <c r="AJ78" s="493"/>
      <c r="AK78" s="493"/>
      <c r="AL78" s="493"/>
      <c r="AM78" s="493"/>
      <c r="AN78" s="493"/>
      <c r="AO78" s="493"/>
      <c r="AP78" s="493"/>
      <c r="AQ78" s="493"/>
      <c r="AR78" s="493"/>
      <c r="AS78" s="493"/>
    </row>
    <row r="79" spans="1:45" ht="18" customHeight="1" x14ac:dyDescent="0.15">
      <c r="A79" s="493"/>
      <c r="B79" s="493"/>
      <c r="C79" s="1183"/>
      <c r="D79" s="614"/>
      <c r="E79" s="545"/>
      <c r="F79" s="545"/>
      <c r="G79" s="545"/>
      <c r="H79" s="545"/>
      <c r="I79" s="544"/>
      <c r="J79" s="544"/>
      <c r="K79" s="544"/>
      <c r="L79" s="544"/>
      <c r="M79" s="544"/>
      <c r="N79" s="544"/>
      <c r="O79" s="545"/>
      <c r="P79" s="544"/>
      <c r="Q79" s="544"/>
      <c r="R79" s="544"/>
      <c r="S79" s="546"/>
      <c r="T79" s="493"/>
      <c r="U79" s="592">
        <v>36</v>
      </c>
      <c r="V79" s="1196"/>
      <c r="W79" s="1197"/>
      <c r="X79" s="1197"/>
      <c r="Y79" s="1197"/>
      <c r="Z79" s="1197"/>
      <c r="AA79" s="1198"/>
      <c r="AB79" s="1214" t="s">
        <v>292</v>
      </c>
      <c r="AC79" s="1215"/>
      <c r="AD79" s="1199" t="s">
        <v>292</v>
      </c>
      <c r="AE79" s="1200"/>
      <c r="AF79" s="1200"/>
      <c r="AG79" s="1201"/>
      <c r="AH79" s="493"/>
      <c r="AI79" s="493"/>
      <c r="AJ79" s="493"/>
      <c r="AK79" s="493"/>
      <c r="AL79" s="493"/>
      <c r="AM79" s="493"/>
      <c r="AN79" s="493"/>
      <c r="AO79" s="493"/>
      <c r="AP79" s="493"/>
      <c r="AQ79" s="493"/>
      <c r="AR79" s="493"/>
      <c r="AS79" s="493"/>
    </row>
    <row r="80" spans="1:45" ht="18" customHeight="1" x14ac:dyDescent="0.15">
      <c r="A80" s="493"/>
      <c r="B80" s="493"/>
      <c r="C80" s="1179" t="s">
        <v>1031</v>
      </c>
      <c r="D80" s="615" t="s">
        <v>1039</v>
      </c>
      <c r="E80" s="548"/>
      <c r="F80" s="548"/>
      <c r="G80" s="548"/>
      <c r="H80" s="548"/>
      <c r="I80" s="549"/>
      <c r="J80" s="549"/>
      <c r="K80" s="549"/>
      <c r="L80" s="549"/>
      <c r="M80" s="549"/>
      <c r="N80" s="549"/>
      <c r="O80" s="548"/>
      <c r="P80" s="549"/>
      <c r="Q80" s="549"/>
      <c r="R80" s="549"/>
      <c r="S80" s="550"/>
      <c r="T80" s="493"/>
      <c r="U80" s="591">
        <v>37</v>
      </c>
      <c r="V80" s="1196"/>
      <c r="W80" s="1197"/>
      <c r="X80" s="1197"/>
      <c r="Y80" s="1197"/>
      <c r="Z80" s="1197"/>
      <c r="AA80" s="1198"/>
      <c r="AB80" s="1214" t="s">
        <v>292</v>
      </c>
      <c r="AC80" s="1215"/>
      <c r="AD80" s="1199" t="s">
        <v>292</v>
      </c>
      <c r="AE80" s="1200"/>
      <c r="AF80" s="1200"/>
      <c r="AG80" s="1201"/>
      <c r="AH80" s="493"/>
      <c r="AI80" s="493"/>
      <c r="AJ80" s="493"/>
      <c r="AK80" s="493"/>
      <c r="AL80" s="493"/>
      <c r="AM80" s="493"/>
      <c r="AN80" s="493"/>
      <c r="AO80" s="493"/>
      <c r="AP80" s="493"/>
      <c r="AQ80" s="493"/>
      <c r="AR80" s="493"/>
      <c r="AS80" s="493"/>
    </row>
    <row r="81" spans="1:45" ht="18" customHeight="1" x14ac:dyDescent="0.15">
      <c r="A81" s="493"/>
      <c r="B81" s="493"/>
      <c r="C81" s="1182"/>
      <c r="D81" s="610"/>
      <c r="E81" s="548"/>
      <c r="F81" s="548"/>
      <c r="G81" s="548"/>
      <c r="H81" s="548"/>
      <c r="I81" s="549"/>
      <c r="J81" s="549"/>
      <c r="K81" s="549"/>
      <c r="L81" s="549"/>
      <c r="M81" s="549"/>
      <c r="N81" s="549"/>
      <c r="O81" s="548"/>
      <c r="P81" s="549"/>
      <c r="Q81" s="549"/>
      <c r="R81" s="549"/>
      <c r="S81" s="550"/>
      <c r="T81" s="493"/>
      <c r="U81" s="592">
        <v>38</v>
      </c>
      <c r="V81" s="1196"/>
      <c r="W81" s="1197"/>
      <c r="X81" s="1197"/>
      <c r="Y81" s="1197"/>
      <c r="Z81" s="1197"/>
      <c r="AA81" s="1198"/>
      <c r="AB81" s="1214" t="s">
        <v>292</v>
      </c>
      <c r="AC81" s="1215"/>
      <c r="AD81" s="1199" t="s">
        <v>292</v>
      </c>
      <c r="AE81" s="1200"/>
      <c r="AF81" s="1200"/>
      <c r="AG81" s="1201"/>
      <c r="AH81" s="493"/>
      <c r="AI81" s="493"/>
      <c r="AJ81" s="493"/>
      <c r="AK81" s="493"/>
      <c r="AL81" s="493"/>
      <c r="AM81" s="493"/>
      <c r="AN81" s="493"/>
      <c r="AO81" s="493"/>
      <c r="AP81" s="493"/>
      <c r="AQ81" s="493"/>
      <c r="AR81" s="493"/>
      <c r="AS81" s="493"/>
    </row>
    <row r="82" spans="1:45" ht="18" customHeight="1" x14ac:dyDescent="0.15">
      <c r="A82" s="493"/>
      <c r="B82" s="493"/>
      <c r="C82" s="1183" t="s">
        <v>1033</v>
      </c>
      <c r="D82" s="611" t="s">
        <v>1040</v>
      </c>
      <c r="E82" s="553"/>
      <c r="F82" s="553"/>
      <c r="G82" s="553"/>
      <c r="H82" s="553"/>
      <c r="I82" s="612"/>
      <c r="J82" s="612"/>
      <c r="K82" s="612"/>
      <c r="L82" s="612"/>
      <c r="M82" s="612"/>
      <c r="N82" s="612"/>
      <c r="O82" s="553"/>
      <c r="P82" s="612"/>
      <c r="Q82" s="612"/>
      <c r="R82" s="612"/>
      <c r="S82" s="613"/>
      <c r="T82" s="493"/>
      <c r="U82" s="592">
        <v>39</v>
      </c>
      <c r="V82" s="1196"/>
      <c r="W82" s="1197"/>
      <c r="X82" s="1197"/>
      <c r="Y82" s="1197"/>
      <c r="Z82" s="1197"/>
      <c r="AA82" s="1198"/>
      <c r="AB82" s="1214" t="s">
        <v>292</v>
      </c>
      <c r="AC82" s="1215"/>
      <c r="AD82" s="1199" t="s">
        <v>292</v>
      </c>
      <c r="AE82" s="1200"/>
      <c r="AF82" s="1200"/>
      <c r="AG82" s="1201"/>
      <c r="AH82" s="493"/>
      <c r="AI82" s="493"/>
      <c r="AJ82" s="493"/>
      <c r="AK82" s="493"/>
      <c r="AL82" s="493"/>
      <c r="AM82" s="493"/>
      <c r="AN82" s="493"/>
      <c r="AO82" s="493"/>
      <c r="AP82" s="493"/>
      <c r="AQ82" s="493"/>
      <c r="AR82" s="493"/>
      <c r="AS82" s="493"/>
    </row>
    <row r="83" spans="1:45" ht="18" customHeight="1" x14ac:dyDescent="0.15">
      <c r="A83" s="493"/>
      <c r="B83" s="493"/>
      <c r="C83" s="1182"/>
      <c r="D83" s="614"/>
      <c r="E83" s="545"/>
      <c r="F83" s="545"/>
      <c r="G83" s="545"/>
      <c r="H83" s="545"/>
      <c r="I83" s="544"/>
      <c r="J83" s="544"/>
      <c r="K83" s="544"/>
      <c r="L83" s="544"/>
      <c r="M83" s="544"/>
      <c r="N83" s="544"/>
      <c r="O83" s="545"/>
      <c r="P83" s="544"/>
      <c r="Q83" s="544"/>
      <c r="R83" s="544"/>
      <c r="S83" s="546"/>
      <c r="T83" s="493"/>
      <c r="U83" s="591">
        <v>40</v>
      </c>
      <c r="V83" s="1196"/>
      <c r="W83" s="1197"/>
      <c r="X83" s="1197"/>
      <c r="Y83" s="1197"/>
      <c r="Z83" s="1197"/>
      <c r="AA83" s="1198"/>
      <c r="AB83" s="1214" t="s">
        <v>292</v>
      </c>
      <c r="AC83" s="1215"/>
      <c r="AD83" s="1199" t="s">
        <v>292</v>
      </c>
      <c r="AE83" s="1200"/>
      <c r="AF83" s="1200"/>
      <c r="AG83" s="1201"/>
      <c r="AH83" s="493"/>
      <c r="AI83" s="493"/>
      <c r="AJ83" s="493"/>
      <c r="AK83" s="493"/>
      <c r="AL83" s="493"/>
      <c r="AM83" s="493"/>
      <c r="AN83" s="493"/>
      <c r="AO83" s="493"/>
      <c r="AP83" s="493"/>
      <c r="AQ83" s="493"/>
      <c r="AR83" s="493"/>
      <c r="AS83" s="493"/>
    </row>
    <row r="84" spans="1:45" ht="18" customHeight="1" x14ac:dyDescent="0.15">
      <c r="A84" s="493"/>
      <c r="B84" s="493"/>
      <c r="C84" s="1179" t="s">
        <v>1035</v>
      </c>
      <c r="D84" s="615" t="s">
        <v>1041</v>
      </c>
      <c r="E84" s="548"/>
      <c r="F84" s="548"/>
      <c r="G84" s="548"/>
      <c r="H84" s="548"/>
      <c r="I84" s="549"/>
      <c r="J84" s="549"/>
      <c r="K84" s="549"/>
      <c r="L84" s="549"/>
      <c r="M84" s="549"/>
      <c r="N84" s="549"/>
      <c r="O84" s="548"/>
      <c r="P84" s="549"/>
      <c r="Q84" s="549"/>
      <c r="R84" s="549"/>
      <c r="S84" s="550"/>
      <c r="T84" s="493"/>
      <c r="U84" s="592">
        <v>41</v>
      </c>
      <c r="V84" s="1196"/>
      <c r="W84" s="1197"/>
      <c r="X84" s="1197"/>
      <c r="Y84" s="1197"/>
      <c r="Z84" s="1197"/>
      <c r="AA84" s="1198"/>
      <c r="AB84" s="1214" t="s">
        <v>292</v>
      </c>
      <c r="AC84" s="1215"/>
      <c r="AD84" s="1199" t="s">
        <v>292</v>
      </c>
      <c r="AE84" s="1200"/>
      <c r="AF84" s="1200"/>
      <c r="AG84" s="1201"/>
      <c r="AH84" s="493"/>
      <c r="AI84" s="493"/>
      <c r="AJ84" s="493"/>
      <c r="AK84" s="493"/>
      <c r="AL84" s="493"/>
      <c r="AM84" s="493"/>
      <c r="AN84" s="493"/>
      <c r="AO84" s="493"/>
      <c r="AP84" s="493"/>
      <c r="AQ84" s="493"/>
      <c r="AR84" s="493"/>
      <c r="AS84" s="493"/>
    </row>
    <row r="85" spans="1:45" ht="18" customHeight="1" thickBot="1" x14ac:dyDescent="0.2">
      <c r="A85" s="493"/>
      <c r="B85" s="493"/>
      <c r="C85" s="1180"/>
      <c r="D85" s="616"/>
      <c r="E85" s="560"/>
      <c r="F85" s="560"/>
      <c r="G85" s="560"/>
      <c r="H85" s="560"/>
      <c r="I85" s="617"/>
      <c r="J85" s="617"/>
      <c r="K85" s="617"/>
      <c r="L85" s="617"/>
      <c r="M85" s="617"/>
      <c r="N85" s="617"/>
      <c r="O85" s="560"/>
      <c r="P85" s="617"/>
      <c r="Q85" s="617"/>
      <c r="R85" s="617"/>
      <c r="S85" s="618"/>
      <c r="T85" s="493"/>
      <c r="U85" s="592">
        <v>42</v>
      </c>
      <c r="V85" s="1196"/>
      <c r="W85" s="1197"/>
      <c r="X85" s="1197"/>
      <c r="Y85" s="1197"/>
      <c r="Z85" s="1197"/>
      <c r="AA85" s="1198"/>
      <c r="AB85" s="1214" t="s">
        <v>292</v>
      </c>
      <c r="AC85" s="1215"/>
      <c r="AD85" s="1199" t="s">
        <v>292</v>
      </c>
      <c r="AE85" s="1200"/>
      <c r="AF85" s="1200"/>
      <c r="AG85" s="1201"/>
      <c r="AH85" s="493"/>
      <c r="AI85" s="493"/>
      <c r="AJ85" s="493"/>
      <c r="AK85" s="493"/>
      <c r="AL85" s="493"/>
      <c r="AM85" s="493"/>
      <c r="AN85" s="493"/>
      <c r="AO85" s="493"/>
      <c r="AP85" s="493"/>
      <c r="AQ85" s="493"/>
      <c r="AR85" s="493"/>
      <c r="AS85" s="493"/>
    </row>
    <row r="86" spans="1:45" ht="18" customHeight="1" thickBot="1" x14ac:dyDescent="0.2">
      <c r="A86" s="493"/>
      <c r="B86" s="493"/>
      <c r="C86" s="584"/>
      <c r="D86" s="534"/>
      <c r="E86" s="534"/>
      <c r="F86" s="534"/>
      <c r="G86" s="534"/>
      <c r="H86" s="534"/>
      <c r="I86" s="493"/>
      <c r="J86" s="493"/>
      <c r="K86" s="493"/>
      <c r="L86" s="493"/>
      <c r="M86" s="493"/>
      <c r="N86" s="493"/>
      <c r="O86" s="534"/>
      <c r="P86" s="493"/>
      <c r="Q86" s="493"/>
      <c r="R86" s="493"/>
      <c r="S86" s="493"/>
      <c r="T86" s="493"/>
      <c r="U86" s="591">
        <v>43</v>
      </c>
      <c r="V86" s="1196"/>
      <c r="W86" s="1197"/>
      <c r="X86" s="1197"/>
      <c r="Y86" s="1197"/>
      <c r="Z86" s="1197"/>
      <c r="AA86" s="1198"/>
      <c r="AB86" s="1214" t="s">
        <v>292</v>
      </c>
      <c r="AC86" s="1215"/>
      <c r="AD86" s="1199" t="s">
        <v>292</v>
      </c>
      <c r="AE86" s="1200"/>
      <c r="AF86" s="1200"/>
      <c r="AG86" s="1201"/>
      <c r="AH86" s="493"/>
      <c r="AI86" s="493"/>
      <c r="AJ86" s="493"/>
      <c r="AK86" s="493"/>
      <c r="AL86" s="493"/>
      <c r="AM86" s="493"/>
      <c r="AN86" s="493"/>
      <c r="AO86" s="493"/>
      <c r="AP86" s="493"/>
      <c r="AQ86" s="493"/>
      <c r="AR86" s="493"/>
      <c r="AS86" s="493"/>
    </row>
    <row r="87" spans="1:45" ht="18" customHeight="1" x14ac:dyDescent="0.15">
      <c r="A87" s="493"/>
      <c r="B87" s="493"/>
      <c r="C87" s="1181" t="s">
        <v>1042</v>
      </c>
      <c r="D87" s="585" t="s">
        <v>1043</v>
      </c>
      <c r="E87" s="562"/>
      <c r="F87" s="562"/>
      <c r="G87" s="562"/>
      <c r="H87" s="562"/>
      <c r="I87" s="586"/>
      <c r="J87" s="586"/>
      <c r="K87" s="586"/>
      <c r="L87" s="586"/>
      <c r="M87" s="586"/>
      <c r="N87" s="586"/>
      <c r="O87" s="562"/>
      <c r="P87" s="586"/>
      <c r="Q87" s="586"/>
      <c r="R87" s="586"/>
      <c r="S87" s="587"/>
      <c r="T87" s="493"/>
      <c r="U87" s="592">
        <v>44</v>
      </c>
      <c r="V87" s="1196"/>
      <c r="W87" s="1197"/>
      <c r="X87" s="1197"/>
      <c r="Y87" s="1197"/>
      <c r="Z87" s="1197"/>
      <c r="AA87" s="1198"/>
      <c r="AB87" s="1214" t="s">
        <v>292</v>
      </c>
      <c r="AC87" s="1215"/>
      <c r="AD87" s="1199" t="s">
        <v>292</v>
      </c>
      <c r="AE87" s="1200"/>
      <c r="AF87" s="1200"/>
      <c r="AG87" s="1201"/>
      <c r="AH87" s="493"/>
      <c r="AI87" s="493"/>
      <c r="AJ87" s="493"/>
      <c r="AK87" s="493"/>
      <c r="AL87" s="493"/>
      <c r="AM87" s="493"/>
      <c r="AN87" s="493"/>
      <c r="AO87" s="493"/>
      <c r="AP87" s="493"/>
      <c r="AQ87" s="493"/>
      <c r="AR87" s="493"/>
      <c r="AS87" s="493"/>
    </row>
    <row r="88" spans="1:45" ht="18" customHeight="1" x14ac:dyDescent="0.15">
      <c r="A88" s="493"/>
      <c r="B88" s="493"/>
      <c r="C88" s="1182"/>
      <c r="D88" s="543"/>
      <c r="E88" s="578"/>
      <c r="F88" s="566"/>
      <c r="G88" s="566"/>
      <c r="H88" s="566"/>
      <c r="I88" s="578"/>
      <c r="J88" s="578"/>
      <c r="K88" s="578"/>
      <c r="L88" s="578"/>
      <c r="M88" s="578"/>
      <c r="N88" s="578"/>
      <c r="O88" s="566"/>
      <c r="P88" s="578"/>
      <c r="Q88" s="578"/>
      <c r="R88" s="578"/>
      <c r="S88" s="579"/>
      <c r="T88" s="493"/>
      <c r="U88" s="592">
        <v>45</v>
      </c>
      <c r="V88" s="1196"/>
      <c r="W88" s="1197"/>
      <c r="X88" s="1197"/>
      <c r="Y88" s="1197"/>
      <c r="Z88" s="1197"/>
      <c r="AA88" s="1198"/>
      <c r="AB88" s="1214" t="s">
        <v>292</v>
      </c>
      <c r="AC88" s="1215"/>
      <c r="AD88" s="1199" t="s">
        <v>292</v>
      </c>
      <c r="AE88" s="1200"/>
      <c r="AF88" s="1200"/>
      <c r="AG88" s="1201"/>
      <c r="AH88" s="493"/>
      <c r="AI88" s="493"/>
      <c r="AJ88" s="493"/>
      <c r="AK88" s="493"/>
      <c r="AL88" s="493"/>
      <c r="AM88" s="493"/>
      <c r="AN88" s="493"/>
      <c r="AO88" s="493"/>
      <c r="AP88" s="493"/>
      <c r="AQ88" s="493"/>
      <c r="AR88" s="493"/>
      <c r="AS88" s="493"/>
    </row>
    <row r="89" spans="1:45" ht="18" customHeight="1" x14ac:dyDescent="0.15">
      <c r="A89" s="493"/>
      <c r="B89" s="493"/>
      <c r="C89" s="1179" t="s">
        <v>1044</v>
      </c>
      <c r="D89" s="547" t="s">
        <v>1045</v>
      </c>
      <c r="E89" s="568"/>
      <c r="F89" s="568"/>
      <c r="G89" s="568"/>
      <c r="H89" s="568"/>
      <c r="I89" s="571"/>
      <c r="J89" s="571"/>
      <c r="K89" s="571"/>
      <c r="L89" s="571"/>
      <c r="M89" s="571"/>
      <c r="N89" s="571"/>
      <c r="O89" s="568"/>
      <c r="P89" s="571"/>
      <c r="Q89" s="571"/>
      <c r="R89" s="571"/>
      <c r="S89" s="572"/>
      <c r="T89" s="493"/>
      <c r="U89" s="591">
        <v>46</v>
      </c>
      <c r="V89" s="1196"/>
      <c r="W89" s="1197"/>
      <c r="X89" s="1197"/>
      <c r="Y89" s="1197"/>
      <c r="Z89" s="1197"/>
      <c r="AA89" s="1198"/>
      <c r="AB89" s="1214" t="s">
        <v>292</v>
      </c>
      <c r="AC89" s="1215"/>
      <c r="AD89" s="1199" t="s">
        <v>292</v>
      </c>
      <c r="AE89" s="1200"/>
      <c r="AF89" s="1200"/>
      <c r="AG89" s="1201"/>
      <c r="AH89" s="493"/>
      <c r="AI89" s="493"/>
      <c r="AJ89" s="493"/>
      <c r="AK89" s="493"/>
      <c r="AL89" s="493"/>
      <c r="AM89" s="493"/>
      <c r="AN89" s="493"/>
      <c r="AO89" s="493"/>
      <c r="AP89" s="493"/>
      <c r="AQ89" s="493"/>
      <c r="AR89" s="493"/>
      <c r="AS89" s="493"/>
    </row>
    <row r="90" spans="1:45" ht="18" customHeight="1" x14ac:dyDescent="0.15">
      <c r="A90" s="493"/>
      <c r="B90" s="493"/>
      <c r="C90" s="1182"/>
      <c r="D90" s="551"/>
      <c r="E90" s="571"/>
      <c r="F90" s="568"/>
      <c r="G90" s="568"/>
      <c r="H90" s="568"/>
      <c r="I90" s="571"/>
      <c r="J90" s="571"/>
      <c r="K90" s="571"/>
      <c r="L90" s="571"/>
      <c r="M90" s="571"/>
      <c r="N90" s="571"/>
      <c r="O90" s="568"/>
      <c r="P90" s="571"/>
      <c r="Q90" s="571"/>
      <c r="R90" s="571"/>
      <c r="S90" s="572"/>
      <c r="T90" s="493"/>
      <c r="U90" s="592">
        <v>47</v>
      </c>
      <c r="V90" s="1196"/>
      <c r="W90" s="1197"/>
      <c r="X90" s="1197"/>
      <c r="Y90" s="1197"/>
      <c r="Z90" s="1197"/>
      <c r="AA90" s="1198"/>
      <c r="AB90" s="1214" t="s">
        <v>292</v>
      </c>
      <c r="AC90" s="1215"/>
      <c r="AD90" s="1199" t="s">
        <v>292</v>
      </c>
      <c r="AE90" s="1200"/>
      <c r="AF90" s="1200"/>
      <c r="AG90" s="1201"/>
      <c r="AH90" s="493"/>
      <c r="AI90" s="493"/>
      <c r="AJ90" s="493"/>
      <c r="AK90" s="493"/>
      <c r="AL90" s="493"/>
      <c r="AM90" s="493"/>
      <c r="AN90" s="493"/>
      <c r="AO90" s="493"/>
      <c r="AP90" s="493"/>
      <c r="AQ90" s="493"/>
      <c r="AR90" s="493"/>
      <c r="AS90" s="493"/>
    </row>
    <row r="91" spans="1:45" ht="18" customHeight="1" x14ac:dyDescent="0.15">
      <c r="A91" s="493"/>
      <c r="B91" s="493"/>
      <c r="C91" s="1179" t="s">
        <v>909</v>
      </c>
      <c r="D91" s="552" t="s">
        <v>1046</v>
      </c>
      <c r="E91" s="574"/>
      <c r="F91" s="574"/>
      <c r="G91" s="574"/>
      <c r="H91" s="574"/>
      <c r="I91" s="575"/>
      <c r="J91" s="575"/>
      <c r="K91" s="575"/>
      <c r="L91" s="575"/>
      <c r="M91" s="575"/>
      <c r="N91" s="575"/>
      <c r="O91" s="574"/>
      <c r="P91" s="575"/>
      <c r="Q91" s="575"/>
      <c r="R91" s="575"/>
      <c r="S91" s="576"/>
      <c r="T91" s="493"/>
      <c r="U91" s="592">
        <v>48</v>
      </c>
      <c r="V91" s="1196"/>
      <c r="W91" s="1197"/>
      <c r="X91" s="1197"/>
      <c r="Y91" s="1197"/>
      <c r="Z91" s="1197"/>
      <c r="AA91" s="1198"/>
      <c r="AB91" s="1214" t="s">
        <v>292</v>
      </c>
      <c r="AC91" s="1215"/>
      <c r="AD91" s="1199" t="s">
        <v>292</v>
      </c>
      <c r="AE91" s="1200"/>
      <c r="AF91" s="1200"/>
      <c r="AG91" s="1201"/>
      <c r="AH91" s="493"/>
      <c r="AI91" s="493"/>
      <c r="AJ91" s="493"/>
      <c r="AK91" s="493"/>
      <c r="AL91" s="493"/>
      <c r="AM91" s="493"/>
      <c r="AN91" s="493"/>
      <c r="AO91" s="493"/>
      <c r="AP91" s="493"/>
      <c r="AQ91" s="493"/>
      <c r="AR91" s="493"/>
      <c r="AS91" s="493"/>
    </row>
    <row r="92" spans="1:45" ht="18" customHeight="1" x14ac:dyDescent="0.15">
      <c r="A92" s="493"/>
      <c r="B92" s="493"/>
      <c r="C92" s="1182"/>
      <c r="D92" s="543"/>
      <c r="E92" s="578"/>
      <c r="F92" s="566"/>
      <c r="G92" s="566"/>
      <c r="H92" s="566"/>
      <c r="I92" s="578"/>
      <c r="J92" s="578"/>
      <c r="K92" s="578"/>
      <c r="L92" s="578"/>
      <c r="M92" s="578"/>
      <c r="N92" s="578"/>
      <c r="O92" s="566"/>
      <c r="P92" s="578"/>
      <c r="Q92" s="578"/>
      <c r="R92" s="578"/>
      <c r="S92" s="579"/>
      <c r="T92" s="493"/>
      <c r="U92" s="591">
        <v>49</v>
      </c>
      <c r="V92" s="1196"/>
      <c r="W92" s="1197"/>
      <c r="X92" s="1197"/>
      <c r="Y92" s="1197"/>
      <c r="Z92" s="1197"/>
      <c r="AA92" s="1198"/>
      <c r="AB92" s="1214" t="s">
        <v>292</v>
      </c>
      <c r="AC92" s="1215"/>
      <c r="AD92" s="1199" t="s">
        <v>292</v>
      </c>
      <c r="AE92" s="1200"/>
      <c r="AF92" s="1200"/>
      <c r="AG92" s="1201"/>
      <c r="AH92" s="493"/>
      <c r="AI92" s="493"/>
      <c r="AJ92" s="493"/>
      <c r="AK92" s="493"/>
      <c r="AL92" s="493"/>
      <c r="AM92" s="493"/>
      <c r="AN92" s="493"/>
      <c r="AO92" s="493"/>
      <c r="AP92" s="493"/>
      <c r="AQ92" s="493"/>
      <c r="AR92" s="493"/>
      <c r="AS92" s="493"/>
    </row>
    <row r="93" spans="1:45" ht="18" customHeight="1" x14ac:dyDescent="0.15">
      <c r="A93" s="493"/>
      <c r="B93" s="493"/>
      <c r="C93" s="1179" t="s">
        <v>1047</v>
      </c>
      <c r="D93" s="547" t="s">
        <v>1048</v>
      </c>
      <c r="E93" s="568"/>
      <c r="F93" s="568"/>
      <c r="G93" s="568"/>
      <c r="H93" s="568"/>
      <c r="I93" s="571"/>
      <c r="J93" s="571"/>
      <c r="K93" s="571"/>
      <c r="L93" s="571"/>
      <c r="M93" s="571"/>
      <c r="N93" s="571"/>
      <c r="O93" s="568"/>
      <c r="P93" s="571"/>
      <c r="Q93" s="571"/>
      <c r="R93" s="571"/>
      <c r="S93" s="572"/>
      <c r="T93" s="493"/>
      <c r="U93" s="592">
        <v>50</v>
      </c>
      <c r="V93" s="1196"/>
      <c r="W93" s="1197"/>
      <c r="X93" s="1197"/>
      <c r="Y93" s="1197"/>
      <c r="Z93" s="1197"/>
      <c r="AA93" s="1198"/>
      <c r="AB93" s="1214" t="s">
        <v>292</v>
      </c>
      <c r="AC93" s="1215"/>
      <c r="AD93" s="1199" t="s">
        <v>292</v>
      </c>
      <c r="AE93" s="1200"/>
      <c r="AF93" s="1200"/>
      <c r="AG93" s="1201"/>
      <c r="AH93" s="493"/>
      <c r="AI93" s="493"/>
      <c r="AJ93" s="493"/>
      <c r="AK93" s="493"/>
      <c r="AL93" s="493"/>
      <c r="AM93" s="493"/>
      <c r="AN93" s="493"/>
      <c r="AO93" s="493"/>
      <c r="AP93" s="493"/>
      <c r="AQ93" s="493"/>
      <c r="AR93" s="493"/>
      <c r="AS93" s="493"/>
    </row>
    <row r="94" spans="1:45" ht="18" customHeight="1" x14ac:dyDescent="0.15">
      <c r="A94" s="493"/>
      <c r="B94" s="493"/>
      <c r="C94" s="1182"/>
      <c r="D94" s="551"/>
      <c r="E94" s="571"/>
      <c r="F94" s="568"/>
      <c r="G94" s="568"/>
      <c r="H94" s="568"/>
      <c r="I94" s="571"/>
      <c r="J94" s="571"/>
      <c r="K94" s="571"/>
      <c r="L94" s="571"/>
      <c r="M94" s="571"/>
      <c r="N94" s="571"/>
      <c r="O94" s="568"/>
      <c r="P94" s="571"/>
      <c r="Q94" s="571"/>
      <c r="R94" s="571"/>
      <c r="S94" s="572"/>
      <c r="T94" s="493"/>
      <c r="U94" s="592">
        <v>51</v>
      </c>
      <c r="V94" s="1196"/>
      <c r="W94" s="1197"/>
      <c r="X94" s="1197"/>
      <c r="Y94" s="1197"/>
      <c r="Z94" s="1197"/>
      <c r="AA94" s="1198"/>
      <c r="AB94" s="1214" t="s">
        <v>292</v>
      </c>
      <c r="AC94" s="1215"/>
      <c r="AD94" s="1199" t="s">
        <v>292</v>
      </c>
      <c r="AE94" s="1200"/>
      <c r="AF94" s="1200"/>
      <c r="AG94" s="1201"/>
      <c r="AH94" s="493"/>
      <c r="AI94" s="493"/>
      <c r="AJ94" s="493"/>
      <c r="AK94" s="493"/>
      <c r="AL94" s="493"/>
      <c r="AM94" s="493"/>
      <c r="AN94" s="493"/>
      <c r="AO94" s="493"/>
      <c r="AP94" s="493"/>
      <c r="AQ94" s="493"/>
      <c r="AR94" s="493"/>
      <c r="AS94" s="493"/>
    </row>
    <row r="95" spans="1:45" ht="18" customHeight="1" x14ac:dyDescent="0.15">
      <c r="A95" s="493"/>
      <c r="B95" s="493"/>
      <c r="C95" s="1179" t="s">
        <v>1049</v>
      </c>
      <c r="D95" s="552" t="s">
        <v>1050</v>
      </c>
      <c r="E95" s="574"/>
      <c r="F95" s="574"/>
      <c r="G95" s="574"/>
      <c r="H95" s="574"/>
      <c r="I95" s="575"/>
      <c r="J95" s="575"/>
      <c r="K95" s="575"/>
      <c r="L95" s="575"/>
      <c r="M95" s="575"/>
      <c r="N95" s="575"/>
      <c r="O95" s="574"/>
      <c r="P95" s="575"/>
      <c r="Q95" s="575"/>
      <c r="R95" s="575"/>
      <c r="S95" s="576"/>
      <c r="T95" s="493"/>
      <c r="U95" s="591">
        <v>52</v>
      </c>
      <c r="V95" s="1196"/>
      <c r="W95" s="1197"/>
      <c r="X95" s="1197"/>
      <c r="Y95" s="1197"/>
      <c r="Z95" s="1197"/>
      <c r="AA95" s="1198"/>
      <c r="AB95" s="1214" t="s">
        <v>292</v>
      </c>
      <c r="AC95" s="1215"/>
      <c r="AD95" s="1199" t="s">
        <v>292</v>
      </c>
      <c r="AE95" s="1200"/>
      <c r="AF95" s="1200"/>
      <c r="AG95" s="1201"/>
      <c r="AH95" s="493"/>
      <c r="AI95" s="493"/>
      <c r="AJ95" s="493"/>
      <c r="AK95" s="493"/>
      <c r="AL95" s="493"/>
      <c r="AM95" s="493"/>
      <c r="AN95" s="493"/>
      <c r="AO95" s="493"/>
      <c r="AP95" s="493"/>
      <c r="AQ95" s="493"/>
      <c r="AR95" s="493"/>
      <c r="AS95" s="493"/>
    </row>
    <row r="96" spans="1:45" ht="18" customHeight="1" thickBot="1" x14ac:dyDescent="0.2">
      <c r="A96" s="493"/>
      <c r="B96" s="493"/>
      <c r="C96" s="1180"/>
      <c r="D96" s="588"/>
      <c r="E96" s="581"/>
      <c r="F96" s="582"/>
      <c r="G96" s="582"/>
      <c r="H96" s="582"/>
      <c r="I96" s="581"/>
      <c r="J96" s="581"/>
      <c r="K96" s="581"/>
      <c r="L96" s="581"/>
      <c r="M96" s="581"/>
      <c r="N96" s="581"/>
      <c r="O96" s="582"/>
      <c r="P96" s="581"/>
      <c r="Q96" s="581"/>
      <c r="R96" s="581"/>
      <c r="S96" s="583"/>
      <c r="T96" s="534"/>
      <c r="U96" s="592">
        <v>53</v>
      </c>
      <c r="V96" s="1196"/>
      <c r="W96" s="1197"/>
      <c r="X96" s="1197"/>
      <c r="Y96" s="1197"/>
      <c r="Z96" s="1197"/>
      <c r="AA96" s="1198"/>
      <c r="AB96" s="1214" t="s">
        <v>292</v>
      </c>
      <c r="AC96" s="1215"/>
      <c r="AD96" s="1199" t="s">
        <v>292</v>
      </c>
      <c r="AE96" s="1200"/>
      <c r="AF96" s="1200"/>
      <c r="AG96" s="1201"/>
      <c r="AH96" s="493"/>
      <c r="AI96" s="493"/>
      <c r="AJ96" s="493"/>
      <c r="AK96" s="493"/>
      <c r="AL96" s="493"/>
      <c r="AM96" s="493"/>
      <c r="AN96" s="493"/>
      <c r="AO96" s="493"/>
      <c r="AP96" s="493"/>
      <c r="AQ96" s="493"/>
      <c r="AR96" s="493"/>
      <c r="AS96" s="493"/>
    </row>
    <row r="97" spans="1:45" ht="18" customHeight="1" thickBot="1" x14ac:dyDescent="0.2">
      <c r="A97" s="493"/>
      <c r="B97" s="493"/>
      <c r="C97" s="584"/>
      <c r="D97" s="534"/>
      <c r="E97" s="534"/>
      <c r="F97" s="534"/>
      <c r="G97" s="534"/>
      <c r="H97" s="534"/>
      <c r="I97" s="493"/>
      <c r="J97" s="493"/>
      <c r="K97" s="493"/>
      <c r="L97" s="493"/>
      <c r="M97" s="493"/>
      <c r="N97" s="493"/>
      <c r="O97" s="534"/>
      <c r="P97" s="493"/>
      <c r="Q97" s="493"/>
      <c r="R97" s="493"/>
      <c r="S97" s="493"/>
      <c r="T97" s="493"/>
      <c r="U97" s="592">
        <v>54</v>
      </c>
      <c r="V97" s="1196"/>
      <c r="W97" s="1197"/>
      <c r="X97" s="1197"/>
      <c r="Y97" s="1197"/>
      <c r="Z97" s="1197"/>
      <c r="AA97" s="1198"/>
      <c r="AB97" s="1214" t="s">
        <v>292</v>
      </c>
      <c r="AC97" s="1215"/>
      <c r="AD97" s="1199" t="s">
        <v>292</v>
      </c>
      <c r="AE97" s="1200"/>
      <c r="AF97" s="1200"/>
      <c r="AG97" s="1201"/>
      <c r="AH97" s="493"/>
      <c r="AI97" s="493"/>
      <c r="AJ97" s="493"/>
      <c r="AK97" s="493"/>
      <c r="AL97" s="493"/>
      <c r="AM97" s="493"/>
      <c r="AN97" s="493"/>
      <c r="AO97" s="493"/>
      <c r="AP97" s="493"/>
      <c r="AQ97" s="493"/>
      <c r="AR97" s="493"/>
      <c r="AS97" s="493"/>
    </row>
    <row r="98" spans="1:45" ht="18" customHeight="1" x14ac:dyDescent="0.15">
      <c r="A98" s="493"/>
      <c r="B98" s="493"/>
      <c r="C98" s="1181" t="s">
        <v>1051</v>
      </c>
      <c r="D98" s="539" t="s">
        <v>1052</v>
      </c>
      <c r="E98" s="562"/>
      <c r="F98" s="562"/>
      <c r="G98" s="562"/>
      <c r="H98" s="562"/>
      <c r="I98" s="586"/>
      <c r="J98" s="586"/>
      <c r="K98" s="586"/>
      <c r="L98" s="586"/>
      <c r="M98" s="586"/>
      <c r="N98" s="586"/>
      <c r="O98" s="562"/>
      <c r="P98" s="586"/>
      <c r="Q98" s="586"/>
      <c r="R98" s="586"/>
      <c r="S98" s="587"/>
      <c r="T98" s="493"/>
      <c r="U98" s="591">
        <v>55</v>
      </c>
      <c r="V98" s="1196"/>
      <c r="W98" s="1197"/>
      <c r="X98" s="1197"/>
      <c r="Y98" s="1197"/>
      <c r="Z98" s="1197"/>
      <c r="AA98" s="1198"/>
      <c r="AB98" s="1214" t="s">
        <v>292</v>
      </c>
      <c r="AC98" s="1215"/>
      <c r="AD98" s="1199" t="s">
        <v>292</v>
      </c>
      <c r="AE98" s="1200"/>
      <c r="AF98" s="1200"/>
      <c r="AG98" s="1201"/>
      <c r="AH98" s="493"/>
      <c r="AI98" s="493"/>
      <c r="AJ98" s="493"/>
      <c r="AK98" s="493"/>
      <c r="AL98" s="493"/>
      <c r="AM98" s="493"/>
      <c r="AN98" s="493"/>
      <c r="AO98" s="493"/>
      <c r="AP98" s="493"/>
      <c r="AQ98" s="493"/>
      <c r="AR98" s="493"/>
      <c r="AS98" s="493"/>
    </row>
    <row r="99" spans="1:45" ht="18" customHeight="1" x14ac:dyDescent="0.15">
      <c r="A99" s="493"/>
      <c r="B99" s="493"/>
      <c r="C99" s="1182"/>
      <c r="D99" s="551"/>
      <c r="E99" s="568"/>
      <c r="F99" s="568"/>
      <c r="G99" s="568"/>
      <c r="H99" s="568"/>
      <c r="I99" s="571"/>
      <c r="J99" s="571"/>
      <c r="K99" s="571"/>
      <c r="L99" s="571"/>
      <c r="M99" s="571"/>
      <c r="N99" s="571"/>
      <c r="O99" s="568"/>
      <c r="P99" s="571"/>
      <c r="Q99" s="571"/>
      <c r="R99" s="571"/>
      <c r="S99" s="572"/>
      <c r="T99" s="493"/>
      <c r="U99" s="592">
        <v>56</v>
      </c>
      <c r="V99" s="1196"/>
      <c r="W99" s="1197"/>
      <c r="X99" s="1197"/>
      <c r="Y99" s="1197"/>
      <c r="Z99" s="1197"/>
      <c r="AA99" s="1198"/>
      <c r="AB99" s="1214" t="s">
        <v>292</v>
      </c>
      <c r="AC99" s="1215"/>
      <c r="AD99" s="1199" t="s">
        <v>292</v>
      </c>
      <c r="AE99" s="1200"/>
      <c r="AF99" s="1200"/>
      <c r="AG99" s="1201"/>
      <c r="AH99" s="493"/>
      <c r="AI99" s="493"/>
      <c r="AJ99" s="493"/>
      <c r="AK99" s="493"/>
      <c r="AL99" s="493"/>
      <c r="AM99" s="493"/>
      <c r="AN99" s="493"/>
      <c r="AO99" s="493"/>
      <c r="AP99" s="493"/>
      <c r="AQ99" s="493"/>
      <c r="AR99" s="493"/>
      <c r="AS99" s="493"/>
    </row>
    <row r="100" spans="1:45" ht="18" customHeight="1" x14ac:dyDescent="0.15">
      <c r="A100" s="493"/>
      <c r="B100" s="493"/>
      <c r="C100" s="1179" t="s">
        <v>1053</v>
      </c>
      <c r="D100" s="552" t="s">
        <v>1054</v>
      </c>
      <c r="E100" s="574"/>
      <c r="F100" s="574"/>
      <c r="G100" s="574"/>
      <c r="H100" s="574"/>
      <c r="I100" s="575"/>
      <c r="J100" s="575"/>
      <c r="K100" s="575"/>
      <c r="L100" s="575"/>
      <c r="M100" s="575"/>
      <c r="N100" s="575"/>
      <c r="O100" s="574"/>
      <c r="P100" s="575"/>
      <c r="Q100" s="575"/>
      <c r="R100" s="575"/>
      <c r="S100" s="576"/>
      <c r="T100" s="493"/>
      <c r="U100" s="592">
        <v>57</v>
      </c>
      <c r="V100" s="1196"/>
      <c r="W100" s="1197"/>
      <c r="X100" s="1197"/>
      <c r="Y100" s="1197"/>
      <c r="Z100" s="1197"/>
      <c r="AA100" s="1198"/>
      <c r="AB100" s="1214" t="s">
        <v>292</v>
      </c>
      <c r="AC100" s="1215"/>
      <c r="AD100" s="1199" t="s">
        <v>292</v>
      </c>
      <c r="AE100" s="1200"/>
      <c r="AF100" s="1200"/>
      <c r="AG100" s="1201"/>
      <c r="AH100" s="493"/>
      <c r="AI100" s="493"/>
      <c r="AJ100" s="493"/>
      <c r="AK100" s="493"/>
      <c r="AL100" s="493"/>
      <c r="AM100" s="493"/>
      <c r="AN100" s="493"/>
      <c r="AO100" s="493"/>
      <c r="AP100" s="493"/>
      <c r="AQ100" s="493"/>
      <c r="AR100" s="493"/>
      <c r="AS100" s="493"/>
    </row>
    <row r="101" spans="1:45" ht="18" customHeight="1" x14ac:dyDescent="0.15">
      <c r="A101" s="493"/>
      <c r="B101" s="493"/>
      <c r="C101" s="1182"/>
      <c r="D101" s="543"/>
      <c r="E101" s="566"/>
      <c r="F101" s="566"/>
      <c r="G101" s="566"/>
      <c r="H101" s="566"/>
      <c r="I101" s="578"/>
      <c r="J101" s="578"/>
      <c r="K101" s="578"/>
      <c r="L101" s="578"/>
      <c r="M101" s="578"/>
      <c r="N101" s="578"/>
      <c r="O101" s="566"/>
      <c r="P101" s="578"/>
      <c r="Q101" s="578"/>
      <c r="R101" s="578"/>
      <c r="S101" s="579"/>
      <c r="T101" s="493"/>
      <c r="U101" s="591">
        <v>58</v>
      </c>
      <c r="V101" s="1196"/>
      <c r="W101" s="1197"/>
      <c r="X101" s="1197"/>
      <c r="Y101" s="1197"/>
      <c r="Z101" s="1197"/>
      <c r="AA101" s="1198"/>
      <c r="AB101" s="1214" t="s">
        <v>292</v>
      </c>
      <c r="AC101" s="1215"/>
      <c r="AD101" s="1199" t="s">
        <v>292</v>
      </c>
      <c r="AE101" s="1200"/>
      <c r="AF101" s="1200"/>
      <c r="AG101" s="1201"/>
      <c r="AH101" s="493"/>
      <c r="AI101" s="493"/>
      <c r="AJ101" s="493"/>
      <c r="AK101" s="493"/>
      <c r="AL101" s="493"/>
      <c r="AM101" s="493"/>
      <c r="AN101" s="493"/>
      <c r="AO101" s="493"/>
      <c r="AP101" s="493"/>
      <c r="AQ101" s="493"/>
      <c r="AR101" s="493"/>
      <c r="AS101" s="493"/>
    </row>
    <row r="102" spans="1:45" ht="18" customHeight="1" x14ac:dyDescent="0.15">
      <c r="A102" s="493"/>
      <c r="B102" s="493"/>
      <c r="C102" s="1179" t="s">
        <v>1055</v>
      </c>
      <c r="D102" s="547" t="s">
        <v>1056</v>
      </c>
      <c r="E102" s="568"/>
      <c r="F102" s="568"/>
      <c r="G102" s="568"/>
      <c r="H102" s="568"/>
      <c r="I102" s="571"/>
      <c r="J102" s="571"/>
      <c r="K102" s="571"/>
      <c r="L102" s="571"/>
      <c r="M102" s="571"/>
      <c r="N102" s="571"/>
      <c r="O102" s="568"/>
      <c r="P102" s="571"/>
      <c r="Q102" s="571"/>
      <c r="R102" s="571"/>
      <c r="S102" s="572"/>
      <c r="T102" s="493"/>
      <c r="U102" s="592">
        <v>59</v>
      </c>
      <c r="V102" s="1196"/>
      <c r="W102" s="1197"/>
      <c r="X102" s="1197"/>
      <c r="Y102" s="1197"/>
      <c r="Z102" s="1197"/>
      <c r="AA102" s="1198"/>
      <c r="AB102" s="1214" t="s">
        <v>292</v>
      </c>
      <c r="AC102" s="1215"/>
      <c r="AD102" s="1199" t="s">
        <v>292</v>
      </c>
      <c r="AE102" s="1200"/>
      <c r="AF102" s="1200"/>
      <c r="AG102" s="1201"/>
      <c r="AH102" s="493"/>
      <c r="AI102" s="493"/>
      <c r="AJ102" s="493"/>
      <c r="AK102" s="493"/>
      <c r="AL102" s="493"/>
      <c r="AM102" s="493"/>
      <c r="AN102" s="493"/>
      <c r="AO102" s="493"/>
      <c r="AP102" s="493"/>
      <c r="AQ102" s="493"/>
      <c r="AR102" s="493"/>
      <c r="AS102" s="493"/>
    </row>
    <row r="103" spans="1:45" ht="18" customHeight="1" x14ac:dyDescent="0.15">
      <c r="A103" s="493"/>
      <c r="B103" s="493"/>
      <c r="C103" s="1182"/>
      <c r="D103" s="551"/>
      <c r="E103" s="568"/>
      <c r="F103" s="568"/>
      <c r="G103" s="568"/>
      <c r="H103" s="568"/>
      <c r="I103" s="571"/>
      <c r="J103" s="571"/>
      <c r="K103" s="571"/>
      <c r="L103" s="571"/>
      <c r="M103" s="571"/>
      <c r="N103" s="571"/>
      <c r="O103" s="568"/>
      <c r="P103" s="571"/>
      <c r="Q103" s="571"/>
      <c r="R103" s="571"/>
      <c r="S103" s="572"/>
      <c r="T103" s="493"/>
      <c r="U103" s="592">
        <v>60</v>
      </c>
      <c r="V103" s="1196"/>
      <c r="W103" s="1197"/>
      <c r="X103" s="1197"/>
      <c r="Y103" s="1197"/>
      <c r="Z103" s="1197"/>
      <c r="AA103" s="1198"/>
      <c r="AB103" s="1214" t="s">
        <v>292</v>
      </c>
      <c r="AC103" s="1215"/>
      <c r="AD103" s="1199" t="s">
        <v>292</v>
      </c>
      <c r="AE103" s="1200"/>
      <c r="AF103" s="1200"/>
      <c r="AG103" s="1201"/>
      <c r="AH103" s="493"/>
      <c r="AI103" s="493"/>
      <c r="AJ103" s="493"/>
      <c r="AK103" s="493"/>
      <c r="AL103" s="493"/>
      <c r="AM103" s="493"/>
      <c r="AN103" s="493"/>
      <c r="AO103" s="493"/>
      <c r="AP103" s="493"/>
      <c r="AQ103" s="493"/>
      <c r="AR103" s="493"/>
      <c r="AS103" s="493"/>
    </row>
    <row r="104" spans="1:45" ht="18" customHeight="1" x14ac:dyDescent="0.15">
      <c r="A104" s="493"/>
      <c r="B104" s="493"/>
      <c r="C104" s="1179" t="s">
        <v>1057</v>
      </c>
      <c r="D104" s="552" t="s">
        <v>1058</v>
      </c>
      <c r="E104" s="574"/>
      <c r="F104" s="574"/>
      <c r="G104" s="574"/>
      <c r="H104" s="574"/>
      <c r="I104" s="575"/>
      <c r="J104" s="575"/>
      <c r="K104" s="575"/>
      <c r="L104" s="575"/>
      <c r="M104" s="575"/>
      <c r="N104" s="575"/>
      <c r="O104" s="574"/>
      <c r="P104" s="575"/>
      <c r="Q104" s="575"/>
      <c r="R104" s="575"/>
      <c r="S104" s="576"/>
      <c r="T104" s="493"/>
      <c r="U104" s="591">
        <v>61</v>
      </c>
      <c r="V104" s="1196"/>
      <c r="W104" s="1197"/>
      <c r="X104" s="1197"/>
      <c r="Y104" s="1197"/>
      <c r="Z104" s="1197"/>
      <c r="AA104" s="1198"/>
      <c r="AB104" s="1214" t="s">
        <v>292</v>
      </c>
      <c r="AC104" s="1215"/>
      <c r="AD104" s="1199" t="s">
        <v>292</v>
      </c>
      <c r="AE104" s="1200"/>
      <c r="AF104" s="1200"/>
      <c r="AG104" s="1201"/>
      <c r="AH104" s="493"/>
      <c r="AI104" s="493"/>
      <c r="AJ104" s="493"/>
      <c r="AK104" s="493"/>
      <c r="AL104" s="493"/>
      <c r="AM104" s="493"/>
      <c r="AN104" s="493"/>
      <c r="AO104" s="493"/>
      <c r="AP104" s="493"/>
      <c r="AQ104" s="493"/>
      <c r="AR104" s="493"/>
      <c r="AS104" s="493"/>
    </row>
    <row r="105" spans="1:45" ht="18" customHeight="1" x14ac:dyDescent="0.15">
      <c r="A105" s="493"/>
      <c r="B105" s="493"/>
      <c r="C105" s="1182"/>
      <c r="D105" s="543"/>
      <c r="E105" s="566"/>
      <c r="F105" s="566"/>
      <c r="G105" s="566"/>
      <c r="H105" s="566"/>
      <c r="I105" s="578"/>
      <c r="J105" s="578"/>
      <c r="K105" s="578"/>
      <c r="L105" s="578"/>
      <c r="M105" s="578"/>
      <c r="N105" s="578"/>
      <c r="O105" s="566"/>
      <c r="P105" s="578"/>
      <c r="Q105" s="578"/>
      <c r="R105" s="578"/>
      <c r="S105" s="579"/>
      <c r="T105" s="493"/>
      <c r="U105" s="592">
        <v>62</v>
      </c>
      <c r="V105" s="1196"/>
      <c r="W105" s="1197"/>
      <c r="X105" s="1197"/>
      <c r="Y105" s="1197"/>
      <c r="Z105" s="1197"/>
      <c r="AA105" s="1198"/>
      <c r="AB105" s="1214" t="s">
        <v>292</v>
      </c>
      <c r="AC105" s="1215"/>
      <c r="AD105" s="1199" t="s">
        <v>292</v>
      </c>
      <c r="AE105" s="1200"/>
      <c r="AF105" s="1200"/>
      <c r="AG105" s="1201"/>
      <c r="AH105" s="493"/>
      <c r="AI105" s="493"/>
      <c r="AJ105" s="493"/>
      <c r="AK105" s="493"/>
      <c r="AL105" s="493"/>
      <c r="AM105" s="493"/>
      <c r="AN105" s="493"/>
      <c r="AO105" s="493"/>
      <c r="AP105" s="493"/>
      <c r="AQ105" s="493"/>
      <c r="AR105" s="493"/>
      <c r="AS105" s="493"/>
    </row>
    <row r="106" spans="1:45" ht="18" customHeight="1" x14ac:dyDescent="0.15">
      <c r="A106" s="493"/>
      <c r="B106" s="493"/>
      <c r="C106" s="1179" t="s">
        <v>1059</v>
      </c>
      <c r="D106" s="547" t="s">
        <v>1060</v>
      </c>
      <c r="E106" s="568"/>
      <c r="F106" s="568"/>
      <c r="G106" s="568"/>
      <c r="H106" s="568"/>
      <c r="I106" s="571"/>
      <c r="J106" s="571"/>
      <c r="K106" s="571"/>
      <c r="L106" s="571"/>
      <c r="M106" s="571"/>
      <c r="N106" s="571"/>
      <c r="O106" s="568"/>
      <c r="P106" s="571"/>
      <c r="Q106" s="571"/>
      <c r="R106" s="571"/>
      <c r="S106" s="572"/>
      <c r="T106" s="493"/>
      <c r="U106" s="592">
        <v>63</v>
      </c>
      <c r="V106" s="1196"/>
      <c r="W106" s="1197"/>
      <c r="X106" s="1197"/>
      <c r="Y106" s="1197"/>
      <c r="Z106" s="1197"/>
      <c r="AA106" s="1198"/>
      <c r="AB106" s="1214" t="s">
        <v>292</v>
      </c>
      <c r="AC106" s="1215"/>
      <c r="AD106" s="1199" t="s">
        <v>292</v>
      </c>
      <c r="AE106" s="1200"/>
      <c r="AF106" s="1200"/>
      <c r="AG106" s="1201"/>
      <c r="AH106" s="493"/>
      <c r="AI106" s="493"/>
      <c r="AJ106" s="493"/>
      <c r="AK106" s="493"/>
      <c r="AL106" s="493"/>
      <c r="AM106" s="493"/>
      <c r="AN106" s="493"/>
      <c r="AO106" s="493"/>
      <c r="AP106" s="493"/>
      <c r="AQ106" s="493"/>
      <c r="AR106" s="493"/>
      <c r="AS106" s="493"/>
    </row>
    <row r="107" spans="1:45" ht="18" customHeight="1" thickBot="1" x14ac:dyDescent="0.2">
      <c r="A107" s="493"/>
      <c r="B107" s="493"/>
      <c r="C107" s="1180"/>
      <c r="D107" s="580"/>
      <c r="E107" s="582"/>
      <c r="F107" s="582"/>
      <c r="G107" s="582"/>
      <c r="H107" s="582"/>
      <c r="I107" s="581"/>
      <c r="J107" s="581"/>
      <c r="K107" s="581"/>
      <c r="L107" s="581"/>
      <c r="M107" s="581"/>
      <c r="N107" s="581"/>
      <c r="O107" s="582"/>
      <c r="P107" s="581"/>
      <c r="Q107" s="581"/>
      <c r="R107" s="581"/>
      <c r="S107" s="583"/>
      <c r="T107" s="493"/>
      <c r="U107" s="593">
        <v>64</v>
      </c>
      <c r="V107" s="1216"/>
      <c r="W107" s="1217"/>
      <c r="X107" s="1217"/>
      <c r="Y107" s="1217"/>
      <c r="Z107" s="1217"/>
      <c r="AA107" s="1218"/>
      <c r="AB107" s="1219" t="s">
        <v>292</v>
      </c>
      <c r="AC107" s="1220"/>
      <c r="AD107" s="1221" t="s">
        <v>292</v>
      </c>
      <c r="AE107" s="1222"/>
      <c r="AF107" s="1222"/>
      <c r="AG107" s="1223"/>
      <c r="AH107" s="493"/>
      <c r="AI107" s="493"/>
      <c r="AJ107" s="493"/>
      <c r="AK107" s="493"/>
      <c r="AL107" s="493"/>
      <c r="AM107" s="493"/>
      <c r="AN107" s="493"/>
      <c r="AO107" s="493"/>
      <c r="AP107" s="493"/>
      <c r="AQ107" s="493"/>
      <c r="AR107" s="493"/>
      <c r="AS107" s="493"/>
    </row>
    <row r="108" spans="1:45" x14ac:dyDescent="0.15">
      <c r="A108" s="493"/>
      <c r="B108" s="493"/>
      <c r="C108" s="493"/>
      <c r="D108" s="493"/>
      <c r="E108" s="493"/>
      <c r="F108" s="493"/>
      <c r="G108" s="493"/>
      <c r="H108" s="493"/>
      <c r="I108" s="493"/>
      <c r="J108" s="493"/>
      <c r="K108" s="493"/>
      <c r="L108" s="493"/>
      <c r="M108" s="493"/>
      <c r="N108" s="493"/>
      <c r="O108" s="493"/>
      <c r="P108" s="493"/>
      <c r="Q108" s="493"/>
      <c r="R108" s="493"/>
      <c r="S108" s="493"/>
      <c r="T108" s="493"/>
      <c r="U108" s="493"/>
      <c r="V108" s="493"/>
      <c r="W108" s="493"/>
      <c r="X108" s="493"/>
      <c r="Y108" s="493"/>
      <c r="Z108" s="493"/>
      <c r="AA108" s="493"/>
      <c r="AB108" s="493"/>
      <c r="AC108" s="493"/>
      <c r="AD108" s="493"/>
      <c r="AE108" s="493"/>
      <c r="AF108" s="493"/>
      <c r="AG108" s="493"/>
      <c r="AH108" s="493"/>
      <c r="AI108" s="493"/>
      <c r="AJ108" s="493"/>
      <c r="AK108" s="493"/>
      <c r="AL108" s="493"/>
      <c r="AM108" s="493"/>
      <c r="AN108" s="493"/>
      <c r="AO108" s="493"/>
      <c r="AP108" s="493"/>
      <c r="AQ108" s="493"/>
      <c r="AR108" s="493"/>
      <c r="AS108" s="493"/>
    </row>
    <row r="109" spans="1:45" x14ac:dyDescent="0.15">
      <c r="A109" s="493"/>
      <c r="B109" s="493"/>
      <c r="C109" s="493"/>
      <c r="D109" s="493"/>
      <c r="E109" s="493"/>
      <c r="F109" s="493"/>
      <c r="G109" s="493"/>
      <c r="H109" s="493"/>
      <c r="I109" s="493"/>
      <c r="J109" s="493"/>
      <c r="K109" s="493"/>
      <c r="L109" s="493"/>
      <c r="M109" s="493"/>
      <c r="N109" s="493"/>
      <c r="O109" s="493"/>
      <c r="P109" s="493"/>
      <c r="Q109" s="493"/>
      <c r="R109" s="493"/>
      <c r="S109" s="493"/>
      <c r="T109" s="493"/>
      <c r="U109" s="493"/>
      <c r="V109" s="493"/>
      <c r="W109" s="493"/>
      <c r="X109" s="493"/>
      <c r="Y109" s="493"/>
      <c r="Z109" s="493"/>
      <c r="AA109" s="493"/>
      <c r="AB109" s="493"/>
      <c r="AC109" s="493"/>
      <c r="AD109" s="493"/>
      <c r="AE109" s="493"/>
      <c r="AF109" s="493"/>
      <c r="AG109" s="493"/>
      <c r="AH109" s="493"/>
      <c r="AI109" s="493"/>
      <c r="AJ109" s="493"/>
      <c r="AK109" s="493"/>
      <c r="AL109" s="493"/>
      <c r="AM109" s="493"/>
      <c r="AN109" s="493"/>
      <c r="AO109" s="493"/>
      <c r="AP109" s="493"/>
      <c r="AQ109" s="493"/>
      <c r="AR109" s="493"/>
      <c r="AS109" s="493"/>
    </row>
    <row r="110" spans="1:45" x14ac:dyDescent="0.15">
      <c r="A110" s="493"/>
      <c r="B110" s="493"/>
      <c r="C110" s="493"/>
      <c r="D110" s="493"/>
      <c r="E110" s="493"/>
      <c r="F110" s="493"/>
      <c r="G110" s="493"/>
      <c r="H110" s="493"/>
      <c r="I110" s="493"/>
      <c r="J110" s="493"/>
      <c r="K110" s="493"/>
      <c r="L110" s="493"/>
      <c r="M110" s="493"/>
      <c r="N110" s="493"/>
      <c r="O110" s="493"/>
      <c r="P110" s="493"/>
      <c r="Q110" s="493"/>
      <c r="R110" s="493"/>
      <c r="S110" s="493"/>
      <c r="T110" s="493"/>
      <c r="U110" s="493"/>
      <c r="V110" s="493"/>
      <c r="W110" s="493"/>
      <c r="X110" s="493"/>
      <c r="Y110" s="493"/>
      <c r="Z110" s="493"/>
      <c r="AA110" s="493"/>
      <c r="AB110" s="493"/>
      <c r="AC110" s="493"/>
      <c r="AD110" s="493"/>
      <c r="AE110" s="493"/>
      <c r="AF110" s="493"/>
      <c r="AG110" s="493"/>
      <c r="AH110" s="493"/>
      <c r="AI110" s="493"/>
      <c r="AJ110" s="493"/>
      <c r="AK110" s="493"/>
      <c r="AL110" s="493"/>
      <c r="AM110" s="493"/>
      <c r="AN110" s="493"/>
      <c r="AO110" s="493"/>
      <c r="AP110" s="493"/>
      <c r="AQ110" s="493"/>
      <c r="AR110" s="493"/>
      <c r="AS110" s="493"/>
    </row>
    <row r="111" spans="1:45" x14ac:dyDescent="0.15">
      <c r="A111" s="493"/>
      <c r="B111" s="493"/>
      <c r="C111" s="493"/>
      <c r="D111" s="493"/>
      <c r="E111" s="493"/>
      <c r="F111" s="493"/>
      <c r="G111" s="493"/>
      <c r="H111" s="493"/>
      <c r="I111" s="493"/>
      <c r="J111" s="493"/>
      <c r="K111" s="493"/>
      <c r="L111" s="493"/>
      <c r="M111" s="493"/>
      <c r="N111" s="493"/>
      <c r="O111" s="493"/>
      <c r="P111" s="493"/>
      <c r="Q111" s="493"/>
      <c r="R111" s="493"/>
      <c r="S111" s="493"/>
      <c r="T111" s="493"/>
      <c r="U111" s="493"/>
      <c r="V111" s="493"/>
      <c r="W111" s="493"/>
      <c r="X111" s="493"/>
      <c r="Y111" s="493"/>
      <c r="Z111" s="493"/>
      <c r="AA111" s="493"/>
      <c r="AB111" s="493"/>
      <c r="AC111" s="493"/>
      <c r="AD111" s="493"/>
      <c r="AE111" s="493"/>
      <c r="AF111" s="493"/>
      <c r="AG111" s="493"/>
      <c r="AH111" s="493"/>
      <c r="AI111" s="493"/>
      <c r="AJ111" s="493"/>
      <c r="AK111" s="493"/>
      <c r="AL111" s="493"/>
      <c r="AM111" s="493"/>
      <c r="AN111" s="493"/>
      <c r="AO111" s="493"/>
      <c r="AP111" s="493"/>
      <c r="AQ111" s="493"/>
      <c r="AR111" s="493"/>
      <c r="AS111" s="493"/>
    </row>
    <row r="112" spans="1:45" x14ac:dyDescent="0.15">
      <c r="A112" s="493"/>
      <c r="B112" s="493"/>
      <c r="C112" s="493"/>
      <c r="D112" s="493"/>
      <c r="E112" s="493"/>
      <c r="F112" s="493"/>
      <c r="G112" s="493"/>
      <c r="H112" s="493"/>
      <c r="I112" s="493"/>
      <c r="J112" s="493"/>
      <c r="K112" s="493"/>
      <c r="L112" s="493"/>
      <c r="M112" s="493"/>
      <c r="N112" s="493"/>
      <c r="O112" s="493"/>
      <c r="P112" s="493"/>
      <c r="Q112" s="493"/>
      <c r="R112" s="493"/>
      <c r="S112" s="493"/>
      <c r="T112" s="493"/>
      <c r="U112" s="493"/>
      <c r="V112" s="493"/>
      <c r="W112" s="493"/>
      <c r="X112" s="493"/>
      <c r="Y112" s="493"/>
      <c r="Z112" s="493"/>
      <c r="AA112" s="493"/>
      <c r="AB112" s="493"/>
      <c r="AC112" s="493"/>
      <c r="AD112" s="493"/>
      <c r="AE112" s="493"/>
      <c r="AF112" s="493"/>
      <c r="AG112" s="493"/>
      <c r="AH112" s="493"/>
      <c r="AI112" s="493"/>
      <c r="AJ112" s="493"/>
      <c r="AK112" s="493"/>
      <c r="AL112" s="493"/>
      <c r="AM112" s="493"/>
      <c r="AN112" s="493"/>
      <c r="AO112" s="493"/>
      <c r="AP112" s="493"/>
      <c r="AQ112" s="493"/>
      <c r="AR112" s="493"/>
      <c r="AS112" s="493"/>
    </row>
    <row r="113" spans="1:45" x14ac:dyDescent="0.15">
      <c r="A113" s="493"/>
      <c r="B113" s="493"/>
      <c r="C113" s="493"/>
      <c r="D113" s="493"/>
      <c r="E113" s="493"/>
      <c r="F113" s="493"/>
      <c r="G113" s="493"/>
      <c r="H113" s="493"/>
      <c r="I113" s="493"/>
      <c r="J113" s="493"/>
      <c r="K113" s="493"/>
      <c r="L113" s="493"/>
      <c r="M113" s="493"/>
      <c r="N113" s="493"/>
      <c r="O113" s="493"/>
      <c r="P113" s="493"/>
      <c r="Q113" s="493"/>
      <c r="R113" s="493"/>
      <c r="S113" s="493"/>
      <c r="T113" s="493"/>
      <c r="U113" s="493"/>
      <c r="V113" s="493"/>
      <c r="W113" s="493"/>
      <c r="X113" s="493"/>
      <c r="Y113" s="493"/>
      <c r="Z113" s="493"/>
      <c r="AA113" s="493"/>
      <c r="AB113" s="493"/>
      <c r="AC113" s="493"/>
      <c r="AD113" s="493"/>
      <c r="AE113" s="493"/>
      <c r="AF113" s="493"/>
      <c r="AG113" s="493"/>
      <c r="AH113" s="493"/>
      <c r="AI113" s="493"/>
      <c r="AJ113" s="493"/>
      <c r="AK113" s="493"/>
      <c r="AL113" s="493"/>
      <c r="AM113" s="493"/>
      <c r="AN113" s="493"/>
      <c r="AO113" s="493"/>
      <c r="AP113" s="493"/>
      <c r="AQ113" s="493"/>
      <c r="AR113" s="493"/>
      <c r="AS113" s="493"/>
    </row>
    <row r="114" spans="1:45" x14ac:dyDescent="0.15">
      <c r="A114" s="493"/>
      <c r="B114" s="493"/>
      <c r="C114" s="493"/>
      <c r="D114" s="493"/>
      <c r="E114" s="493"/>
      <c r="F114" s="493"/>
      <c r="G114" s="493"/>
      <c r="H114" s="493"/>
      <c r="I114" s="493"/>
      <c r="J114" s="493"/>
      <c r="K114" s="493"/>
      <c r="L114" s="493"/>
      <c r="M114" s="493"/>
      <c r="N114" s="493"/>
      <c r="O114" s="493"/>
      <c r="P114" s="493"/>
      <c r="Q114" s="493"/>
      <c r="R114" s="493"/>
      <c r="S114" s="493"/>
      <c r="T114" s="493"/>
      <c r="U114" s="493"/>
      <c r="V114" s="493"/>
      <c r="W114" s="493"/>
      <c r="X114" s="493"/>
      <c r="Y114" s="493"/>
      <c r="Z114" s="493"/>
      <c r="AA114" s="493"/>
      <c r="AB114" s="493"/>
      <c r="AC114" s="493"/>
      <c r="AD114" s="493"/>
      <c r="AE114" s="493"/>
      <c r="AF114" s="493"/>
      <c r="AG114" s="493"/>
      <c r="AH114" s="493"/>
      <c r="AI114" s="493"/>
      <c r="AJ114" s="493"/>
      <c r="AK114" s="493"/>
      <c r="AL114" s="493"/>
      <c r="AM114" s="493"/>
      <c r="AN114" s="493"/>
      <c r="AO114" s="493"/>
      <c r="AP114" s="493"/>
      <c r="AQ114" s="493"/>
      <c r="AR114" s="493"/>
      <c r="AS114" s="493"/>
    </row>
    <row r="115" spans="1:45" x14ac:dyDescent="0.15">
      <c r="A115" s="493"/>
      <c r="B115" s="493"/>
      <c r="C115" s="493"/>
      <c r="D115" s="493"/>
      <c r="E115" s="493"/>
      <c r="F115" s="493"/>
      <c r="G115" s="493"/>
      <c r="H115" s="493"/>
      <c r="I115" s="493"/>
      <c r="J115" s="493"/>
      <c r="K115" s="493"/>
      <c r="L115" s="493"/>
      <c r="M115" s="493"/>
      <c r="N115" s="493"/>
      <c r="O115" s="493"/>
      <c r="P115" s="493"/>
      <c r="Q115" s="493"/>
      <c r="R115" s="493"/>
      <c r="S115" s="493"/>
      <c r="T115" s="493"/>
      <c r="U115" s="493"/>
      <c r="V115" s="493"/>
      <c r="W115" s="493"/>
      <c r="X115" s="493"/>
      <c r="Y115" s="493"/>
      <c r="Z115" s="493"/>
      <c r="AA115" s="493"/>
      <c r="AB115" s="493"/>
      <c r="AC115" s="493"/>
      <c r="AD115" s="493"/>
      <c r="AE115" s="493"/>
      <c r="AF115" s="493"/>
      <c r="AG115" s="493"/>
      <c r="AH115" s="493"/>
      <c r="AI115" s="493"/>
      <c r="AJ115" s="493"/>
      <c r="AK115" s="493"/>
      <c r="AL115" s="493"/>
      <c r="AM115" s="493"/>
      <c r="AN115" s="493"/>
      <c r="AO115" s="493"/>
      <c r="AP115" s="493"/>
      <c r="AQ115" s="493"/>
      <c r="AR115" s="493"/>
      <c r="AS115" s="493"/>
    </row>
  </sheetData>
  <mergeCells count="303">
    <mergeCell ref="V106:AA106"/>
    <mergeCell ref="AB106:AC106"/>
    <mergeCell ref="AD106:AG106"/>
    <mergeCell ref="V107:AA107"/>
    <mergeCell ref="AB107:AC107"/>
    <mergeCell ref="AD107:AG107"/>
    <mergeCell ref="V102:AA102"/>
    <mergeCell ref="AB102:AC102"/>
    <mergeCell ref="AD102:AG102"/>
    <mergeCell ref="V103:AA103"/>
    <mergeCell ref="AB103:AC103"/>
    <mergeCell ref="AD103:AG103"/>
    <mergeCell ref="V104:AA104"/>
    <mergeCell ref="AB104:AC104"/>
    <mergeCell ref="AD104:AG104"/>
    <mergeCell ref="V105:AA105"/>
    <mergeCell ref="AB105:AC105"/>
    <mergeCell ref="AD105:AG105"/>
    <mergeCell ref="V100:AA100"/>
    <mergeCell ref="AB100:AC100"/>
    <mergeCell ref="AD100:AG100"/>
    <mergeCell ref="V101:AA101"/>
    <mergeCell ref="AB101:AC101"/>
    <mergeCell ref="AD101:AG101"/>
    <mergeCell ref="V97:AA97"/>
    <mergeCell ref="AB97:AC97"/>
    <mergeCell ref="AD97:AG97"/>
    <mergeCell ref="V98:AA98"/>
    <mergeCell ref="AB98:AC98"/>
    <mergeCell ref="AD98:AG98"/>
    <mergeCell ref="V99:AA99"/>
    <mergeCell ref="AB99:AC99"/>
    <mergeCell ref="AD99:AG99"/>
    <mergeCell ref="V94:AA94"/>
    <mergeCell ref="AB94:AC94"/>
    <mergeCell ref="AD94:AG94"/>
    <mergeCell ref="V95:AA95"/>
    <mergeCell ref="AB95:AC95"/>
    <mergeCell ref="AD95:AG95"/>
    <mergeCell ref="V96:AA96"/>
    <mergeCell ref="AB96:AC96"/>
    <mergeCell ref="AD96:AG96"/>
    <mergeCell ref="V91:AA91"/>
    <mergeCell ref="AB91:AC91"/>
    <mergeCell ref="AD91:AG91"/>
    <mergeCell ref="V92:AA92"/>
    <mergeCell ref="AB92:AC92"/>
    <mergeCell ref="AD92:AG92"/>
    <mergeCell ref="V93:AA93"/>
    <mergeCell ref="AB93:AC93"/>
    <mergeCell ref="AD93:AG93"/>
    <mergeCell ref="V88:AA88"/>
    <mergeCell ref="AB88:AC88"/>
    <mergeCell ref="AD88:AG88"/>
    <mergeCell ref="V89:AA89"/>
    <mergeCell ref="AB89:AC89"/>
    <mergeCell ref="AD89:AG89"/>
    <mergeCell ref="V90:AA90"/>
    <mergeCell ref="AB90:AC90"/>
    <mergeCell ref="AD90:AG90"/>
    <mergeCell ref="V85:AA85"/>
    <mergeCell ref="AB85:AC85"/>
    <mergeCell ref="AD85:AG85"/>
    <mergeCell ref="V86:AA86"/>
    <mergeCell ref="AB86:AC86"/>
    <mergeCell ref="AD86:AG86"/>
    <mergeCell ref="V87:AA87"/>
    <mergeCell ref="AB87:AC87"/>
    <mergeCell ref="AD87:AG87"/>
    <mergeCell ref="V82:AA82"/>
    <mergeCell ref="AB82:AC82"/>
    <mergeCell ref="AD82:AG82"/>
    <mergeCell ref="V83:AA83"/>
    <mergeCell ref="AB83:AC83"/>
    <mergeCell ref="AD83:AG83"/>
    <mergeCell ref="V84:AA84"/>
    <mergeCell ref="AB84:AC84"/>
    <mergeCell ref="AD84:AG84"/>
    <mergeCell ref="V79:AA79"/>
    <mergeCell ref="AB79:AC79"/>
    <mergeCell ref="AD79:AG79"/>
    <mergeCell ref="V80:AA80"/>
    <mergeCell ref="AB80:AC80"/>
    <mergeCell ref="AD80:AG80"/>
    <mergeCell ref="V81:AA81"/>
    <mergeCell ref="AB81:AC81"/>
    <mergeCell ref="AD81:AG81"/>
    <mergeCell ref="V76:AA76"/>
    <mergeCell ref="AB76:AC76"/>
    <mergeCell ref="AD76:AG76"/>
    <mergeCell ref="V77:AA77"/>
    <mergeCell ref="AB77:AC77"/>
    <mergeCell ref="AD77:AG77"/>
    <mergeCell ref="V78:AA78"/>
    <mergeCell ref="AB78:AC78"/>
    <mergeCell ref="AD78:AG78"/>
    <mergeCell ref="V73:AA73"/>
    <mergeCell ref="AB73:AC73"/>
    <mergeCell ref="AD73:AG73"/>
    <mergeCell ref="V74:AA74"/>
    <mergeCell ref="AB74:AC74"/>
    <mergeCell ref="AD74:AG74"/>
    <mergeCell ref="V75:AA75"/>
    <mergeCell ref="AB75:AC75"/>
    <mergeCell ref="AD75:AG75"/>
    <mergeCell ref="V70:AA70"/>
    <mergeCell ref="AB70:AC70"/>
    <mergeCell ref="AD70:AG70"/>
    <mergeCell ref="V71:AA71"/>
    <mergeCell ref="AB71:AC71"/>
    <mergeCell ref="AD71:AG71"/>
    <mergeCell ref="V72:AA72"/>
    <mergeCell ref="AB72:AC72"/>
    <mergeCell ref="AD72:AG72"/>
    <mergeCell ref="V67:AA67"/>
    <mergeCell ref="AB67:AC67"/>
    <mergeCell ref="AD67:AG67"/>
    <mergeCell ref="V68:AA68"/>
    <mergeCell ref="AB68:AC68"/>
    <mergeCell ref="AD68:AG68"/>
    <mergeCell ref="V69:AA69"/>
    <mergeCell ref="AB69:AC69"/>
    <mergeCell ref="AD69:AG69"/>
    <mergeCell ref="V64:AA64"/>
    <mergeCell ref="AB64:AC64"/>
    <mergeCell ref="AD64:AG64"/>
    <mergeCell ref="V65:AA65"/>
    <mergeCell ref="AB65:AC65"/>
    <mergeCell ref="AD65:AG65"/>
    <mergeCell ref="V66:AA66"/>
    <mergeCell ref="AB66:AC66"/>
    <mergeCell ref="AD66:AG66"/>
    <mergeCell ref="V61:AA61"/>
    <mergeCell ref="AB61:AC61"/>
    <mergeCell ref="AD61:AG61"/>
    <mergeCell ref="V62:AA62"/>
    <mergeCell ref="AB62:AC62"/>
    <mergeCell ref="AD62:AG62"/>
    <mergeCell ref="V63:AA63"/>
    <mergeCell ref="AB63:AC63"/>
    <mergeCell ref="AD63:AG63"/>
    <mergeCell ref="V58:AA58"/>
    <mergeCell ref="AB58:AC58"/>
    <mergeCell ref="AD58:AG58"/>
    <mergeCell ref="V59:AA59"/>
    <mergeCell ref="AB59:AC59"/>
    <mergeCell ref="AD59:AG59"/>
    <mergeCell ref="V60:AA60"/>
    <mergeCell ref="AB60:AC60"/>
    <mergeCell ref="AD60:AG60"/>
    <mergeCell ref="V55:AA55"/>
    <mergeCell ref="AB55:AC55"/>
    <mergeCell ref="AD55:AG55"/>
    <mergeCell ref="V56:AA56"/>
    <mergeCell ref="AB56:AC56"/>
    <mergeCell ref="AD56:AG56"/>
    <mergeCell ref="V57:AA57"/>
    <mergeCell ref="AB57:AC57"/>
    <mergeCell ref="AD57:AG57"/>
    <mergeCell ref="V52:AA52"/>
    <mergeCell ref="AB52:AC52"/>
    <mergeCell ref="AD52:AG52"/>
    <mergeCell ref="V53:AA53"/>
    <mergeCell ref="AB53:AC53"/>
    <mergeCell ref="AD53:AG53"/>
    <mergeCell ref="V54:AA54"/>
    <mergeCell ref="AB54:AC54"/>
    <mergeCell ref="AD54:AG54"/>
    <mergeCell ref="V49:AA49"/>
    <mergeCell ref="AB49:AC49"/>
    <mergeCell ref="AD49:AG49"/>
    <mergeCell ref="V50:AA50"/>
    <mergeCell ref="AB50:AC50"/>
    <mergeCell ref="AD50:AG50"/>
    <mergeCell ref="V51:AA51"/>
    <mergeCell ref="AB51:AC51"/>
    <mergeCell ref="AD51:AG51"/>
    <mergeCell ref="V46:AA46"/>
    <mergeCell ref="AB46:AC46"/>
    <mergeCell ref="AD46:AG46"/>
    <mergeCell ref="V47:AA47"/>
    <mergeCell ref="AB47:AC47"/>
    <mergeCell ref="AD47:AG47"/>
    <mergeCell ref="V48:AA48"/>
    <mergeCell ref="AB48:AC48"/>
    <mergeCell ref="AD48:AG48"/>
    <mergeCell ref="C73:C74"/>
    <mergeCell ref="C76:C77"/>
    <mergeCell ref="C78:C79"/>
    <mergeCell ref="C80:C81"/>
    <mergeCell ref="V43:AA43"/>
    <mergeCell ref="AB43:AC43"/>
    <mergeCell ref="AD43:AG43"/>
    <mergeCell ref="V44:AA44"/>
    <mergeCell ref="AB44:AC44"/>
    <mergeCell ref="AD44:AG44"/>
    <mergeCell ref="V45:AA45"/>
    <mergeCell ref="AB45:AC45"/>
    <mergeCell ref="AD45:AG45"/>
    <mergeCell ref="C42:S52"/>
    <mergeCell ref="U42:AG42"/>
    <mergeCell ref="C54:C55"/>
    <mergeCell ref="C56:C57"/>
    <mergeCell ref="C58:C59"/>
    <mergeCell ref="C60:C61"/>
    <mergeCell ref="C62:C63"/>
    <mergeCell ref="C65:C66"/>
    <mergeCell ref="C67:C68"/>
    <mergeCell ref="C69:C70"/>
    <mergeCell ref="C71:C72"/>
    <mergeCell ref="C95:C96"/>
    <mergeCell ref="C98:C99"/>
    <mergeCell ref="C100:C101"/>
    <mergeCell ref="C102:C103"/>
    <mergeCell ref="C104:C105"/>
    <mergeCell ref="C106:C107"/>
    <mergeCell ref="C82:C83"/>
    <mergeCell ref="C84:C85"/>
    <mergeCell ref="C87:C88"/>
    <mergeCell ref="C89:C90"/>
    <mergeCell ref="C91:C92"/>
    <mergeCell ref="C93:C94"/>
    <mergeCell ref="D37:G37"/>
    <mergeCell ref="J37:Q37"/>
    <mergeCell ref="T37:X37"/>
    <mergeCell ref="AA37:AE37"/>
    <mergeCell ref="D38:G38"/>
    <mergeCell ref="J38:Q38"/>
    <mergeCell ref="T38:X38"/>
    <mergeCell ref="AA38:AE38"/>
    <mergeCell ref="D35:G35"/>
    <mergeCell ref="J35:Q35"/>
    <mergeCell ref="T35:X35"/>
    <mergeCell ref="Z35:Z36"/>
    <mergeCell ref="AA35:AE36"/>
    <mergeCell ref="D36:G36"/>
    <mergeCell ref="J36:Q36"/>
    <mergeCell ref="T36:X36"/>
    <mergeCell ref="D33:G33"/>
    <mergeCell ref="J33:Q33"/>
    <mergeCell ref="T33:X33"/>
    <mergeCell ref="AA33:AE33"/>
    <mergeCell ref="D34:G34"/>
    <mergeCell ref="J34:Q34"/>
    <mergeCell ref="T34:X34"/>
    <mergeCell ref="AA34:AE34"/>
    <mergeCell ref="D30:G30"/>
    <mergeCell ref="J30:Q30"/>
    <mergeCell ref="S30:S31"/>
    <mergeCell ref="T30:X31"/>
    <mergeCell ref="AA30:AE30"/>
    <mergeCell ref="D31:G31"/>
    <mergeCell ref="J31:Q31"/>
    <mergeCell ref="AA31:AE31"/>
    <mergeCell ref="D28:G28"/>
    <mergeCell ref="J28:Q28"/>
    <mergeCell ref="T28:X28"/>
    <mergeCell ref="AA28:AE28"/>
    <mergeCell ref="D29:G29"/>
    <mergeCell ref="J29:Q29"/>
    <mergeCell ref="T29:X29"/>
    <mergeCell ref="AA29:AE29"/>
    <mergeCell ref="D26:G26"/>
    <mergeCell ref="J26:Q26"/>
    <mergeCell ref="T26:X26"/>
    <mergeCell ref="AA26:AE26"/>
    <mergeCell ref="D27:G27"/>
    <mergeCell ref="J27:Q27"/>
    <mergeCell ref="T27:X27"/>
    <mergeCell ref="AA27:AE27"/>
    <mergeCell ref="AA19:AE19"/>
    <mergeCell ref="Z20:Z21"/>
    <mergeCell ref="AA20:AE21"/>
    <mergeCell ref="AA22:AE22"/>
    <mergeCell ref="AA23:AE23"/>
    <mergeCell ref="AA24:AE24"/>
    <mergeCell ref="D19:G24"/>
    <mergeCell ref="I19:I24"/>
    <mergeCell ref="J19:X24"/>
    <mergeCell ref="AA12:AE17"/>
    <mergeCell ref="AG12:AG30"/>
    <mergeCell ref="C13:D13"/>
    <mergeCell ref="E13:F13"/>
    <mergeCell ref="S13:S16"/>
    <mergeCell ref="T13:X16"/>
    <mergeCell ref="C14:D14"/>
    <mergeCell ref="B2:O9"/>
    <mergeCell ref="P2:S3"/>
    <mergeCell ref="T2:AG3"/>
    <mergeCell ref="P4:S5"/>
    <mergeCell ref="T4:AG5"/>
    <mergeCell ref="P6:S9"/>
    <mergeCell ref="T6:AG9"/>
    <mergeCell ref="E14:F14"/>
    <mergeCell ref="C15:D15"/>
    <mergeCell ref="C16:D16"/>
    <mergeCell ref="D17:G17"/>
    <mergeCell ref="J17:Q17"/>
    <mergeCell ref="T17:X17"/>
    <mergeCell ref="D12:G12"/>
    <mergeCell ref="T12:X12"/>
    <mergeCell ref="Z12:Z17"/>
    <mergeCell ref="C19:C24"/>
  </mergeCells>
  <phoneticPr fontId="50"/>
  <dataValidations count="1">
    <dataValidation type="list" operator="equal" sqref="AD44:AD107" xr:uid="{631E0F0D-F5BD-424B-A03D-CA0D3422C8BE}">
      <formula1>"-,賞なし,探索賞,RP賞,バトル賞,エンタメ賞,MVP"</formula1>
    </dataValidation>
  </dataValidations>
  <pageMargins left="0.7" right="0.7" top="0.75" bottom="0.75" header="0.3" footer="0.3"/>
  <pageSetup paperSize="9" scale="64" orientation="landscape" horizontalDpi="4294967293" verticalDpi="0" r:id="rId1"/>
  <drawing r:id="rId2"/>
  <extLst>
    <ext xmlns:x14="http://schemas.microsoft.com/office/spreadsheetml/2009/9/main" uri="{CCE6A557-97BC-4b89-ADB6-D9C93CAAB3DF}">
      <x14:dataValidations xmlns:xm="http://schemas.microsoft.com/office/excel/2006/main" count="1">
        <x14:dataValidation type="list" allowBlank="1" showInputMessage="1" showErrorMessage="1" xr:uid="{58F8BBBD-03E2-49BD-AC25-0F0ACD757F8D}">
          <x14:formula1>
            <xm:f>リスト!$AR$2:$AR$58</xm:f>
          </x14:formula1>
          <xm:sqref>AB44:AC107</xm:sqref>
        </x14:dataValidation>
      </x14:dataValidations>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68A21E-B727-42D6-903E-C997AC47946C}">
  <sheetPr codeName="Sheet14"/>
  <dimension ref="A1:U60"/>
  <sheetViews>
    <sheetView workbookViewId="0">
      <selection activeCell="Q6" sqref="Q6:R8"/>
    </sheetView>
  </sheetViews>
  <sheetFormatPr defaultRowHeight="12" x14ac:dyDescent="0.15"/>
  <sheetData>
    <row r="1" spans="1:21" x14ac:dyDescent="0.15">
      <c r="A1" s="422"/>
      <c r="B1" s="422"/>
      <c r="C1" s="422"/>
      <c r="D1" s="422"/>
      <c r="E1" s="422"/>
      <c r="F1" s="422"/>
      <c r="G1" s="422"/>
      <c r="H1" s="422"/>
      <c r="I1" s="422"/>
      <c r="J1" s="422"/>
      <c r="K1" s="422"/>
      <c r="L1" s="422"/>
      <c r="M1" s="422"/>
      <c r="N1" s="422"/>
      <c r="O1" s="422"/>
      <c r="P1" s="422"/>
      <c r="Q1" s="422"/>
      <c r="R1" s="422"/>
      <c r="S1" s="422"/>
      <c r="T1" s="422"/>
      <c r="U1" s="422"/>
    </row>
    <row r="2" spans="1:21" ht="12.75" thickBot="1" x14ac:dyDescent="0.2">
      <c r="A2" s="422"/>
      <c r="B2" s="422"/>
      <c r="C2" s="422"/>
      <c r="D2" s="422"/>
      <c r="E2" s="422"/>
      <c r="F2" s="422"/>
      <c r="G2" s="422"/>
      <c r="H2" s="422"/>
      <c r="I2" s="422"/>
      <c r="J2" s="422"/>
      <c r="K2" s="422"/>
      <c r="L2" s="422"/>
      <c r="M2" s="422"/>
      <c r="N2" s="422"/>
      <c r="O2" s="422"/>
      <c r="P2" s="422"/>
      <c r="Q2" s="422"/>
      <c r="R2" s="422"/>
      <c r="S2" s="422"/>
      <c r="T2" s="422"/>
      <c r="U2" s="422"/>
    </row>
    <row r="3" spans="1:21" ht="15" thickBot="1" x14ac:dyDescent="0.2">
      <c r="A3" s="422"/>
      <c r="B3" s="1225" t="s">
        <v>690</v>
      </c>
      <c r="C3" s="1225"/>
      <c r="D3" s="422"/>
      <c r="E3" s="422"/>
      <c r="F3" s="422"/>
      <c r="G3" s="422"/>
      <c r="H3" s="422"/>
      <c r="I3" s="422"/>
      <c r="J3" s="422"/>
      <c r="K3" s="422"/>
      <c r="L3" s="422"/>
      <c r="M3" s="422"/>
      <c r="N3" s="422"/>
      <c r="O3" s="422"/>
      <c r="P3" s="422"/>
      <c r="Q3" s="422"/>
      <c r="R3" s="422"/>
      <c r="S3" s="422"/>
      <c r="T3" s="422"/>
      <c r="U3" s="422"/>
    </row>
    <row r="4" spans="1:21" ht="12.75" thickBot="1" x14ac:dyDescent="0.2">
      <c r="A4" s="422"/>
      <c r="B4" s="422"/>
      <c r="C4" s="422"/>
      <c r="D4" s="422"/>
      <c r="E4" s="422"/>
      <c r="F4" s="422"/>
      <c r="G4" s="422"/>
      <c r="H4" s="422"/>
      <c r="I4" s="422"/>
      <c r="J4" s="422"/>
      <c r="K4" s="422"/>
      <c r="L4" s="422"/>
      <c r="M4" s="422"/>
      <c r="N4" s="422"/>
      <c r="O4" s="422"/>
      <c r="P4" s="422"/>
      <c r="Q4" s="422"/>
      <c r="R4" s="422"/>
      <c r="S4" s="422"/>
      <c r="T4" s="422"/>
      <c r="U4" s="422"/>
    </row>
    <row r="5" spans="1:21" ht="14.25" x14ac:dyDescent="0.15">
      <c r="A5" s="422"/>
      <c r="B5" s="806" t="s">
        <v>694</v>
      </c>
      <c r="C5" s="806"/>
      <c r="D5" s="806"/>
      <c r="E5" s="806"/>
      <c r="F5" s="806"/>
      <c r="G5" s="1226" t="s">
        <v>695</v>
      </c>
      <c r="H5" s="1226"/>
      <c r="I5" s="438" t="s">
        <v>696</v>
      </c>
      <c r="J5" s="439" t="s">
        <v>697</v>
      </c>
      <c r="K5" s="422"/>
      <c r="L5" s="806" t="s">
        <v>694</v>
      </c>
      <c r="M5" s="806"/>
      <c r="N5" s="806"/>
      <c r="O5" s="806"/>
      <c r="P5" s="806"/>
      <c r="Q5" s="1226" t="s">
        <v>695</v>
      </c>
      <c r="R5" s="1226"/>
      <c r="S5" s="438" t="s">
        <v>696</v>
      </c>
      <c r="T5" s="439" t="s">
        <v>697</v>
      </c>
      <c r="U5" s="422"/>
    </row>
    <row r="6" spans="1:21" x14ac:dyDescent="0.15">
      <c r="A6" s="422"/>
      <c r="B6" s="831"/>
      <c r="C6" s="831"/>
      <c r="D6" s="831"/>
      <c r="E6" s="831"/>
      <c r="F6" s="831"/>
      <c r="G6" s="829" t="s">
        <v>18</v>
      </c>
      <c r="H6" s="829"/>
      <c r="I6" s="829" t="s">
        <v>340</v>
      </c>
      <c r="J6" s="1224" t="s">
        <v>292</v>
      </c>
      <c r="K6" s="422"/>
      <c r="L6" s="831"/>
      <c r="M6" s="831"/>
      <c r="N6" s="831"/>
      <c r="O6" s="831"/>
      <c r="P6" s="831"/>
      <c r="Q6" s="829" t="s">
        <v>18</v>
      </c>
      <c r="R6" s="829"/>
      <c r="S6" s="829" t="s">
        <v>340</v>
      </c>
      <c r="T6" s="1224" t="s">
        <v>292</v>
      </c>
      <c r="U6" s="422"/>
    </row>
    <row r="7" spans="1:21" x14ac:dyDescent="0.15">
      <c r="A7" s="422"/>
      <c r="B7" s="831"/>
      <c r="C7" s="831"/>
      <c r="D7" s="831"/>
      <c r="E7" s="831"/>
      <c r="F7" s="831"/>
      <c r="G7" s="829"/>
      <c r="H7" s="829"/>
      <c r="I7" s="829"/>
      <c r="J7" s="1224"/>
      <c r="K7" s="422"/>
      <c r="L7" s="831"/>
      <c r="M7" s="831"/>
      <c r="N7" s="831"/>
      <c r="O7" s="831"/>
      <c r="P7" s="831"/>
      <c r="Q7" s="829"/>
      <c r="R7" s="829"/>
      <c r="S7" s="829"/>
      <c r="T7" s="1224"/>
      <c r="U7" s="422"/>
    </row>
    <row r="8" spans="1:21" x14ac:dyDescent="0.15">
      <c r="A8" s="422"/>
      <c r="B8" s="831"/>
      <c r="C8" s="831"/>
      <c r="D8" s="831"/>
      <c r="E8" s="831"/>
      <c r="F8" s="831"/>
      <c r="G8" s="829"/>
      <c r="H8" s="829"/>
      <c r="I8" s="829"/>
      <c r="J8" s="1224"/>
      <c r="K8" s="422"/>
      <c r="L8" s="831"/>
      <c r="M8" s="831"/>
      <c r="N8" s="831"/>
      <c r="O8" s="831"/>
      <c r="P8" s="831"/>
      <c r="Q8" s="829"/>
      <c r="R8" s="829"/>
      <c r="S8" s="829"/>
      <c r="T8" s="1224"/>
      <c r="U8" s="422"/>
    </row>
    <row r="9" spans="1:21" x14ac:dyDescent="0.15">
      <c r="A9" s="422"/>
      <c r="B9" s="813" t="s">
        <v>698</v>
      </c>
      <c r="C9" s="813"/>
      <c r="D9" s="813"/>
      <c r="E9" s="813"/>
      <c r="F9" s="813"/>
      <c r="G9" s="813"/>
      <c r="H9" s="813"/>
      <c r="I9" s="813"/>
      <c r="J9" s="813"/>
      <c r="K9" s="422"/>
      <c r="L9" s="813" t="s">
        <v>698</v>
      </c>
      <c r="M9" s="813"/>
      <c r="N9" s="813"/>
      <c r="O9" s="813"/>
      <c r="P9" s="813"/>
      <c r="Q9" s="813"/>
      <c r="R9" s="813"/>
      <c r="S9" s="813"/>
      <c r="T9" s="813"/>
      <c r="U9" s="422"/>
    </row>
    <row r="10" spans="1:21" ht="12.75" thickBot="1" x14ac:dyDescent="0.2">
      <c r="A10" s="422"/>
      <c r="B10" s="1227"/>
      <c r="C10" s="1227"/>
      <c r="D10" s="1227"/>
      <c r="E10" s="1227"/>
      <c r="F10" s="1227"/>
      <c r="G10" s="1227"/>
      <c r="H10" s="1227"/>
      <c r="I10" s="1227"/>
      <c r="J10" s="1227"/>
      <c r="K10" s="422"/>
      <c r="L10" s="1227"/>
      <c r="M10" s="1227"/>
      <c r="N10" s="1227"/>
      <c r="O10" s="1227"/>
      <c r="P10" s="1227"/>
      <c r="Q10" s="1227"/>
      <c r="R10" s="1227"/>
      <c r="S10" s="1227"/>
      <c r="T10" s="1227"/>
      <c r="U10" s="422"/>
    </row>
    <row r="11" spans="1:21" ht="12.75" thickBot="1" x14ac:dyDescent="0.2">
      <c r="A11" s="422"/>
      <c r="B11" s="1227"/>
      <c r="C11" s="1227"/>
      <c r="D11" s="1227"/>
      <c r="E11" s="1227"/>
      <c r="F11" s="1227"/>
      <c r="G11" s="1227"/>
      <c r="H11" s="1227"/>
      <c r="I11" s="1227"/>
      <c r="J11" s="1227"/>
      <c r="K11" s="422"/>
      <c r="L11" s="1227"/>
      <c r="M11" s="1227"/>
      <c r="N11" s="1227"/>
      <c r="O11" s="1227"/>
      <c r="P11" s="1227"/>
      <c r="Q11" s="1227"/>
      <c r="R11" s="1227"/>
      <c r="S11" s="1227"/>
      <c r="T11" s="1227"/>
      <c r="U11" s="422"/>
    </row>
    <row r="12" spans="1:21" ht="12.75" thickBot="1" x14ac:dyDescent="0.2">
      <c r="A12" s="422"/>
      <c r="B12" s="1227"/>
      <c r="C12" s="1227"/>
      <c r="D12" s="1227"/>
      <c r="E12" s="1227"/>
      <c r="F12" s="1227"/>
      <c r="G12" s="1227"/>
      <c r="H12" s="1227"/>
      <c r="I12" s="1227"/>
      <c r="J12" s="1227"/>
      <c r="K12" s="422"/>
      <c r="L12" s="1227"/>
      <c r="M12" s="1227"/>
      <c r="N12" s="1227"/>
      <c r="O12" s="1227"/>
      <c r="P12" s="1227"/>
      <c r="Q12" s="1227"/>
      <c r="R12" s="1227"/>
      <c r="S12" s="1227"/>
      <c r="T12" s="1227"/>
      <c r="U12" s="422"/>
    </row>
    <row r="13" spans="1:21" ht="12.75" thickBot="1" x14ac:dyDescent="0.2">
      <c r="A13" s="422"/>
      <c r="B13" s="1227"/>
      <c r="C13" s="1227"/>
      <c r="D13" s="1227"/>
      <c r="E13" s="1227"/>
      <c r="F13" s="1227"/>
      <c r="G13" s="1227"/>
      <c r="H13" s="1227"/>
      <c r="I13" s="1227"/>
      <c r="J13" s="1227"/>
      <c r="K13" s="422"/>
      <c r="L13" s="1227"/>
      <c r="M13" s="1227"/>
      <c r="N13" s="1227"/>
      <c r="O13" s="1227"/>
      <c r="P13" s="1227"/>
      <c r="Q13" s="1227"/>
      <c r="R13" s="1227"/>
      <c r="S13" s="1227"/>
      <c r="T13" s="1227"/>
      <c r="U13" s="422"/>
    </row>
    <row r="14" spans="1:21" ht="12.75" thickBot="1" x14ac:dyDescent="0.2">
      <c r="A14" s="422"/>
      <c r="B14" s="1227"/>
      <c r="C14" s="1227"/>
      <c r="D14" s="1227"/>
      <c r="E14" s="1227"/>
      <c r="F14" s="1227"/>
      <c r="G14" s="1227"/>
      <c r="H14" s="1227"/>
      <c r="I14" s="1227"/>
      <c r="J14" s="1227"/>
      <c r="K14" s="422"/>
      <c r="L14" s="1227"/>
      <c r="M14" s="1227"/>
      <c r="N14" s="1227"/>
      <c r="O14" s="1227"/>
      <c r="P14" s="1227"/>
      <c r="Q14" s="1227"/>
      <c r="R14" s="1227"/>
      <c r="S14" s="1227"/>
      <c r="T14" s="1227"/>
      <c r="U14" s="422"/>
    </row>
    <row r="15" spans="1:21" ht="12.75" thickBot="1" x14ac:dyDescent="0.2">
      <c r="A15" s="422"/>
      <c r="B15" s="422"/>
      <c r="C15" s="422"/>
      <c r="D15" s="422"/>
      <c r="E15" s="422"/>
      <c r="F15" s="422"/>
      <c r="G15" s="422"/>
      <c r="H15" s="422"/>
      <c r="I15" s="422"/>
      <c r="J15" s="422"/>
      <c r="K15" s="422"/>
      <c r="L15" s="422"/>
      <c r="M15" s="422"/>
      <c r="N15" s="422"/>
      <c r="O15" s="422"/>
      <c r="P15" s="422"/>
      <c r="Q15" s="422"/>
      <c r="R15" s="422"/>
      <c r="S15" s="422"/>
      <c r="T15" s="422"/>
      <c r="U15" s="422"/>
    </row>
    <row r="16" spans="1:21" ht="14.25" x14ac:dyDescent="0.15">
      <c r="A16" s="422"/>
      <c r="B16" s="806" t="s">
        <v>694</v>
      </c>
      <c r="C16" s="806"/>
      <c r="D16" s="806"/>
      <c r="E16" s="806"/>
      <c r="F16" s="806"/>
      <c r="G16" s="1226" t="s">
        <v>695</v>
      </c>
      <c r="H16" s="1226"/>
      <c r="I16" s="438" t="s">
        <v>696</v>
      </c>
      <c r="J16" s="439" t="s">
        <v>697</v>
      </c>
      <c r="K16" s="422"/>
      <c r="L16" s="806" t="s">
        <v>694</v>
      </c>
      <c r="M16" s="806"/>
      <c r="N16" s="806"/>
      <c r="O16" s="806"/>
      <c r="P16" s="806"/>
      <c r="Q16" s="1226" t="s">
        <v>695</v>
      </c>
      <c r="R16" s="1226"/>
      <c r="S16" s="438" t="s">
        <v>696</v>
      </c>
      <c r="T16" s="439" t="s">
        <v>697</v>
      </c>
      <c r="U16" s="422"/>
    </row>
    <row r="17" spans="1:21" x14ac:dyDescent="0.15">
      <c r="A17" s="422"/>
      <c r="B17" s="831"/>
      <c r="C17" s="831"/>
      <c r="D17" s="831"/>
      <c r="E17" s="831"/>
      <c r="F17" s="831"/>
      <c r="G17" s="829" t="s">
        <v>18</v>
      </c>
      <c r="H17" s="829"/>
      <c r="I17" s="829" t="s">
        <v>340</v>
      </c>
      <c r="J17" s="1224" t="s">
        <v>292</v>
      </c>
      <c r="K17" s="422"/>
      <c r="L17" s="831"/>
      <c r="M17" s="831"/>
      <c r="N17" s="831"/>
      <c r="O17" s="831"/>
      <c r="P17" s="831"/>
      <c r="Q17" s="829" t="s">
        <v>18</v>
      </c>
      <c r="R17" s="829"/>
      <c r="S17" s="829" t="s">
        <v>340</v>
      </c>
      <c r="T17" s="1224" t="s">
        <v>292</v>
      </c>
      <c r="U17" s="422"/>
    </row>
    <row r="18" spans="1:21" x14ac:dyDescent="0.15">
      <c r="A18" s="422"/>
      <c r="B18" s="831"/>
      <c r="C18" s="831"/>
      <c r="D18" s="831"/>
      <c r="E18" s="831"/>
      <c r="F18" s="831"/>
      <c r="G18" s="829"/>
      <c r="H18" s="829"/>
      <c r="I18" s="829"/>
      <c r="J18" s="1224"/>
      <c r="K18" s="422"/>
      <c r="L18" s="831"/>
      <c r="M18" s="831"/>
      <c r="N18" s="831"/>
      <c r="O18" s="831"/>
      <c r="P18" s="831"/>
      <c r="Q18" s="829"/>
      <c r="R18" s="829"/>
      <c r="S18" s="829"/>
      <c r="T18" s="1224"/>
      <c r="U18" s="422"/>
    </row>
    <row r="19" spans="1:21" x14ac:dyDescent="0.15">
      <c r="A19" s="422"/>
      <c r="B19" s="831"/>
      <c r="C19" s="831"/>
      <c r="D19" s="831"/>
      <c r="E19" s="831"/>
      <c r="F19" s="831"/>
      <c r="G19" s="829"/>
      <c r="H19" s="829"/>
      <c r="I19" s="829"/>
      <c r="J19" s="1224"/>
      <c r="K19" s="422"/>
      <c r="L19" s="831"/>
      <c r="M19" s="831"/>
      <c r="N19" s="831"/>
      <c r="O19" s="831"/>
      <c r="P19" s="831"/>
      <c r="Q19" s="829"/>
      <c r="R19" s="829"/>
      <c r="S19" s="829"/>
      <c r="T19" s="1224"/>
      <c r="U19" s="422"/>
    </row>
    <row r="20" spans="1:21" x14ac:dyDescent="0.15">
      <c r="A20" s="422"/>
      <c r="B20" s="813" t="s">
        <v>698</v>
      </c>
      <c r="C20" s="813"/>
      <c r="D20" s="813"/>
      <c r="E20" s="813"/>
      <c r="F20" s="813"/>
      <c r="G20" s="813"/>
      <c r="H20" s="813"/>
      <c r="I20" s="813"/>
      <c r="J20" s="813"/>
      <c r="K20" s="422"/>
      <c r="L20" s="813" t="s">
        <v>698</v>
      </c>
      <c r="M20" s="813"/>
      <c r="N20" s="813"/>
      <c r="O20" s="813"/>
      <c r="P20" s="813"/>
      <c r="Q20" s="813"/>
      <c r="R20" s="813"/>
      <c r="S20" s="813"/>
      <c r="T20" s="813"/>
      <c r="U20" s="422"/>
    </row>
    <row r="21" spans="1:21" ht="12.75" thickBot="1" x14ac:dyDescent="0.2">
      <c r="A21" s="422"/>
      <c r="B21" s="1227"/>
      <c r="C21" s="1227"/>
      <c r="D21" s="1227"/>
      <c r="E21" s="1227"/>
      <c r="F21" s="1227"/>
      <c r="G21" s="1227"/>
      <c r="H21" s="1227"/>
      <c r="I21" s="1227"/>
      <c r="J21" s="1227"/>
      <c r="K21" s="422"/>
      <c r="L21" s="1227"/>
      <c r="M21" s="1227"/>
      <c r="N21" s="1227"/>
      <c r="O21" s="1227"/>
      <c r="P21" s="1227"/>
      <c r="Q21" s="1227"/>
      <c r="R21" s="1227"/>
      <c r="S21" s="1227"/>
      <c r="T21" s="1227"/>
      <c r="U21" s="422"/>
    </row>
    <row r="22" spans="1:21" ht="12.75" thickBot="1" x14ac:dyDescent="0.2">
      <c r="A22" s="422"/>
      <c r="B22" s="1227"/>
      <c r="C22" s="1227"/>
      <c r="D22" s="1227"/>
      <c r="E22" s="1227"/>
      <c r="F22" s="1227"/>
      <c r="G22" s="1227"/>
      <c r="H22" s="1227"/>
      <c r="I22" s="1227"/>
      <c r="J22" s="1227"/>
      <c r="K22" s="422"/>
      <c r="L22" s="1227"/>
      <c r="M22" s="1227"/>
      <c r="N22" s="1227"/>
      <c r="O22" s="1227"/>
      <c r="P22" s="1227"/>
      <c r="Q22" s="1227"/>
      <c r="R22" s="1227"/>
      <c r="S22" s="1227"/>
      <c r="T22" s="1227"/>
      <c r="U22" s="422"/>
    </row>
    <row r="23" spans="1:21" ht="12.75" thickBot="1" x14ac:dyDescent="0.2">
      <c r="A23" s="422"/>
      <c r="B23" s="1227"/>
      <c r="C23" s="1227"/>
      <c r="D23" s="1227"/>
      <c r="E23" s="1227"/>
      <c r="F23" s="1227"/>
      <c r="G23" s="1227"/>
      <c r="H23" s="1227"/>
      <c r="I23" s="1227"/>
      <c r="J23" s="1227"/>
      <c r="K23" s="422"/>
      <c r="L23" s="1227"/>
      <c r="M23" s="1227"/>
      <c r="N23" s="1227"/>
      <c r="O23" s="1227"/>
      <c r="P23" s="1227"/>
      <c r="Q23" s="1227"/>
      <c r="R23" s="1227"/>
      <c r="S23" s="1227"/>
      <c r="T23" s="1227"/>
      <c r="U23" s="422"/>
    </row>
    <row r="24" spans="1:21" ht="12.75" thickBot="1" x14ac:dyDescent="0.2">
      <c r="A24" s="422"/>
      <c r="B24" s="1227"/>
      <c r="C24" s="1227"/>
      <c r="D24" s="1227"/>
      <c r="E24" s="1227"/>
      <c r="F24" s="1227"/>
      <c r="G24" s="1227"/>
      <c r="H24" s="1227"/>
      <c r="I24" s="1227"/>
      <c r="J24" s="1227"/>
      <c r="K24" s="422"/>
      <c r="L24" s="1227"/>
      <c r="M24" s="1227"/>
      <c r="N24" s="1227"/>
      <c r="O24" s="1227"/>
      <c r="P24" s="1227"/>
      <c r="Q24" s="1227"/>
      <c r="R24" s="1227"/>
      <c r="S24" s="1227"/>
      <c r="T24" s="1227"/>
      <c r="U24" s="422"/>
    </row>
    <row r="25" spans="1:21" ht="12.75" thickBot="1" x14ac:dyDescent="0.2">
      <c r="A25" s="422"/>
      <c r="B25" s="1227"/>
      <c r="C25" s="1227"/>
      <c r="D25" s="1227"/>
      <c r="E25" s="1227"/>
      <c r="F25" s="1227"/>
      <c r="G25" s="1227"/>
      <c r="H25" s="1227"/>
      <c r="I25" s="1227"/>
      <c r="J25" s="1227"/>
      <c r="K25" s="422"/>
      <c r="L25" s="1227"/>
      <c r="M25" s="1227"/>
      <c r="N25" s="1227"/>
      <c r="O25" s="1227"/>
      <c r="P25" s="1227"/>
      <c r="Q25" s="1227"/>
      <c r="R25" s="1227"/>
      <c r="S25" s="1227"/>
      <c r="T25" s="1227"/>
      <c r="U25" s="422"/>
    </row>
    <row r="26" spans="1:21" ht="12.75" thickBot="1" x14ac:dyDescent="0.2">
      <c r="A26" s="422"/>
      <c r="B26" s="422"/>
      <c r="C26" s="422"/>
      <c r="D26" s="422"/>
      <c r="E26" s="422"/>
      <c r="F26" s="422"/>
      <c r="G26" s="422"/>
      <c r="H26" s="422"/>
      <c r="I26" s="422"/>
      <c r="J26" s="422"/>
      <c r="K26" s="422"/>
      <c r="L26" s="422"/>
      <c r="M26" s="422"/>
      <c r="N26" s="422"/>
      <c r="O26" s="422"/>
      <c r="P26" s="422"/>
      <c r="Q26" s="422"/>
      <c r="R26" s="422"/>
      <c r="S26" s="422"/>
      <c r="T26" s="422"/>
      <c r="U26" s="422"/>
    </row>
    <row r="27" spans="1:21" ht="14.25" x14ac:dyDescent="0.15">
      <c r="A27" s="422"/>
      <c r="B27" s="806" t="s">
        <v>694</v>
      </c>
      <c r="C27" s="806"/>
      <c r="D27" s="806"/>
      <c r="E27" s="806"/>
      <c r="F27" s="806"/>
      <c r="G27" s="1226" t="s">
        <v>695</v>
      </c>
      <c r="H27" s="1226"/>
      <c r="I27" s="438" t="s">
        <v>696</v>
      </c>
      <c r="J27" s="439" t="s">
        <v>697</v>
      </c>
      <c r="K27" s="422"/>
      <c r="L27" s="806" t="s">
        <v>694</v>
      </c>
      <c r="M27" s="806"/>
      <c r="N27" s="806"/>
      <c r="O27" s="806"/>
      <c r="P27" s="806"/>
      <c r="Q27" s="1226" t="s">
        <v>695</v>
      </c>
      <c r="R27" s="1226"/>
      <c r="S27" s="438" t="s">
        <v>696</v>
      </c>
      <c r="T27" s="439" t="s">
        <v>697</v>
      </c>
      <c r="U27" s="422"/>
    </row>
    <row r="28" spans="1:21" x14ac:dyDescent="0.15">
      <c r="A28" s="422"/>
      <c r="B28" s="831"/>
      <c r="C28" s="831"/>
      <c r="D28" s="831"/>
      <c r="E28" s="831"/>
      <c r="F28" s="831"/>
      <c r="G28" s="829" t="s">
        <v>18</v>
      </c>
      <c r="H28" s="829"/>
      <c r="I28" s="829" t="s">
        <v>340</v>
      </c>
      <c r="J28" s="1224" t="s">
        <v>292</v>
      </c>
      <c r="K28" s="422"/>
      <c r="L28" s="831"/>
      <c r="M28" s="831"/>
      <c r="N28" s="831"/>
      <c r="O28" s="831"/>
      <c r="P28" s="831"/>
      <c r="Q28" s="829" t="s">
        <v>18</v>
      </c>
      <c r="R28" s="829"/>
      <c r="S28" s="829" t="s">
        <v>340</v>
      </c>
      <c r="T28" s="1224" t="s">
        <v>292</v>
      </c>
      <c r="U28" s="422"/>
    </row>
    <row r="29" spans="1:21" x14ac:dyDescent="0.15">
      <c r="A29" s="422"/>
      <c r="B29" s="831"/>
      <c r="C29" s="831"/>
      <c r="D29" s="831"/>
      <c r="E29" s="831"/>
      <c r="F29" s="831"/>
      <c r="G29" s="829"/>
      <c r="H29" s="829"/>
      <c r="I29" s="829"/>
      <c r="J29" s="1224"/>
      <c r="K29" s="422"/>
      <c r="L29" s="831"/>
      <c r="M29" s="831"/>
      <c r="N29" s="831"/>
      <c r="O29" s="831"/>
      <c r="P29" s="831"/>
      <c r="Q29" s="829"/>
      <c r="R29" s="829"/>
      <c r="S29" s="829"/>
      <c r="T29" s="1224"/>
      <c r="U29" s="422"/>
    </row>
    <row r="30" spans="1:21" x14ac:dyDescent="0.15">
      <c r="A30" s="422"/>
      <c r="B30" s="831"/>
      <c r="C30" s="831"/>
      <c r="D30" s="831"/>
      <c r="E30" s="831"/>
      <c r="F30" s="831"/>
      <c r="G30" s="829"/>
      <c r="H30" s="829"/>
      <c r="I30" s="829"/>
      <c r="J30" s="1224"/>
      <c r="K30" s="422"/>
      <c r="L30" s="831"/>
      <c r="M30" s="831"/>
      <c r="N30" s="831"/>
      <c r="O30" s="831"/>
      <c r="P30" s="831"/>
      <c r="Q30" s="829"/>
      <c r="R30" s="829"/>
      <c r="S30" s="829"/>
      <c r="T30" s="1224"/>
      <c r="U30" s="422"/>
    </row>
    <row r="31" spans="1:21" x14ac:dyDescent="0.15">
      <c r="A31" s="422"/>
      <c r="B31" s="813" t="s">
        <v>698</v>
      </c>
      <c r="C31" s="813"/>
      <c r="D31" s="813"/>
      <c r="E31" s="813"/>
      <c r="F31" s="813"/>
      <c r="G31" s="813"/>
      <c r="H31" s="813"/>
      <c r="I31" s="813"/>
      <c r="J31" s="813"/>
      <c r="K31" s="422"/>
      <c r="L31" s="813" t="s">
        <v>698</v>
      </c>
      <c r="M31" s="813"/>
      <c r="N31" s="813"/>
      <c r="O31" s="813"/>
      <c r="P31" s="813"/>
      <c r="Q31" s="813"/>
      <c r="R31" s="813"/>
      <c r="S31" s="813"/>
      <c r="T31" s="813"/>
      <c r="U31" s="422"/>
    </row>
    <row r="32" spans="1:21" ht="12.75" thickBot="1" x14ac:dyDescent="0.2">
      <c r="A32" s="422"/>
      <c r="B32" s="1227"/>
      <c r="C32" s="1227"/>
      <c r="D32" s="1227"/>
      <c r="E32" s="1227"/>
      <c r="F32" s="1227"/>
      <c r="G32" s="1227"/>
      <c r="H32" s="1227"/>
      <c r="I32" s="1227"/>
      <c r="J32" s="1227"/>
      <c r="K32" s="422"/>
      <c r="L32" s="1227"/>
      <c r="M32" s="1227"/>
      <c r="N32" s="1227"/>
      <c r="O32" s="1227"/>
      <c r="P32" s="1227"/>
      <c r="Q32" s="1227"/>
      <c r="R32" s="1227"/>
      <c r="S32" s="1227"/>
      <c r="T32" s="1227"/>
      <c r="U32" s="422"/>
    </row>
    <row r="33" spans="1:21" ht="12.75" thickBot="1" x14ac:dyDescent="0.2">
      <c r="A33" s="422"/>
      <c r="B33" s="1227"/>
      <c r="C33" s="1227"/>
      <c r="D33" s="1227"/>
      <c r="E33" s="1227"/>
      <c r="F33" s="1227"/>
      <c r="G33" s="1227"/>
      <c r="H33" s="1227"/>
      <c r="I33" s="1227"/>
      <c r="J33" s="1227"/>
      <c r="K33" s="422"/>
      <c r="L33" s="1227"/>
      <c r="M33" s="1227"/>
      <c r="N33" s="1227"/>
      <c r="O33" s="1227"/>
      <c r="P33" s="1227"/>
      <c r="Q33" s="1227"/>
      <c r="R33" s="1227"/>
      <c r="S33" s="1227"/>
      <c r="T33" s="1227"/>
      <c r="U33" s="422"/>
    </row>
    <row r="34" spans="1:21" ht="12.75" thickBot="1" x14ac:dyDescent="0.2">
      <c r="A34" s="422"/>
      <c r="B34" s="1227"/>
      <c r="C34" s="1227"/>
      <c r="D34" s="1227"/>
      <c r="E34" s="1227"/>
      <c r="F34" s="1227"/>
      <c r="G34" s="1227"/>
      <c r="H34" s="1227"/>
      <c r="I34" s="1227"/>
      <c r="J34" s="1227"/>
      <c r="K34" s="422"/>
      <c r="L34" s="1227"/>
      <c r="M34" s="1227"/>
      <c r="N34" s="1227"/>
      <c r="O34" s="1227"/>
      <c r="P34" s="1227"/>
      <c r="Q34" s="1227"/>
      <c r="R34" s="1227"/>
      <c r="S34" s="1227"/>
      <c r="T34" s="1227"/>
      <c r="U34" s="422"/>
    </row>
    <row r="35" spans="1:21" ht="12.75" thickBot="1" x14ac:dyDescent="0.2">
      <c r="A35" s="422"/>
      <c r="B35" s="1227"/>
      <c r="C35" s="1227"/>
      <c r="D35" s="1227"/>
      <c r="E35" s="1227"/>
      <c r="F35" s="1227"/>
      <c r="G35" s="1227"/>
      <c r="H35" s="1227"/>
      <c r="I35" s="1227"/>
      <c r="J35" s="1227"/>
      <c r="K35" s="422"/>
      <c r="L35" s="1227"/>
      <c r="M35" s="1227"/>
      <c r="N35" s="1227"/>
      <c r="O35" s="1227"/>
      <c r="P35" s="1227"/>
      <c r="Q35" s="1227"/>
      <c r="R35" s="1227"/>
      <c r="S35" s="1227"/>
      <c r="T35" s="1227"/>
      <c r="U35" s="422"/>
    </row>
    <row r="36" spans="1:21" ht="12.75" thickBot="1" x14ac:dyDescent="0.2">
      <c r="A36" s="422"/>
      <c r="B36" s="1227"/>
      <c r="C36" s="1227"/>
      <c r="D36" s="1227"/>
      <c r="E36" s="1227"/>
      <c r="F36" s="1227"/>
      <c r="G36" s="1227"/>
      <c r="H36" s="1227"/>
      <c r="I36" s="1227"/>
      <c r="J36" s="1227"/>
      <c r="K36" s="422"/>
      <c r="L36" s="1227"/>
      <c r="M36" s="1227"/>
      <c r="N36" s="1227"/>
      <c r="O36" s="1227"/>
      <c r="P36" s="1227"/>
      <c r="Q36" s="1227"/>
      <c r="R36" s="1227"/>
      <c r="S36" s="1227"/>
      <c r="T36" s="1227"/>
      <c r="U36" s="422"/>
    </row>
    <row r="37" spans="1:21" ht="12.75" thickBot="1" x14ac:dyDescent="0.2">
      <c r="A37" s="422"/>
      <c r="B37" s="422"/>
      <c r="C37" s="422"/>
      <c r="D37" s="422"/>
      <c r="E37" s="422"/>
      <c r="F37" s="422"/>
      <c r="G37" s="422"/>
      <c r="H37" s="422"/>
      <c r="I37" s="422"/>
      <c r="J37" s="422"/>
      <c r="K37" s="422"/>
      <c r="L37" s="422"/>
      <c r="M37" s="422"/>
      <c r="N37" s="422"/>
      <c r="O37" s="422"/>
      <c r="P37" s="422"/>
      <c r="Q37" s="422"/>
      <c r="R37" s="422"/>
      <c r="S37" s="422"/>
      <c r="T37" s="422"/>
      <c r="U37" s="422"/>
    </row>
    <row r="38" spans="1:21" ht="14.25" x14ac:dyDescent="0.15">
      <c r="A38" s="422"/>
      <c r="B38" s="806" t="s">
        <v>694</v>
      </c>
      <c r="C38" s="806"/>
      <c r="D38" s="806"/>
      <c r="E38" s="806"/>
      <c r="F38" s="806"/>
      <c r="G38" s="1226" t="s">
        <v>695</v>
      </c>
      <c r="H38" s="1226"/>
      <c r="I38" s="438" t="s">
        <v>696</v>
      </c>
      <c r="J38" s="439" t="s">
        <v>697</v>
      </c>
      <c r="K38" s="422"/>
      <c r="L38" s="806" t="s">
        <v>694</v>
      </c>
      <c r="M38" s="806"/>
      <c r="N38" s="806"/>
      <c r="O38" s="806"/>
      <c r="P38" s="806"/>
      <c r="Q38" s="1226" t="s">
        <v>695</v>
      </c>
      <c r="R38" s="1226"/>
      <c r="S38" s="438" t="s">
        <v>696</v>
      </c>
      <c r="T38" s="439" t="s">
        <v>697</v>
      </c>
      <c r="U38" s="422"/>
    </row>
    <row r="39" spans="1:21" x14ac:dyDescent="0.15">
      <c r="A39" s="422"/>
      <c r="B39" s="831"/>
      <c r="C39" s="831"/>
      <c r="D39" s="831"/>
      <c r="E39" s="831"/>
      <c r="F39" s="831"/>
      <c r="G39" s="829" t="s">
        <v>18</v>
      </c>
      <c r="H39" s="829"/>
      <c r="I39" s="829" t="s">
        <v>340</v>
      </c>
      <c r="J39" s="1224" t="s">
        <v>292</v>
      </c>
      <c r="K39" s="422"/>
      <c r="L39" s="831"/>
      <c r="M39" s="831"/>
      <c r="N39" s="831"/>
      <c r="O39" s="831"/>
      <c r="P39" s="831"/>
      <c r="Q39" s="829" t="s">
        <v>18</v>
      </c>
      <c r="R39" s="829"/>
      <c r="S39" s="829" t="s">
        <v>340</v>
      </c>
      <c r="T39" s="1224" t="s">
        <v>292</v>
      </c>
      <c r="U39" s="422"/>
    </row>
    <row r="40" spans="1:21" x14ac:dyDescent="0.15">
      <c r="A40" s="422"/>
      <c r="B40" s="831"/>
      <c r="C40" s="831"/>
      <c r="D40" s="831"/>
      <c r="E40" s="831"/>
      <c r="F40" s="831"/>
      <c r="G40" s="829"/>
      <c r="H40" s="829"/>
      <c r="I40" s="829"/>
      <c r="J40" s="1224"/>
      <c r="K40" s="422"/>
      <c r="L40" s="831"/>
      <c r="M40" s="831"/>
      <c r="N40" s="831"/>
      <c r="O40" s="831"/>
      <c r="P40" s="831"/>
      <c r="Q40" s="829"/>
      <c r="R40" s="829"/>
      <c r="S40" s="829"/>
      <c r="T40" s="1224"/>
      <c r="U40" s="422"/>
    </row>
    <row r="41" spans="1:21" x14ac:dyDescent="0.15">
      <c r="A41" s="422"/>
      <c r="B41" s="831"/>
      <c r="C41" s="831"/>
      <c r="D41" s="831"/>
      <c r="E41" s="831"/>
      <c r="F41" s="831"/>
      <c r="G41" s="829"/>
      <c r="H41" s="829"/>
      <c r="I41" s="829"/>
      <c r="J41" s="1224"/>
      <c r="K41" s="422"/>
      <c r="L41" s="831"/>
      <c r="M41" s="831"/>
      <c r="N41" s="831"/>
      <c r="O41" s="831"/>
      <c r="P41" s="831"/>
      <c r="Q41" s="829"/>
      <c r="R41" s="829"/>
      <c r="S41" s="829"/>
      <c r="T41" s="1224"/>
      <c r="U41" s="422"/>
    </row>
    <row r="42" spans="1:21" x14ac:dyDescent="0.15">
      <c r="A42" s="422"/>
      <c r="B42" s="813" t="s">
        <v>698</v>
      </c>
      <c r="C42" s="813"/>
      <c r="D42" s="813"/>
      <c r="E42" s="813"/>
      <c r="F42" s="813"/>
      <c r="G42" s="813"/>
      <c r="H42" s="813"/>
      <c r="I42" s="813"/>
      <c r="J42" s="813"/>
      <c r="K42" s="422"/>
      <c r="L42" s="813" t="s">
        <v>698</v>
      </c>
      <c r="M42" s="813"/>
      <c r="N42" s="813"/>
      <c r="O42" s="813"/>
      <c r="P42" s="813"/>
      <c r="Q42" s="813"/>
      <c r="R42" s="813"/>
      <c r="S42" s="813"/>
      <c r="T42" s="813"/>
      <c r="U42" s="422"/>
    </row>
    <row r="43" spans="1:21" ht="12.75" thickBot="1" x14ac:dyDescent="0.2">
      <c r="A43" s="422"/>
      <c r="B43" s="1227"/>
      <c r="C43" s="1227"/>
      <c r="D43" s="1227"/>
      <c r="E43" s="1227"/>
      <c r="F43" s="1227"/>
      <c r="G43" s="1227"/>
      <c r="H43" s="1227"/>
      <c r="I43" s="1227"/>
      <c r="J43" s="1227"/>
      <c r="K43" s="422"/>
      <c r="L43" s="1227"/>
      <c r="M43" s="1227"/>
      <c r="N43" s="1227"/>
      <c r="O43" s="1227"/>
      <c r="P43" s="1227"/>
      <c r="Q43" s="1227"/>
      <c r="R43" s="1227"/>
      <c r="S43" s="1227"/>
      <c r="T43" s="1227"/>
      <c r="U43" s="422"/>
    </row>
    <row r="44" spans="1:21" ht="12.75" thickBot="1" x14ac:dyDescent="0.2">
      <c r="A44" s="422"/>
      <c r="B44" s="1227"/>
      <c r="C44" s="1227"/>
      <c r="D44" s="1227"/>
      <c r="E44" s="1227"/>
      <c r="F44" s="1227"/>
      <c r="G44" s="1227"/>
      <c r="H44" s="1227"/>
      <c r="I44" s="1227"/>
      <c r="J44" s="1227"/>
      <c r="K44" s="422"/>
      <c r="L44" s="1227"/>
      <c r="M44" s="1227"/>
      <c r="N44" s="1227"/>
      <c r="O44" s="1227"/>
      <c r="P44" s="1227"/>
      <c r="Q44" s="1227"/>
      <c r="R44" s="1227"/>
      <c r="S44" s="1227"/>
      <c r="T44" s="1227"/>
      <c r="U44" s="422"/>
    </row>
    <row r="45" spans="1:21" ht="12.75" thickBot="1" x14ac:dyDescent="0.2">
      <c r="A45" s="422"/>
      <c r="B45" s="1227"/>
      <c r="C45" s="1227"/>
      <c r="D45" s="1227"/>
      <c r="E45" s="1227"/>
      <c r="F45" s="1227"/>
      <c r="G45" s="1227"/>
      <c r="H45" s="1227"/>
      <c r="I45" s="1227"/>
      <c r="J45" s="1227"/>
      <c r="K45" s="422"/>
      <c r="L45" s="1227"/>
      <c r="M45" s="1227"/>
      <c r="N45" s="1227"/>
      <c r="O45" s="1227"/>
      <c r="P45" s="1227"/>
      <c r="Q45" s="1227"/>
      <c r="R45" s="1227"/>
      <c r="S45" s="1227"/>
      <c r="T45" s="1227"/>
      <c r="U45" s="422"/>
    </row>
    <row r="46" spans="1:21" ht="12.75" thickBot="1" x14ac:dyDescent="0.2">
      <c r="A46" s="422"/>
      <c r="B46" s="1227"/>
      <c r="C46" s="1227"/>
      <c r="D46" s="1227"/>
      <c r="E46" s="1227"/>
      <c r="F46" s="1227"/>
      <c r="G46" s="1227"/>
      <c r="H46" s="1227"/>
      <c r="I46" s="1227"/>
      <c r="J46" s="1227"/>
      <c r="K46" s="422"/>
      <c r="L46" s="1227"/>
      <c r="M46" s="1227"/>
      <c r="N46" s="1227"/>
      <c r="O46" s="1227"/>
      <c r="P46" s="1227"/>
      <c r="Q46" s="1227"/>
      <c r="R46" s="1227"/>
      <c r="S46" s="1227"/>
      <c r="T46" s="1227"/>
      <c r="U46" s="422"/>
    </row>
    <row r="47" spans="1:21" ht="12.75" thickBot="1" x14ac:dyDescent="0.2">
      <c r="A47" s="422"/>
      <c r="B47" s="1227"/>
      <c r="C47" s="1227"/>
      <c r="D47" s="1227"/>
      <c r="E47" s="1227"/>
      <c r="F47" s="1227"/>
      <c r="G47" s="1227"/>
      <c r="H47" s="1227"/>
      <c r="I47" s="1227"/>
      <c r="J47" s="1227"/>
      <c r="K47" s="422"/>
      <c r="L47" s="1227"/>
      <c r="M47" s="1227"/>
      <c r="N47" s="1227"/>
      <c r="O47" s="1227"/>
      <c r="P47" s="1227"/>
      <c r="Q47" s="1227"/>
      <c r="R47" s="1227"/>
      <c r="S47" s="1227"/>
      <c r="T47" s="1227"/>
      <c r="U47" s="422"/>
    </row>
    <row r="48" spans="1:21" ht="12.75" thickBot="1" x14ac:dyDescent="0.2">
      <c r="A48" s="422"/>
      <c r="B48" s="422"/>
      <c r="C48" s="422"/>
      <c r="D48" s="422"/>
      <c r="E48" s="422"/>
      <c r="F48" s="422"/>
      <c r="G48" s="422"/>
      <c r="H48" s="422"/>
      <c r="I48" s="422"/>
      <c r="J48" s="422"/>
      <c r="K48" s="422"/>
      <c r="L48" s="422"/>
      <c r="M48" s="422"/>
      <c r="N48" s="422"/>
      <c r="O48" s="422"/>
      <c r="P48" s="422"/>
      <c r="Q48" s="422"/>
      <c r="R48" s="422"/>
      <c r="S48" s="422"/>
      <c r="T48" s="422"/>
      <c r="U48" s="422"/>
    </row>
    <row r="49" spans="1:21" ht="14.25" x14ac:dyDescent="0.15">
      <c r="A49" s="422"/>
      <c r="B49" s="806" t="s">
        <v>694</v>
      </c>
      <c r="C49" s="806"/>
      <c r="D49" s="806"/>
      <c r="E49" s="806"/>
      <c r="F49" s="806"/>
      <c r="G49" s="1226" t="s">
        <v>695</v>
      </c>
      <c r="H49" s="1226"/>
      <c r="I49" s="438" t="s">
        <v>696</v>
      </c>
      <c r="J49" s="439" t="s">
        <v>697</v>
      </c>
      <c r="K49" s="422"/>
      <c r="L49" s="806" t="s">
        <v>694</v>
      </c>
      <c r="M49" s="806"/>
      <c r="N49" s="806"/>
      <c r="O49" s="806"/>
      <c r="P49" s="806"/>
      <c r="Q49" s="1226" t="s">
        <v>695</v>
      </c>
      <c r="R49" s="1226"/>
      <c r="S49" s="438" t="s">
        <v>696</v>
      </c>
      <c r="T49" s="439" t="s">
        <v>697</v>
      </c>
      <c r="U49" s="422"/>
    </row>
    <row r="50" spans="1:21" x14ac:dyDescent="0.15">
      <c r="A50" s="422"/>
      <c r="B50" s="831"/>
      <c r="C50" s="831"/>
      <c r="D50" s="831"/>
      <c r="E50" s="831"/>
      <c r="F50" s="831"/>
      <c r="G50" s="829" t="s">
        <v>18</v>
      </c>
      <c r="H50" s="829"/>
      <c r="I50" s="829" t="s">
        <v>340</v>
      </c>
      <c r="J50" s="1224" t="s">
        <v>292</v>
      </c>
      <c r="K50" s="422"/>
      <c r="L50" s="831"/>
      <c r="M50" s="831"/>
      <c r="N50" s="831"/>
      <c r="O50" s="831"/>
      <c r="P50" s="831"/>
      <c r="Q50" s="829" t="s">
        <v>18</v>
      </c>
      <c r="R50" s="829"/>
      <c r="S50" s="829" t="s">
        <v>340</v>
      </c>
      <c r="T50" s="1224" t="s">
        <v>292</v>
      </c>
      <c r="U50" s="422"/>
    </row>
    <row r="51" spans="1:21" x14ac:dyDescent="0.15">
      <c r="A51" s="422"/>
      <c r="B51" s="831"/>
      <c r="C51" s="831"/>
      <c r="D51" s="831"/>
      <c r="E51" s="831"/>
      <c r="F51" s="831"/>
      <c r="G51" s="829"/>
      <c r="H51" s="829"/>
      <c r="I51" s="829"/>
      <c r="J51" s="1224"/>
      <c r="K51" s="422"/>
      <c r="L51" s="831"/>
      <c r="M51" s="831"/>
      <c r="N51" s="831"/>
      <c r="O51" s="831"/>
      <c r="P51" s="831"/>
      <c r="Q51" s="829"/>
      <c r="R51" s="829"/>
      <c r="S51" s="829"/>
      <c r="T51" s="1224"/>
      <c r="U51" s="422"/>
    </row>
    <row r="52" spans="1:21" x14ac:dyDescent="0.15">
      <c r="A52" s="422"/>
      <c r="B52" s="831"/>
      <c r="C52" s="831"/>
      <c r="D52" s="831"/>
      <c r="E52" s="831"/>
      <c r="F52" s="831"/>
      <c r="G52" s="829"/>
      <c r="H52" s="829"/>
      <c r="I52" s="829"/>
      <c r="J52" s="1224"/>
      <c r="K52" s="422"/>
      <c r="L52" s="831"/>
      <c r="M52" s="831"/>
      <c r="N52" s="831"/>
      <c r="O52" s="831"/>
      <c r="P52" s="831"/>
      <c r="Q52" s="829"/>
      <c r="R52" s="829"/>
      <c r="S52" s="829"/>
      <c r="T52" s="1224"/>
      <c r="U52" s="422"/>
    </row>
    <row r="53" spans="1:21" x14ac:dyDescent="0.15">
      <c r="A53" s="422"/>
      <c r="B53" s="813" t="s">
        <v>698</v>
      </c>
      <c r="C53" s="813"/>
      <c r="D53" s="813"/>
      <c r="E53" s="813"/>
      <c r="F53" s="813"/>
      <c r="G53" s="813"/>
      <c r="H53" s="813"/>
      <c r="I53" s="813"/>
      <c r="J53" s="813"/>
      <c r="K53" s="422"/>
      <c r="L53" s="813" t="s">
        <v>698</v>
      </c>
      <c r="M53" s="813"/>
      <c r="N53" s="813"/>
      <c r="O53" s="813"/>
      <c r="P53" s="813"/>
      <c r="Q53" s="813"/>
      <c r="R53" s="813"/>
      <c r="S53" s="813"/>
      <c r="T53" s="813"/>
      <c r="U53" s="422"/>
    </row>
    <row r="54" spans="1:21" ht="12.75" thickBot="1" x14ac:dyDescent="0.2">
      <c r="A54" s="422"/>
      <c r="B54" s="1227"/>
      <c r="C54" s="1227"/>
      <c r="D54" s="1227"/>
      <c r="E54" s="1227"/>
      <c r="F54" s="1227"/>
      <c r="G54" s="1227"/>
      <c r="H54" s="1227"/>
      <c r="I54" s="1227"/>
      <c r="J54" s="1227"/>
      <c r="K54" s="422"/>
      <c r="L54" s="1227"/>
      <c r="M54" s="1227"/>
      <c r="N54" s="1227"/>
      <c r="O54" s="1227"/>
      <c r="P54" s="1227"/>
      <c r="Q54" s="1227"/>
      <c r="R54" s="1227"/>
      <c r="S54" s="1227"/>
      <c r="T54" s="1227"/>
      <c r="U54" s="422"/>
    </row>
    <row r="55" spans="1:21" ht="12.75" thickBot="1" x14ac:dyDescent="0.2">
      <c r="A55" s="422"/>
      <c r="B55" s="1227"/>
      <c r="C55" s="1227"/>
      <c r="D55" s="1227"/>
      <c r="E55" s="1227"/>
      <c r="F55" s="1227"/>
      <c r="G55" s="1227"/>
      <c r="H55" s="1227"/>
      <c r="I55" s="1227"/>
      <c r="J55" s="1227"/>
      <c r="K55" s="422"/>
      <c r="L55" s="1227"/>
      <c r="M55" s="1227"/>
      <c r="N55" s="1227"/>
      <c r="O55" s="1227"/>
      <c r="P55" s="1227"/>
      <c r="Q55" s="1227"/>
      <c r="R55" s="1227"/>
      <c r="S55" s="1227"/>
      <c r="T55" s="1227"/>
      <c r="U55" s="422"/>
    </row>
    <row r="56" spans="1:21" ht="12.75" thickBot="1" x14ac:dyDescent="0.2">
      <c r="A56" s="422"/>
      <c r="B56" s="1227"/>
      <c r="C56" s="1227"/>
      <c r="D56" s="1227"/>
      <c r="E56" s="1227"/>
      <c r="F56" s="1227"/>
      <c r="G56" s="1227"/>
      <c r="H56" s="1227"/>
      <c r="I56" s="1227"/>
      <c r="J56" s="1227"/>
      <c r="K56" s="422"/>
      <c r="L56" s="1227"/>
      <c r="M56" s="1227"/>
      <c r="N56" s="1227"/>
      <c r="O56" s="1227"/>
      <c r="P56" s="1227"/>
      <c r="Q56" s="1227"/>
      <c r="R56" s="1227"/>
      <c r="S56" s="1227"/>
      <c r="T56" s="1227"/>
      <c r="U56" s="422"/>
    </row>
    <row r="57" spans="1:21" ht="12.75" thickBot="1" x14ac:dyDescent="0.2">
      <c r="A57" s="422"/>
      <c r="B57" s="1227"/>
      <c r="C57" s="1227"/>
      <c r="D57" s="1227"/>
      <c r="E57" s="1227"/>
      <c r="F57" s="1227"/>
      <c r="G57" s="1227"/>
      <c r="H57" s="1227"/>
      <c r="I57" s="1227"/>
      <c r="J57" s="1227"/>
      <c r="K57" s="422"/>
      <c r="L57" s="1227"/>
      <c r="M57" s="1227"/>
      <c r="N57" s="1227"/>
      <c r="O57" s="1227"/>
      <c r="P57" s="1227"/>
      <c r="Q57" s="1227"/>
      <c r="R57" s="1227"/>
      <c r="S57" s="1227"/>
      <c r="T57" s="1227"/>
      <c r="U57" s="422"/>
    </row>
    <row r="58" spans="1:21" ht="12.75" thickBot="1" x14ac:dyDescent="0.2">
      <c r="A58" s="422"/>
      <c r="B58" s="1227"/>
      <c r="C58" s="1227"/>
      <c r="D58" s="1227"/>
      <c r="E58" s="1227"/>
      <c r="F58" s="1227"/>
      <c r="G58" s="1227"/>
      <c r="H58" s="1227"/>
      <c r="I58" s="1227"/>
      <c r="J58" s="1227"/>
      <c r="K58" s="422"/>
      <c r="L58" s="1227"/>
      <c r="M58" s="1227"/>
      <c r="N58" s="1227"/>
      <c r="O58" s="1227"/>
      <c r="P58" s="1227"/>
      <c r="Q58" s="1227"/>
      <c r="R58" s="1227"/>
      <c r="S58" s="1227"/>
      <c r="T58" s="1227"/>
      <c r="U58" s="422"/>
    </row>
    <row r="59" spans="1:21" x14ac:dyDescent="0.15">
      <c r="A59" s="422"/>
      <c r="B59" s="422"/>
      <c r="C59" s="422"/>
      <c r="D59" s="422"/>
      <c r="E59" s="422"/>
      <c r="F59" s="422"/>
      <c r="G59" s="422"/>
      <c r="H59" s="422"/>
      <c r="I59" s="422"/>
      <c r="J59" s="422"/>
      <c r="K59" s="422"/>
      <c r="L59" s="422"/>
      <c r="M59" s="422"/>
      <c r="N59" s="422"/>
      <c r="O59" s="422"/>
      <c r="P59" s="422"/>
      <c r="Q59" s="422"/>
      <c r="R59" s="422"/>
      <c r="S59" s="422"/>
      <c r="T59" s="422"/>
      <c r="U59" s="422"/>
    </row>
    <row r="60" spans="1:21" x14ac:dyDescent="0.15">
      <c r="A60" s="422"/>
      <c r="B60" s="422"/>
      <c r="C60" s="422"/>
      <c r="D60" s="422"/>
      <c r="E60" s="422"/>
      <c r="F60" s="422"/>
      <c r="G60" s="422"/>
      <c r="H60" s="422"/>
      <c r="I60" s="422"/>
      <c r="J60" s="422"/>
      <c r="K60" s="422"/>
      <c r="L60" s="422"/>
      <c r="M60" s="422"/>
      <c r="N60" s="422"/>
      <c r="O60" s="422"/>
      <c r="P60" s="422"/>
      <c r="Q60" s="422"/>
      <c r="R60" s="422"/>
      <c r="S60" s="422"/>
      <c r="T60" s="422"/>
      <c r="U60" s="422"/>
    </row>
  </sheetData>
  <mergeCells count="81">
    <mergeCell ref="B54:J58"/>
    <mergeCell ref="L54:T58"/>
    <mergeCell ref="Q50:R52"/>
    <mergeCell ref="S50:S52"/>
    <mergeCell ref="T50:T52"/>
    <mergeCell ref="B53:J53"/>
    <mergeCell ref="L53:T53"/>
    <mergeCell ref="B50:F52"/>
    <mergeCell ref="G50:H52"/>
    <mergeCell ref="I50:I52"/>
    <mergeCell ref="J50:J52"/>
    <mergeCell ref="L50:P52"/>
    <mergeCell ref="B43:J47"/>
    <mergeCell ref="L43:T47"/>
    <mergeCell ref="B49:F49"/>
    <mergeCell ref="G49:H49"/>
    <mergeCell ref="L49:P49"/>
    <mergeCell ref="Q49:R49"/>
    <mergeCell ref="Q39:R41"/>
    <mergeCell ref="S39:S41"/>
    <mergeCell ref="T39:T41"/>
    <mergeCell ref="B42:J42"/>
    <mergeCell ref="L42:T42"/>
    <mergeCell ref="B39:F41"/>
    <mergeCell ref="G39:H41"/>
    <mergeCell ref="I39:I41"/>
    <mergeCell ref="J39:J41"/>
    <mergeCell ref="L39:P41"/>
    <mergeCell ref="B32:J36"/>
    <mergeCell ref="L32:T36"/>
    <mergeCell ref="B38:F38"/>
    <mergeCell ref="G38:H38"/>
    <mergeCell ref="L38:P38"/>
    <mergeCell ref="Q38:R38"/>
    <mergeCell ref="Q28:R30"/>
    <mergeCell ref="S28:S30"/>
    <mergeCell ref="T28:T30"/>
    <mergeCell ref="B31:J31"/>
    <mergeCell ref="L31:T31"/>
    <mergeCell ref="B28:F30"/>
    <mergeCell ref="G28:H30"/>
    <mergeCell ref="I28:I30"/>
    <mergeCell ref="J28:J30"/>
    <mergeCell ref="L28:P30"/>
    <mergeCell ref="B21:J25"/>
    <mergeCell ref="L21:T25"/>
    <mergeCell ref="B27:F27"/>
    <mergeCell ref="G27:H27"/>
    <mergeCell ref="L27:P27"/>
    <mergeCell ref="Q27:R27"/>
    <mergeCell ref="Q17:R19"/>
    <mergeCell ref="S17:S19"/>
    <mergeCell ref="T17:T19"/>
    <mergeCell ref="B20:J20"/>
    <mergeCell ref="L20:T20"/>
    <mergeCell ref="B17:F19"/>
    <mergeCell ref="G17:H19"/>
    <mergeCell ref="I17:I19"/>
    <mergeCell ref="J17:J19"/>
    <mergeCell ref="L17:P19"/>
    <mergeCell ref="B16:F16"/>
    <mergeCell ref="G16:H16"/>
    <mergeCell ref="L16:P16"/>
    <mergeCell ref="Q16:R16"/>
    <mergeCell ref="B10:J14"/>
    <mergeCell ref="L10:T14"/>
    <mergeCell ref="B3:C3"/>
    <mergeCell ref="B5:F5"/>
    <mergeCell ref="G5:H5"/>
    <mergeCell ref="L5:P5"/>
    <mergeCell ref="Q5:R5"/>
    <mergeCell ref="Q6:R8"/>
    <mergeCell ref="S6:S8"/>
    <mergeCell ref="T6:T8"/>
    <mergeCell ref="B9:J9"/>
    <mergeCell ref="B6:F8"/>
    <mergeCell ref="G6:H8"/>
    <mergeCell ref="I6:I8"/>
    <mergeCell ref="J6:J8"/>
    <mergeCell ref="L6:P8"/>
    <mergeCell ref="L9:T9"/>
  </mergeCells>
  <phoneticPr fontId="50"/>
  <dataValidations count="1">
    <dataValidation type="list" allowBlank="1" showInputMessage="1" showErrorMessage="1" sqref="J6:J8" xr:uid="{BFE0E8A2-6658-4E86-83CD-C272436B3FC5}">
      <formula1>"-,PC,NPC"</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4">
        <x14:dataValidation type="list" operator="equal" allowBlank="1" xr:uid="{D82C6503-511A-4258-B313-1581FDBEA75E}">
          <x14:formula1>
            <xm:f>リスト!$A$29:$A$31</xm:f>
          </x14:formula1>
          <xm:sqref>J50 J17 T39 T6 T50 T17 J28 T28 J39</xm:sqref>
        </x14:dataValidation>
        <x14:dataValidation type="list" operator="equal" allowBlank="1" xr:uid="{0B712524-E364-4CE4-B3E9-F8357B9BCFEC}">
          <x14:formula1>
            <xm:f>リスト!$A$32:$A$40</xm:f>
          </x14:formula1>
          <xm:sqref>I50 I17 S39 S6 S50 S17 I28 S28 I39 I6:I8</xm:sqref>
        </x14:dataValidation>
        <x14:dataValidation type="list" allowBlank="1" xr:uid="{DB787EC4-6E95-4D29-BB3A-0A92D394D431}">
          <x14:formula1>
            <xm:f>チラ裏ZONE!$V$44:$V$107</xm:f>
          </x14:formula1>
          <xm:sqref>G17:H19 G50:H52 Q50:R52 G28:H30 G39:H41 Q39:R41 Q28:R30 Q17:R19 Q6:R8 G6:H8</xm:sqref>
        </x14:dataValidation>
        <x14:dataValidation type="list" operator="equal" allowBlank="1" xr:uid="{76262175-34D8-4E69-BEE6-79D9B7CB848D}">
          <x14:formula1>
            <xm:f>リスト!$BA$2:$BA$154</xm:f>
          </x14:formula1>
          <xm:sqref>T40:T41 T18:T19 T7:T8 J18:J19 J51:J52 T29:T30 T51:T52 J29:J30 J40:J41</xm:sqref>
        </x14:dataValidation>
      </x14:dataValidations>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2F8732-8601-448A-961C-99DDBB780906}">
  <dimension ref="A1:U60"/>
  <sheetViews>
    <sheetView workbookViewId="0">
      <selection activeCell="G6" sqref="G6:H8"/>
    </sheetView>
  </sheetViews>
  <sheetFormatPr defaultRowHeight="12" x14ac:dyDescent="0.15"/>
  <sheetData>
    <row r="1" spans="1:21" x14ac:dyDescent="0.15">
      <c r="A1" s="422"/>
      <c r="B1" s="422"/>
      <c r="C1" s="422"/>
      <c r="D1" s="422"/>
      <c r="E1" s="422"/>
      <c r="F1" s="422"/>
      <c r="G1" s="422"/>
      <c r="H1" s="422"/>
      <c r="I1" s="422"/>
      <c r="J1" s="422"/>
      <c r="K1" s="422"/>
      <c r="L1" s="422"/>
      <c r="M1" s="422"/>
      <c r="N1" s="422"/>
      <c r="O1" s="422"/>
      <c r="P1" s="422"/>
      <c r="Q1" s="422"/>
      <c r="R1" s="422"/>
      <c r="S1" s="422"/>
      <c r="T1" s="422"/>
      <c r="U1" s="422"/>
    </row>
    <row r="2" spans="1:21" ht="12.75" thickBot="1" x14ac:dyDescent="0.2">
      <c r="A2" s="422"/>
      <c r="B2" s="422"/>
      <c r="C2" s="422"/>
      <c r="D2" s="422"/>
      <c r="E2" s="422"/>
      <c r="F2" s="422"/>
      <c r="G2" s="422"/>
      <c r="H2" s="422"/>
      <c r="I2" s="422"/>
      <c r="J2" s="422"/>
      <c r="K2" s="422"/>
      <c r="L2" s="422"/>
      <c r="M2" s="422"/>
      <c r="N2" s="422"/>
      <c r="O2" s="422"/>
      <c r="P2" s="422"/>
      <c r="Q2" s="422"/>
      <c r="R2" s="422"/>
      <c r="S2" s="422"/>
      <c r="T2" s="422"/>
      <c r="U2" s="422"/>
    </row>
    <row r="3" spans="1:21" ht="15" thickBot="1" x14ac:dyDescent="0.2">
      <c r="A3" s="422"/>
      <c r="B3" s="1225" t="s">
        <v>690</v>
      </c>
      <c r="C3" s="1225"/>
      <c r="D3" s="422"/>
      <c r="E3" s="422"/>
      <c r="F3" s="422"/>
      <c r="G3" s="422"/>
      <c r="H3" s="422"/>
      <c r="I3" s="422"/>
      <c r="J3" s="422"/>
      <c r="K3" s="422"/>
      <c r="L3" s="422"/>
      <c r="M3" s="422"/>
      <c r="N3" s="422"/>
      <c r="O3" s="422"/>
      <c r="P3" s="422"/>
      <c r="Q3" s="422"/>
      <c r="R3" s="422"/>
      <c r="S3" s="422"/>
      <c r="T3" s="422"/>
      <c r="U3" s="422"/>
    </row>
    <row r="4" spans="1:21" ht="12.75" thickBot="1" x14ac:dyDescent="0.2">
      <c r="A4" s="422"/>
      <c r="B4" s="422"/>
      <c r="C4" s="422"/>
      <c r="D4" s="422"/>
      <c r="E4" s="422"/>
      <c r="F4" s="422"/>
      <c r="G4" s="422"/>
      <c r="H4" s="422"/>
      <c r="I4" s="422"/>
      <c r="J4" s="422"/>
      <c r="K4" s="422"/>
      <c r="L4" s="422"/>
      <c r="M4" s="422"/>
      <c r="N4" s="422"/>
      <c r="O4" s="422"/>
      <c r="P4" s="422"/>
      <c r="Q4" s="422"/>
      <c r="R4" s="422"/>
      <c r="S4" s="422"/>
      <c r="T4" s="422"/>
      <c r="U4" s="422"/>
    </row>
    <row r="5" spans="1:21" ht="14.25" x14ac:dyDescent="0.15">
      <c r="A5" s="422"/>
      <c r="B5" s="806" t="s">
        <v>694</v>
      </c>
      <c r="C5" s="806"/>
      <c r="D5" s="806"/>
      <c r="E5" s="806"/>
      <c r="F5" s="806"/>
      <c r="G5" s="1226" t="s">
        <v>695</v>
      </c>
      <c r="H5" s="1226"/>
      <c r="I5" s="438" t="s">
        <v>696</v>
      </c>
      <c r="J5" s="439" t="s">
        <v>697</v>
      </c>
      <c r="K5" s="422"/>
      <c r="L5" s="806" t="s">
        <v>694</v>
      </c>
      <c r="M5" s="806"/>
      <c r="N5" s="806"/>
      <c r="O5" s="806"/>
      <c r="P5" s="806"/>
      <c r="Q5" s="1226" t="s">
        <v>695</v>
      </c>
      <c r="R5" s="1226"/>
      <c r="S5" s="438" t="s">
        <v>696</v>
      </c>
      <c r="T5" s="439" t="s">
        <v>697</v>
      </c>
      <c r="U5" s="422"/>
    </row>
    <row r="6" spans="1:21" x14ac:dyDescent="0.15">
      <c r="A6" s="422"/>
      <c r="B6" s="831"/>
      <c r="C6" s="831"/>
      <c r="D6" s="831"/>
      <c r="E6" s="831"/>
      <c r="F6" s="831"/>
      <c r="G6" s="829" t="s">
        <v>18</v>
      </c>
      <c r="H6" s="829"/>
      <c r="I6" s="829" t="s">
        <v>340</v>
      </c>
      <c r="J6" s="1224" t="s">
        <v>292</v>
      </c>
      <c r="K6" s="422"/>
      <c r="L6" s="831"/>
      <c r="M6" s="831"/>
      <c r="N6" s="831"/>
      <c r="O6" s="831"/>
      <c r="P6" s="831"/>
      <c r="Q6" s="829" t="s">
        <v>18</v>
      </c>
      <c r="R6" s="829"/>
      <c r="S6" s="829" t="s">
        <v>340</v>
      </c>
      <c r="T6" s="1224" t="s">
        <v>292</v>
      </c>
      <c r="U6" s="422"/>
    </row>
    <row r="7" spans="1:21" x14ac:dyDescent="0.15">
      <c r="A7" s="422"/>
      <c r="B7" s="831"/>
      <c r="C7" s="831"/>
      <c r="D7" s="831"/>
      <c r="E7" s="831"/>
      <c r="F7" s="831"/>
      <c r="G7" s="829"/>
      <c r="H7" s="829"/>
      <c r="I7" s="829"/>
      <c r="J7" s="1224"/>
      <c r="K7" s="422"/>
      <c r="L7" s="831"/>
      <c r="M7" s="831"/>
      <c r="N7" s="831"/>
      <c r="O7" s="831"/>
      <c r="P7" s="831"/>
      <c r="Q7" s="829"/>
      <c r="R7" s="829"/>
      <c r="S7" s="829"/>
      <c r="T7" s="1224"/>
      <c r="U7" s="422"/>
    </row>
    <row r="8" spans="1:21" x14ac:dyDescent="0.15">
      <c r="A8" s="422"/>
      <c r="B8" s="831"/>
      <c r="C8" s="831"/>
      <c r="D8" s="831"/>
      <c r="E8" s="831"/>
      <c r="F8" s="831"/>
      <c r="G8" s="829"/>
      <c r="H8" s="829"/>
      <c r="I8" s="829"/>
      <c r="J8" s="1224"/>
      <c r="K8" s="422"/>
      <c r="L8" s="831"/>
      <c r="M8" s="831"/>
      <c r="N8" s="831"/>
      <c r="O8" s="831"/>
      <c r="P8" s="831"/>
      <c r="Q8" s="829"/>
      <c r="R8" s="829"/>
      <c r="S8" s="829"/>
      <c r="T8" s="1224"/>
      <c r="U8" s="422"/>
    </row>
    <row r="9" spans="1:21" x14ac:dyDescent="0.15">
      <c r="A9" s="422"/>
      <c r="B9" s="813" t="s">
        <v>698</v>
      </c>
      <c r="C9" s="813"/>
      <c r="D9" s="813"/>
      <c r="E9" s="813"/>
      <c r="F9" s="813"/>
      <c r="G9" s="813"/>
      <c r="H9" s="813"/>
      <c r="I9" s="813"/>
      <c r="J9" s="813"/>
      <c r="K9" s="422"/>
      <c r="L9" s="813" t="s">
        <v>698</v>
      </c>
      <c r="M9" s="813"/>
      <c r="N9" s="813"/>
      <c r="O9" s="813"/>
      <c r="P9" s="813"/>
      <c r="Q9" s="813"/>
      <c r="R9" s="813"/>
      <c r="S9" s="813"/>
      <c r="T9" s="813"/>
      <c r="U9" s="422"/>
    </row>
    <row r="10" spans="1:21" ht="12.75" thickBot="1" x14ac:dyDescent="0.2">
      <c r="A10" s="422"/>
      <c r="B10" s="1227"/>
      <c r="C10" s="1227"/>
      <c r="D10" s="1227"/>
      <c r="E10" s="1227"/>
      <c r="F10" s="1227"/>
      <c r="G10" s="1227"/>
      <c r="H10" s="1227"/>
      <c r="I10" s="1227"/>
      <c r="J10" s="1227"/>
      <c r="K10" s="422"/>
      <c r="L10" s="1227"/>
      <c r="M10" s="1227"/>
      <c r="N10" s="1227"/>
      <c r="O10" s="1227"/>
      <c r="P10" s="1227"/>
      <c r="Q10" s="1227"/>
      <c r="R10" s="1227"/>
      <c r="S10" s="1227"/>
      <c r="T10" s="1227"/>
      <c r="U10" s="422"/>
    </row>
    <row r="11" spans="1:21" ht="12.75" thickBot="1" x14ac:dyDescent="0.2">
      <c r="A11" s="422"/>
      <c r="B11" s="1227"/>
      <c r="C11" s="1227"/>
      <c r="D11" s="1227"/>
      <c r="E11" s="1227"/>
      <c r="F11" s="1227"/>
      <c r="G11" s="1227"/>
      <c r="H11" s="1227"/>
      <c r="I11" s="1227"/>
      <c r="J11" s="1227"/>
      <c r="K11" s="422"/>
      <c r="L11" s="1227"/>
      <c r="M11" s="1227"/>
      <c r="N11" s="1227"/>
      <c r="O11" s="1227"/>
      <c r="P11" s="1227"/>
      <c r="Q11" s="1227"/>
      <c r="R11" s="1227"/>
      <c r="S11" s="1227"/>
      <c r="T11" s="1227"/>
      <c r="U11" s="422"/>
    </row>
    <row r="12" spans="1:21" ht="12.75" thickBot="1" x14ac:dyDescent="0.2">
      <c r="A12" s="422"/>
      <c r="B12" s="1227"/>
      <c r="C12" s="1227"/>
      <c r="D12" s="1227"/>
      <c r="E12" s="1227"/>
      <c r="F12" s="1227"/>
      <c r="G12" s="1227"/>
      <c r="H12" s="1227"/>
      <c r="I12" s="1227"/>
      <c r="J12" s="1227"/>
      <c r="K12" s="422"/>
      <c r="L12" s="1227"/>
      <c r="M12" s="1227"/>
      <c r="N12" s="1227"/>
      <c r="O12" s="1227"/>
      <c r="P12" s="1227"/>
      <c r="Q12" s="1227"/>
      <c r="R12" s="1227"/>
      <c r="S12" s="1227"/>
      <c r="T12" s="1227"/>
      <c r="U12" s="422"/>
    </row>
    <row r="13" spans="1:21" ht="12.75" thickBot="1" x14ac:dyDescent="0.2">
      <c r="A13" s="422"/>
      <c r="B13" s="1227"/>
      <c r="C13" s="1227"/>
      <c r="D13" s="1227"/>
      <c r="E13" s="1227"/>
      <c r="F13" s="1227"/>
      <c r="G13" s="1227"/>
      <c r="H13" s="1227"/>
      <c r="I13" s="1227"/>
      <c r="J13" s="1227"/>
      <c r="K13" s="422"/>
      <c r="L13" s="1227"/>
      <c r="M13" s="1227"/>
      <c r="N13" s="1227"/>
      <c r="O13" s="1227"/>
      <c r="P13" s="1227"/>
      <c r="Q13" s="1227"/>
      <c r="R13" s="1227"/>
      <c r="S13" s="1227"/>
      <c r="T13" s="1227"/>
      <c r="U13" s="422"/>
    </row>
    <row r="14" spans="1:21" ht="12.75" thickBot="1" x14ac:dyDescent="0.2">
      <c r="A14" s="422"/>
      <c r="B14" s="1227"/>
      <c r="C14" s="1227"/>
      <c r="D14" s="1227"/>
      <c r="E14" s="1227"/>
      <c r="F14" s="1227"/>
      <c r="G14" s="1227"/>
      <c r="H14" s="1227"/>
      <c r="I14" s="1227"/>
      <c r="J14" s="1227"/>
      <c r="K14" s="422"/>
      <c r="L14" s="1227"/>
      <c r="M14" s="1227"/>
      <c r="N14" s="1227"/>
      <c r="O14" s="1227"/>
      <c r="P14" s="1227"/>
      <c r="Q14" s="1227"/>
      <c r="R14" s="1227"/>
      <c r="S14" s="1227"/>
      <c r="T14" s="1227"/>
      <c r="U14" s="422"/>
    </row>
    <row r="15" spans="1:21" ht="12.75" thickBot="1" x14ac:dyDescent="0.2">
      <c r="A15" s="422"/>
      <c r="B15" s="422"/>
      <c r="C15" s="422"/>
      <c r="D15" s="422"/>
      <c r="E15" s="422"/>
      <c r="F15" s="422"/>
      <c r="G15" s="422"/>
      <c r="H15" s="422"/>
      <c r="I15" s="422"/>
      <c r="J15" s="422"/>
      <c r="K15" s="422"/>
      <c r="L15" s="422"/>
      <c r="M15" s="422"/>
      <c r="N15" s="422"/>
      <c r="O15" s="422"/>
      <c r="P15" s="422"/>
      <c r="Q15" s="422"/>
      <c r="R15" s="422"/>
      <c r="S15" s="422"/>
      <c r="T15" s="422"/>
      <c r="U15" s="422"/>
    </row>
    <row r="16" spans="1:21" ht="14.25" x14ac:dyDescent="0.15">
      <c r="A16" s="422"/>
      <c r="B16" s="806" t="s">
        <v>694</v>
      </c>
      <c r="C16" s="806"/>
      <c r="D16" s="806"/>
      <c r="E16" s="806"/>
      <c r="F16" s="806"/>
      <c r="G16" s="1226" t="s">
        <v>695</v>
      </c>
      <c r="H16" s="1226"/>
      <c r="I16" s="438" t="s">
        <v>696</v>
      </c>
      <c r="J16" s="439" t="s">
        <v>697</v>
      </c>
      <c r="K16" s="422"/>
      <c r="L16" s="806" t="s">
        <v>694</v>
      </c>
      <c r="M16" s="806"/>
      <c r="N16" s="806"/>
      <c r="O16" s="806"/>
      <c r="P16" s="806"/>
      <c r="Q16" s="1226" t="s">
        <v>695</v>
      </c>
      <c r="R16" s="1226"/>
      <c r="S16" s="438" t="s">
        <v>696</v>
      </c>
      <c r="T16" s="439" t="s">
        <v>697</v>
      </c>
      <c r="U16" s="422"/>
    </row>
    <row r="17" spans="1:21" x14ac:dyDescent="0.15">
      <c r="A17" s="422"/>
      <c r="B17" s="831"/>
      <c r="C17" s="831"/>
      <c r="D17" s="831"/>
      <c r="E17" s="831"/>
      <c r="F17" s="831"/>
      <c r="G17" s="829" t="s">
        <v>18</v>
      </c>
      <c r="H17" s="829"/>
      <c r="I17" s="829" t="s">
        <v>340</v>
      </c>
      <c r="J17" s="1224" t="s">
        <v>292</v>
      </c>
      <c r="K17" s="422"/>
      <c r="L17" s="831"/>
      <c r="M17" s="831"/>
      <c r="N17" s="831"/>
      <c r="O17" s="831"/>
      <c r="P17" s="831"/>
      <c r="Q17" s="829" t="s">
        <v>18</v>
      </c>
      <c r="R17" s="829"/>
      <c r="S17" s="829" t="s">
        <v>340</v>
      </c>
      <c r="T17" s="1224" t="s">
        <v>292</v>
      </c>
      <c r="U17" s="422"/>
    </row>
    <row r="18" spans="1:21" x14ac:dyDescent="0.15">
      <c r="A18" s="422"/>
      <c r="B18" s="831"/>
      <c r="C18" s="831"/>
      <c r="D18" s="831"/>
      <c r="E18" s="831"/>
      <c r="F18" s="831"/>
      <c r="G18" s="829"/>
      <c r="H18" s="829"/>
      <c r="I18" s="829"/>
      <c r="J18" s="1224"/>
      <c r="K18" s="422"/>
      <c r="L18" s="831"/>
      <c r="M18" s="831"/>
      <c r="N18" s="831"/>
      <c r="O18" s="831"/>
      <c r="P18" s="831"/>
      <c r="Q18" s="829"/>
      <c r="R18" s="829"/>
      <c r="S18" s="829"/>
      <c r="T18" s="1224"/>
      <c r="U18" s="422"/>
    </row>
    <row r="19" spans="1:21" x14ac:dyDescent="0.15">
      <c r="A19" s="422"/>
      <c r="B19" s="831"/>
      <c r="C19" s="831"/>
      <c r="D19" s="831"/>
      <c r="E19" s="831"/>
      <c r="F19" s="831"/>
      <c r="G19" s="829"/>
      <c r="H19" s="829"/>
      <c r="I19" s="829"/>
      <c r="J19" s="1224"/>
      <c r="K19" s="422"/>
      <c r="L19" s="831"/>
      <c r="M19" s="831"/>
      <c r="N19" s="831"/>
      <c r="O19" s="831"/>
      <c r="P19" s="831"/>
      <c r="Q19" s="829"/>
      <c r="R19" s="829"/>
      <c r="S19" s="829"/>
      <c r="T19" s="1224"/>
      <c r="U19" s="422"/>
    </row>
    <row r="20" spans="1:21" x14ac:dyDescent="0.15">
      <c r="A20" s="422"/>
      <c r="B20" s="813" t="s">
        <v>698</v>
      </c>
      <c r="C20" s="813"/>
      <c r="D20" s="813"/>
      <c r="E20" s="813"/>
      <c r="F20" s="813"/>
      <c r="G20" s="813"/>
      <c r="H20" s="813"/>
      <c r="I20" s="813"/>
      <c r="J20" s="813"/>
      <c r="K20" s="422"/>
      <c r="L20" s="813" t="s">
        <v>698</v>
      </c>
      <c r="M20" s="813"/>
      <c r="N20" s="813"/>
      <c r="O20" s="813"/>
      <c r="P20" s="813"/>
      <c r="Q20" s="813"/>
      <c r="R20" s="813"/>
      <c r="S20" s="813"/>
      <c r="T20" s="813"/>
      <c r="U20" s="422"/>
    </row>
    <row r="21" spans="1:21" ht="12.75" thickBot="1" x14ac:dyDescent="0.2">
      <c r="A21" s="422"/>
      <c r="B21" s="1227"/>
      <c r="C21" s="1227"/>
      <c r="D21" s="1227"/>
      <c r="E21" s="1227"/>
      <c r="F21" s="1227"/>
      <c r="G21" s="1227"/>
      <c r="H21" s="1227"/>
      <c r="I21" s="1227"/>
      <c r="J21" s="1227"/>
      <c r="K21" s="422"/>
      <c r="L21" s="1227"/>
      <c r="M21" s="1227"/>
      <c r="N21" s="1227"/>
      <c r="O21" s="1227"/>
      <c r="P21" s="1227"/>
      <c r="Q21" s="1227"/>
      <c r="R21" s="1227"/>
      <c r="S21" s="1227"/>
      <c r="T21" s="1227"/>
      <c r="U21" s="422"/>
    </row>
    <row r="22" spans="1:21" ht="12.75" thickBot="1" x14ac:dyDescent="0.2">
      <c r="A22" s="422"/>
      <c r="B22" s="1227"/>
      <c r="C22" s="1227"/>
      <c r="D22" s="1227"/>
      <c r="E22" s="1227"/>
      <c r="F22" s="1227"/>
      <c r="G22" s="1227"/>
      <c r="H22" s="1227"/>
      <c r="I22" s="1227"/>
      <c r="J22" s="1227"/>
      <c r="K22" s="422"/>
      <c r="L22" s="1227"/>
      <c r="M22" s="1227"/>
      <c r="N22" s="1227"/>
      <c r="O22" s="1227"/>
      <c r="P22" s="1227"/>
      <c r="Q22" s="1227"/>
      <c r="R22" s="1227"/>
      <c r="S22" s="1227"/>
      <c r="T22" s="1227"/>
      <c r="U22" s="422"/>
    </row>
    <row r="23" spans="1:21" ht="12.75" thickBot="1" x14ac:dyDescent="0.2">
      <c r="A23" s="422"/>
      <c r="B23" s="1227"/>
      <c r="C23" s="1227"/>
      <c r="D23" s="1227"/>
      <c r="E23" s="1227"/>
      <c r="F23" s="1227"/>
      <c r="G23" s="1227"/>
      <c r="H23" s="1227"/>
      <c r="I23" s="1227"/>
      <c r="J23" s="1227"/>
      <c r="K23" s="422"/>
      <c r="L23" s="1227"/>
      <c r="M23" s="1227"/>
      <c r="N23" s="1227"/>
      <c r="O23" s="1227"/>
      <c r="P23" s="1227"/>
      <c r="Q23" s="1227"/>
      <c r="R23" s="1227"/>
      <c r="S23" s="1227"/>
      <c r="T23" s="1227"/>
      <c r="U23" s="422"/>
    </row>
    <row r="24" spans="1:21" ht="12.75" thickBot="1" x14ac:dyDescent="0.2">
      <c r="A24" s="422"/>
      <c r="B24" s="1227"/>
      <c r="C24" s="1227"/>
      <c r="D24" s="1227"/>
      <c r="E24" s="1227"/>
      <c r="F24" s="1227"/>
      <c r="G24" s="1227"/>
      <c r="H24" s="1227"/>
      <c r="I24" s="1227"/>
      <c r="J24" s="1227"/>
      <c r="K24" s="422"/>
      <c r="L24" s="1227"/>
      <c r="M24" s="1227"/>
      <c r="N24" s="1227"/>
      <c r="O24" s="1227"/>
      <c r="P24" s="1227"/>
      <c r="Q24" s="1227"/>
      <c r="R24" s="1227"/>
      <c r="S24" s="1227"/>
      <c r="T24" s="1227"/>
      <c r="U24" s="422"/>
    </row>
    <row r="25" spans="1:21" ht="12.75" thickBot="1" x14ac:dyDescent="0.2">
      <c r="A25" s="422"/>
      <c r="B25" s="1227"/>
      <c r="C25" s="1227"/>
      <c r="D25" s="1227"/>
      <c r="E25" s="1227"/>
      <c r="F25" s="1227"/>
      <c r="G25" s="1227"/>
      <c r="H25" s="1227"/>
      <c r="I25" s="1227"/>
      <c r="J25" s="1227"/>
      <c r="K25" s="422"/>
      <c r="L25" s="1227"/>
      <c r="M25" s="1227"/>
      <c r="N25" s="1227"/>
      <c r="O25" s="1227"/>
      <c r="P25" s="1227"/>
      <c r="Q25" s="1227"/>
      <c r="R25" s="1227"/>
      <c r="S25" s="1227"/>
      <c r="T25" s="1227"/>
      <c r="U25" s="422"/>
    </row>
    <row r="26" spans="1:21" ht="12.75" thickBot="1" x14ac:dyDescent="0.2">
      <c r="A26" s="422"/>
      <c r="B26" s="422"/>
      <c r="C26" s="422"/>
      <c r="D26" s="422"/>
      <c r="E26" s="422"/>
      <c r="F26" s="422"/>
      <c r="G26" s="422"/>
      <c r="H26" s="422"/>
      <c r="I26" s="422"/>
      <c r="J26" s="422"/>
      <c r="K26" s="422"/>
      <c r="L26" s="422"/>
      <c r="M26" s="422"/>
      <c r="N26" s="422"/>
      <c r="O26" s="422"/>
      <c r="P26" s="422"/>
      <c r="Q26" s="422"/>
      <c r="R26" s="422"/>
      <c r="S26" s="422"/>
      <c r="T26" s="422"/>
      <c r="U26" s="422"/>
    </row>
    <row r="27" spans="1:21" ht="14.25" x14ac:dyDescent="0.15">
      <c r="A27" s="422"/>
      <c r="B27" s="806" t="s">
        <v>694</v>
      </c>
      <c r="C27" s="806"/>
      <c r="D27" s="806"/>
      <c r="E27" s="806"/>
      <c r="F27" s="806"/>
      <c r="G27" s="1226" t="s">
        <v>695</v>
      </c>
      <c r="H27" s="1226"/>
      <c r="I27" s="438" t="s">
        <v>696</v>
      </c>
      <c r="J27" s="439" t="s">
        <v>697</v>
      </c>
      <c r="K27" s="422"/>
      <c r="L27" s="806" t="s">
        <v>694</v>
      </c>
      <c r="M27" s="806"/>
      <c r="N27" s="806"/>
      <c r="O27" s="806"/>
      <c r="P27" s="806"/>
      <c r="Q27" s="1226" t="s">
        <v>695</v>
      </c>
      <c r="R27" s="1226"/>
      <c r="S27" s="438" t="s">
        <v>696</v>
      </c>
      <c r="T27" s="439" t="s">
        <v>697</v>
      </c>
      <c r="U27" s="422"/>
    </row>
    <row r="28" spans="1:21" x14ac:dyDescent="0.15">
      <c r="A28" s="422"/>
      <c r="B28" s="831"/>
      <c r="C28" s="831"/>
      <c r="D28" s="831"/>
      <c r="E28" s="831"/>
      <c r="F28" s="831"/>
      <c r="G28" s="829" t="s">
        <v>18</v>
      </c>
      <c r="H28" s="829"/>
      <c r="I28" s="829" t="s">
        <v>340</v>
      </c>
      <c r="J28" s="1224" t="s">
        <v>292</v>
      </c>
      <c r="K28" s="422"/>
      <c r="L28" s="831"/>
      <c r="M28" s="831"/>
      <c r="N28" s="831"/>
      <c r="O28" s="831"/>
      <c r="P28" s="831"/>
      <c r="Q28" s="829" t="s">
        <v>18</v>
      </c>
      <c r="R28" s="829"/>
      <c r="S28" s="829" t="s">
        <v>340</v>
      </c>
      <c r="T28" s="1224" t="s">
        <v>292</v>
      </c>
      <c r="U28" s="422"/>
    </row>
    <row r="29" spans="1:21" x14ac:dyDescent="0.15">
      <c r="A29" s="422"/>
      <c r="B29" s="831"/>
      <c r="C29" s="831"/>
      <c r="D29" s="831"/>
      <c r="E29" s="831"/>
      <c r="F29" s="831"/>
      <c r="G29" s="829"/>
      <c r="H29" s="829"/>
      <c r="I29" s="829"/>
      <c r="J29" s="1224"/>
      <c r="K29" s="422"/>
      <c r="L29" s="831"/>
      <c r="M29" s="831"/>
      <c r="N29" s="831"/>
      <c r="O29" s="831"/>
      <c r="P29" s="831"/>
      <c r="Q29" s="829"/>
      <c r="R29" s="829"/>
      <c r="S29" s="829"/>
      <c r="T29" s="1224"/>
      <c r="U29" s="422"/>
    </row>
    <row r="30" spans="1:21" x14ac:dyDescent="0.15">
      <c r="A30" s="422"/>
      <c r="B30" s="831"/>
      <c r="C30" s="831"/>
      <c r="D30" s="831"/>
      <c r="E30" s="831"/>
      <c r="F30" s="831"/>
      <c r="G30" s="829"/>
      <c r="H30" s="829"/>
      <c r="I30" s="829"/>
      <c r="J30" s="1224"/>
      <c r="K30" s="422"/>
      <c r="L30" s="831"/>
      <c r="M30" s="831"/>
      <c r="N30" s="831"/>
      <c r="O30" s="831"/>
      <c r="P30" s="831"/>
      <c r="Q30" s="829"/>
      <c r="R30" s="829"/>
      <c r="S30" s="829"/>
      <c r="T30" s="1224"/>
      <c r="U30" s="422"/>
    </row>
    <row r="31" spans="1:21" x14ac:dyDescent="0.15">
      <c r="A31" s="422"/>
      <c r="B31" s="813" t="s">
        <v>698</v>
      </c>
      <c r="C31" s="813"/>
      <c r="D31" s="813"/>
      <c r="E31" s="813"/>
      <c r="F31" s="813"/>
      <c r="G31" s="813"/>
      <c r="H31" s="813"/>
      <c r="I31" s="813"/>
      <c r="J31" s="813"/>
      <c r="K31" s="422"/>
      <c r="L31" s="813" t="s">
        <v>698</v>
      </c>
      <c r="M31" s="813"/>
      <c r="N31" s="813"/>
      <c r="O31" s="813"/>
      <c r="P31" s="813"/>
      <c r="Q31" s="813"/>
      <c r="R31" s="813"/>
      <c r="S31" s="813"/>
      <c r="T31" s="813"/>
      <c r="U31" s="422"/>
    </row>
    <row r="32" spans="1:21" ht="12.75" thickBot="1" x14ac:dyDescent="0.2">
      <c r="A32" s="422"/>
      <c r="B32" s="1227"/>
      <c r="C32" s="1227"/>
      <c r="D32" s="1227"/>
      <c r="E32" s="1227"/>
      <c r="F32" s="1227"/>
      <c r="G32" s="1227"/>
      <c r="H32" s="1227"/>
      <c r="I32" s="1227"/>
      <c r="J32" s="1227"/>
      <c r="K32" s="422"/>
      <c r="L32" s="1227"/>
      <c r="M32" s="1227"/>
      <c r="N32" s="1227"/>
      <c r="O32" s="1227"/>
      <c r="P32" s="1227"/>
      <c r="Q32" s="1227"/>
      <c r="R32" s="1227"/>
      <c r="S32" s="1227"/>
      <c r="T32" s="1227"/>
      <c r="U32" s="422"/>
    </row>
    <row r="33" spans="1:21" ht="12.75" thickBot="1" x14ac:dyDescent="0.2">
      <c r="A33" s="422"/>
      <c r="B33" s="1227"/>
      <c r="C33" s="1227"/>
      <c r="D33" s="1227"/>
      <c r="E33" s="1227"/>
      <c r="F33" s="1227"/>
      <c r="G33" s="1227"/>
      <c r="H33" s="1227"/>
      <c r="I33" s="1227"/>
      <c r="J33" s="1227"/>
      <c r="K33" s="422"/>
      <c r="L33" s="1227"/>
      <c r="M33" s="1227"/>
      <c r="N33" s="1227"/>
      <c r="O33" s="1227"/>
      <c r="P33" s="1227"/>
      <c r="Q33" s="1227"/>
      <c r="R33" s="1227"/>
      <c r="S33" s="1227"/>
      <c r="T33" s="1227"/>
      <c r="U33" s="422"/>
    </row>
    <row r="34" spans="1:21" ht="12.75" thickBot="1" x14ac:dyDescent="0.2">
      <c r="A34" s="422"/>
      <c r="B34" s="1227"/>
      <c r="C34" s="1227"/>
      <c r="D34" s="1227"/>
      <c r="E34" s="1227"/>
      <c r="F34" s="1227"/>
      <c r="G34" s="1227"/>
      <c r="H34" s="1227"/>
      <c r="I34" s="1227"/>
      <c r="J34" s="1227"/>
      <c r="K34" s="422"/>
      <c r="L34" s="1227"/>
      <c r="M34" s="1227"/>
      <c r="N34" s="1227"/>
      <c r="O34" s="1227"/>
      <c r="P34" s="1227"/>
      <c r="Q34" s="1227"/>
      <c r="R34" s="1227"/>
      <c r="S34" s="1227"/>
      <c r="T34" s="1227"/>
      <c r="U34" s="422"/>
    </row>
    <row r="35" spans="1:21" ht="12.75" thickBot="1" x14ac:dyDescent="0.2">
      <c r="A35" s="422"/>
      <c r="B35" s="1227"/>
      <c r="C35" s="1227"/>
      <c r="D35" s="1227"/>
      <c r="E35" s="1227"/>
      <c r="F35" s="1227"/>
      <c r="G35" s="1227"/>
      <c r="H35" s="1227"/>
      <c r="I35" s="1227"/>
      <c r="J35" s="1227"/>
      <c r="K35" s="422"/>
      <c r="L35" s="1227"/>
      <c r="M35" s="1227"/>
      <c r="N35" s="1227"/>
      <c r="O35" s="1227"/>
      <c r="P35" s="1227"/>
      <c r="Q35" s="1227"/>
      <c r="R35" s="1227"/>
      <c r="S35" s="1227"/>
      <c r="T35" s="1227"/>
      <c r="U35" s="422"/>
    </row>
    <row r="36" spans="1:21" ht="12.75" thickBot="1" x14ac:dyDescent="0.2">
      <c r="A36" s="422"/>
      <c r="B36" s="1227"/>
      <c r="C36" s="1227"/>
      <c r="D36" s="1227"/>
      <c r="E36" s="1227"/>
      <c r="F36" s="1227"/>
      <c r="G36" s="1227"/>
      <c r="H36" s="1227"/>
      <c r="I36" s="1227"/>
      <c r="J36" s="1227"/>
      <c r="K36" s="422"/>
      <c r="L36" s="1227"/>
      <c r="M36" s="1227"/>
      <c r="N36" s="1227"/>
      <c r="O36" s="1227"/>
      <c r="P36" s="1227"/>
      <c r="Q36" s="1227"/>
      <c r="R36" s="1227"/>
      <c r="S36" s="1227"/>
      <c r="T36" s="1227"/>
      <c r="U36" s="422"/>
    </row>
    <row r="37" spans="1:21" ht="12.75" thickBot="1" x14ac:dyDescent="0.2">
      <c r="A37" s="422"/>
      <c r="B37" s="422"/>
      <c r="C37" s="422"/>
      <c r="D37" s="422"/>
      <c r="E37" s="422"/>
      <c r="F37" s="422"/>
      <c r="G37" s="422"/>
      <c r="H37" s="422"/>
      <c r="I37" s="422"/>
      <c r="J37" s="422"/>
      <c r="K37" s="422"/>
      <c r="L37" s="422"/>
      <c r="M37" s="422"/>
      <c r="N37" s="422"/>
      <c r="O37" s="422"/>
      <c r="P37" s="422"/>
      <c r="Q37" s="422"/>
      <c r="R37" s="422"/>
      <c r="S37" s="422"/>
      <c r="T37" s="422"/>
      <c r="U37" s="422"/>
    </row>
    <row r="38" spans="1:21" ht="14.25" x14ac:dyDescent="0.15">
      <c r="A38" s="422"/>
      <c r="B38" s="806" t="s">
        <v>694</v>
      </c>
      <c r="C38" s="806"/>
      <c r="D38" s="806"/>
      <c r="E38" s="806"/>
      <c r="F38" s="806"/>
      <c r="G38" s="1226" t="s">
        <v>695</v>
      </c>
      <c r="H38" s="1226"/>
      <c r="I38" s="438" t="s">
        <v>696</v>
      </c>
      <c r="J38" s="439" t="s">
        <v>697</v>
      </c>
      <c r="K38" s="422"/>
      <c r="L38" s="806" t="s">
        <v>694</v>
      </c>
      <c r="M38" s="806"/>
      <c r="N38" s="806"/>
      <c r="O38" s="806"/>
      <c r="P38" s="806"/>
      <c r="Q38" s="1226" t="s">
        <v>695</v>
      </c>
      <c r="R38" s="1226"/>
      <c r="S38" s="438" t="s">
        <v>696</v>
      </c>
      <c r="T38" s="439" t="s">
        <v>697</v>
      </c>
      <c r="U38" s="422"/>
    </row>
    <row r="39" spans="1:21" x14ac:dyDescent="0.15">
      <c r="A39" s="422"/>
      <c r="B39" s="831"/>
      <c r="C39" s="831"/>
      <c r="D39" s="831"/>
      <c r="E39" s="831"/>
      <c r="F39" s="831"/>
      <c r="G39" s="829" t="s">
        <v>18</v>
      </c>
      <c r="H39" s="829"/>
      <c r="I39" s="829" t="s">
        <v>340</v>
      </c>
      <c r="J39" s="1224" t="s">
        <v>292</v>
      </c>
      <c r="K39" s="422"/>
      <c r="L39" s="831"/>
      <c r="M39" s="831"/>
      <c r="N39" s="831"/>
      <c r="O39" s="831"/>
      <c r="P39" s="831"/>
      <c r="Q39" s="829" t="s">
        <v>18</v>
      </c>
      <c r="R39" s="829"/>
      <c r="S39" s="829" t="s">
        <v>340</v>
      </c>
      <c r="T39" s="1224" t="s">
        <v>292</v>
      </c>
      <c r="U39" s="422"/>
    </row>
    <row r="40" spans="1:21" x14ac:dyDescent="0.15">
      <c r="A40" s="422"/>
      <c r="B40" s="831"/>
      <c r="C40" s="831"/>
      <c r="D40" s="831"/>
      <c r="E40" s="831"/>
      <c r="F40" s="831"/>
      <c r="G40" s="829"/>
      <c r="H40" s="829"/>
      <c r="I40" s="829"/>
      <c r="J40" s="1224"/>
      <c r="K40" s="422"/>
      <c r="L40" s="831"/>
      <c r="M40" s="831"/>
      <c r="N40" s="831"/>
      <c r="O40" s="831"/>
      <c r="P40" s="831"/>
      <c r="Q40" s="829"/>
      <c r="R40" s="829"/>
      <c r="S40" s="829"/>
      <c r="T40" s="1224"/>
      <c r="U40" s="422"/>
    </row>
    <row r="41" spans="1:21" x14ac:dyDescent="0.15">
      <c r="A41" s="422"/>
      <c r="B41" s="831"/>
      <c r="C41" s="831"/>
      <c r="D41" s="831"/>
      <c r="E41" s="831"/>
      <c r="F41" s="831"/>
      <c r="G41" s="829"/>
      <c r="H41" s="829"/>
      <c r="I41" s="829"/>
      <c r="J41" s="1224"/>
      <c r="K41" s="422"/>
      <c r="L41" s="831"/>
      <c r="M41" s="831"/>
      <c r="N41" s="831"/>
      <c r="O41" s="831"/>
      <c r="P41" s="831"/>
      <c r="Q41" s="829"/>
      <c r="R41" s="829"/>
      <c r="S41" s="829"/>
      <c r="T41" s="1224"/>
      <c r="U41" s="422"/>
    </row>
    <row r="42" spans="1:21" x14ac:dyDescent="0.15">
      <c r="A42" s="422"/>
      <c r="B42" s="813" t="s">
        <v>698</v>
      </c>
      <c r="C42" s="813"/>
      <c r="D42" s="813"/>
      <c r="E42" s="813"/>
      <c r="F42" s="813"/>
      <c r="G42" s="813"/>
      <c r="H42" s="813"/>
      <c r="I42" s="813"/>
      <c r="J42" s="813"/>
      <c r="K42" s="422"/>
      <c r="L42" s="813" t="s">
        <v>698</v>
      </c>
      <c r="M42" s="813"/>
      <c r="N42" s="813"/>
      <c r="O42" s="813"/>
      <c r="P42" s="813"/>
      <c r="Q42" s="813"/>
      <c r="R42" s="813"/>
      <c r="S42" s="813"/>
      <c r="T42" s="813"/>
      <c r="U42" s="422"/>
    </row>
    <row r="43" spans="1:21" ht="12.75" thickBot="1" x14ac:dyDescent="0.2">
      <c r="A43" s="422"/>
      <c r="B43" s="1227"/>
      <c r="C43" s="1227"/>
      <c r="D43" s="1227"/>
      <c r="E43" s="1227"/>
      <c r="F43" s="1227"/>
      <c r="G43" s="1227"/>
      <c r="H43" s="1227"/>
      <c r="I43" s="1227"/>
      <c r="J43" s="1227"/>
      <c r="K43" s="422"/>
      <c r="L43" s="1227"/>
      <c r="M43" s="1227"/>
      <c r="N43" s="1227"/>
      <c r="O43" s="1227"/>
      <c r="P43" s="1227"/>
      <c r="Q43" s="1227"/>
      <c r="R43" s="1227"/>
      <c r="S43" s="1227"/>
      <c r="T43" s="1227"/>
      <c r="U43" s="422"/>
    </row>
    <row r="44" spans="1:21" ht="12.75" thickBot="1" x14ac:dyDescent="0.2">
      <c r="A44" s="422"/>
      <c r="B44" s="1227"/>
      <c r="C44" s="1227"/>
      <c r="D44" s="1227"/>
      <c r="E44" s="1227"/>
      <c r="F44" s="1227"/>
      <c r="G44" s="1227"/>
      <c r="H44" s="1227"/>
      <c r="I44" s="1227"/>
      <c r="J44" s="1227"/>
      <c r="K44" s="422"/>
      <c r="L44" s="1227"/>
      <c r="M44" s="1227"/>
      <c r="N44" s="1227"/>
      <c r="O44" s="1227"/>
      <c r="P44" s="1227"/>
      <c r="Q44" s="1227"/>
      <c r="R44" s="1227"/>
      <c r="S44" s="1227"/>
      <c r="T44" s="1227"/>
      <c r="U44" s="422"/>
    </row>
    <row r="45" spans="1:21" ht="12.75" thickBot="1" x14ac:dyDescent="0.2">
      <c r="A45" s="422"/>
      <c r="B45" s="1227"/>
      <c r="C45" s="1227"/>
      <c r="D45" s="1227"/>
      <c r="E45" s="1227"/>
      <c r="F45" s="1227"/>
      <c r="G45" s="1227"/>
      <c r="H45" s="1227"/>
      <c r="I45" s="1227"/>
      <c r="J45" s="1227"/>
      <c r="K45" s="422"/>
      <c r="L45" s="1227"/>
      <c r="M45" s="1227"/>
      <c r="N45" s="1227"/>
      <c r="O45" s="1227"/>
      <c r="P45" s="1227"/>
      <c r="Q45" s="1227"/>
      <c r="R45" s="1227"/>
      <c r="S45" s="1227"/>
      <c r="T45" s="1227"/>
      <c r="U45" s="422"/>
    </row>
    <row r="46" spans="1:21" ht="12.75" thickBot="1" x14ac:dyDescent="0.2">
      <c r="A46" s="422"/>
      <c r="B46" s="1227"/>
      <c r="C46" s="1227"/>
      <c r="D46" s="1227"/>
      <c r="E46" s="1227"/>
      <c r="F46" s="1227"/>
      <c r="G46" s="1227"/>
      <c r="H46" s="1227"/>
      <c r="I46" s="1227"/>
      <c r="J46" s="1227"/>
      <c r="K46" s="422"/>
      <c r="L46" s="1227"/>
      <c r="M46" s="1227"/>
      <c r="N46" s="1227"/>
      <c r="O46" s="1227"/>
      <c r="P46" s="1227"/>
      <c r="Q46" s="1227"/>
      <c r="R46" s="1227"/>
      <c r="S46" s="1227"/>
      <c r="T46" s="1227"/>
      <c r="U46" s="422"/>
    </row>
    <row r="47" spans="1:21" ht="12.75" thickBot="1" x14ac:dyDescent="0.2">
      <c r="A47" s="422"/>
      <c r="B47" s="1227"/>
      <c r="C47" s="1227"/>
      <c r="D47" s="1227"/>
      <c r="E47" s="1227"/>
      <c r="F47" s="1227"/>
      <c r="G47" s="1227"/>
      <c r="H47" s="1227"/>
      <c r="I47" s="1227"/>
      <c r="J47" s="1227"/>
      <c r="K47" s="422"/>
      <c r="L47" s="1227"/>
      <c r="M47" s="1227"/>
      <c r="N47" s="1227"/>
      <c r="O47" s="1227"/>
      <c r="P47" s="1227"/>
      <c r="Q47" s="1227"/>
      <c r="R47" s="1227"/>
      <c r="S47" s="1227"/>
      <c r="T47" s="1227"/>
      <c r="U47" s="422"/>
    </row>
    <row r="48" spans="1:21" ht="12.75" thickBot="1" x14ac:dyDescent="0.2">
      <c r="A48" s="422"/>
      <c r="B48" s="422"/>
      <c r="C48" s="422"/>
      <c r="D48" s="422"/>
      <c r="E48" s="422"/>
      <c r="F48" s="422"/>
      <c r="G48" s="422"/>
      <c r="H48" s="422"/>
      <c r="I48" s="422"/>
      <c r="J48" s="422"/>
      <c r="K48" s="422"/>
      <c r="L48" s="422"/>
      <c r="M48" s="422"/>
      <c r="N48" s="422"/>
      <c r="O48" s="422"/>
      <c r="P48" s="422"/>
      <c r="Q48" s="422"/>
      <c r="R48" s="422"/>
      <c r="S48" s="422"/>
      <c r="T48" s="422"/>
      <c r="U48" s="422"/>
    </row>
    <row r="49" spans="1:21" ht="14.25" x14ac:dyDescent="0.15">
      <c r="A49" s="422"/>
      <c r="B49" s="806" t="s">
        <v>694</v>
      </c>
      <c r="C49" s="806"/>
      <c r="D49" s="806"/>
      <c r="E49" s="806"/>
      <c r="F49" s="806"/>
      <c r="G49" s="1226" t="s">
        <v>695</v>
      </c>
      <c r="H49" s="1226"/>
      <c r="I49" s="438" t="s">
        <v>696</v>
      </c>
      <c r="J49" s="439" t="s">
        <v>697</v>
      </c>
      <c r="K49" s="422"/>
      <c r="L49" s="806" t="s">
        <v>694</v>
      </c>
      <c r="M49" s="806"/>
      <c r="N49" s="806"/>
      <c r="O49" s="806"/>
      <c r="P49" s="806"/>
      <c r="Q49" s="1226" t="s">
        <v>695</v>
      </c>
      <c r="R49" s="1226"/>
      <c r="S49" s="438" t="s">
        <v>696</v>
      </c>
      <c r="T49" s="439" t="s">
        <v>697</v>
      </c>
      <c r="U49" s="422"/>
    </row>
    <row r="50" spans="1:21" x14ac:dyDescent="0.15">
      <c r="A50" s="422"/>
      <c r="B50" s="831"/>
      <c r="C50" s="831"/>
      <c r="D50" s="831"/>
      <c r="E50" s="831"/>
      <c r="F50" s="831"/>
      <c r="G50" s="829" t="s">
        <v>18</v>
      </c>
      <c r="H50" s="829"/>
      <c r="I50" s="829" t="s">
        <v>340</v>
      </c>
      <c r="J50" s="1224" t="s">
        <v>292</v>
      </c>
      <c r="K50" s="422"/>
      <c r="L50" s="831"/>
      <c r="M50" s="831"/>
      <c r="N50" s="831"/>
      <c r="O50" s="831"/>
      <c r="P50" s="831"/>
      <c r="Q50" s="829" t="s">
        <v>18</v>
      </c>
      <c r="R50" s="829"/>
      <c r="S50" s="829" t="s">
        <v>340</v>
      </c>
      <c r="T50" s="1224" t="s">
        <v>292</v>
      </c>
      <c r="U50" s="422"/>
    </row>
    <row r="51" spans="1:21" x14ac:dyDescent="0.15">
      <c r="A51" s="422"/>
      <c r="B51" s="831"/>
      <c r="C51" s="831"/>
      <c r="D51" s="831"/>
      <c r="E51" s="831"/>
      <c r="F51" s="831"/>
      <c r="G51" s="829"/>
      <c r="H51" s="829"/>
      <c r="I51" s="829"/>
      <c r="J51" s="1224"/>
      <c r="K51" s="422"/>
      <c r="L51" s="831"/>
      <c r="M51" s="831"/>
      <c r="N51" s="831"/>
      <c r="O51" s="831"/>
      <c r="P51" s="831"/>
      <c r="Q51" s="829"/>
      <c r="R51" s="829"/>
      <c r="S51" s="829"/>
      <c r="T51" s="1224"/>
      <c r="U51" s="422"/>
    </row>
    <row r="52" spans="1:21" x14ac:dyDescent="0.15">
      <c r="A52" s="422"/>
      <c r="B52" s="831"/>
      <c r="C52" s="831"/>
      <c r="D52" s="831"/>
      <c r="E52" s="831"/>
      <c r="F52" s="831"/>
      <c r="G52" s="829"/>
      <c r="H52" s="829"/>
      <c r="I52" s="829"/>
      <c r="J52" s="1224"/>
      <c r="K52" s="422"/>
      <c r="L52" s="831"/>
      <c r="M52" s="831"/>
      <c r="N52" s="831"/>
      <c r="O52" s="831"/>
      <c r="P52" s="831"/>
      <c r="Q52" s="829"/>
      <c r="R52" s="829"/>
      <c r="S52" s="829"/>
      <c r="T52" s="1224"/>
      <c r="U52" s="422"/>
    </row>
    <row r="53" spans="1:21" x14ac:dyDescent="0.15">
      <c r="A53" s="422"/>
      <c r="B53" s="813" t="s">
        <v>698</v>
      </c>
      <c r="C53" s="813"/>
      <c r="D53" s="813"/>
      <c r="E53" s="813"/>
      <c r="F53" s="813"/>
      <c r="G53" s="813"/>
      <c r="H53" s="813"/>
      <c r="I53" s="813"/>
      <c r="J53" s="813"/>
      <c r="K53" s="422"/>
      <c r="L53" s="813" t="s">
        <v>698</v>
      </c>
      <c r="M53" s="813"/>
      <c r="N53" s="813"/>
      <c r="O53" s="813"/>
      <c r="P53" s="813"/>
      <c r="Q53" s="813"/>
      <c r="R53" s="813"/>
      <c r="S53" s="813"/>
      <c r="T53" s="813"/>
      <c r="U53" s="422"/>
    </row>
    <row r="54" spans="1:21" ht="12.75" thickBot="1" x14ac:dyDescent="0.2">
      <c r="A54" s="422"/>
      <c r="B54" s="1227"/>
      <c r="C54" s="1227"/>
      <c r="D54" s="1227"/>
      <c r="E54" s="1227"/>
      <c r="F54" s="1227"/>
      <c r="G54" s="1227"/>
      <c r="H54" s="1227"/>
      <c r="I54" s="1227"/>
      <c r="J54" s="1227"/>
      <c r="K54" s="422"/>
      <c r="L54" s="1227"/>
      <c r="M54" s="1227"/>
      <c r="N54" s="1227"/>
      <c r="O54" s="1227"/>
      <c r="P54" s="1227"/>
      <c r="Q54" s="1227"/>
      <c r="R54" s="1227"/>
      <c r="S54" s="1227"/>
      <c r="T54" s="1227"/>
      <c r="U54" s="422"/>
    </row>
    <row r="55" spans="1:21" ht="12.75" thickBot="1" x14ac:dyDescent="0.2">
      <c r="A55" s="422"/>
      <c r="B55" s="1227"/>
      <c r="C55" s="1227"/>
      <c r="D55" s="1227"/>
      <c r="E55" s="1227"/>
      <c r="F55" s="1227"/>
      <c r="G55" s="1227"/>
      <c r="H55" s="1227"/>
      <c r="I55" s="1227"/>
      <c r="J55" s="1227"/>
      <c r="K55" s="422"/>
      <c r="L55" s="1227"/>
      <c r="M55" s="1227"/>
      <c r="N55" s="1227"/>
      <c r="O55" s="1227"/>
      <c r="P55" s="1227"/>
      <c r="Q55" s="1227"/>
      <c r="R55" s="1227"/>
      <c r="S55" s="1227"/>
      <c r="T55" s="1227"/>
      <c r="U55" s="422"/>
    </row>
    <row r="56" spans="1:21" ht="12.75" thickBot="1" x14ac:dyDescent="0.2">
      <c r="A56" s="422"/>
      <c r="B56" s="1227"/>
      <c r="C56" s="1227"/>
      <c r="D56" s="1227"/>
      <c r="E56" s="1227"/>
      <c r="F56" s="1227"/>
      <c r="G56" s="1227"/>
      <c r="H56" s="1227"/>
      <c r="I56" s="1227"/>
      <c r="J56" s="1227"/>
      <c r="K56" s="422"/>
      <c r="L56" s="1227"/>
      <c r="M56" s="1227"/>
      <c r="N56" s="1227"/>
      <c r="O56" s="1227"/>
      <c r="P56" s="1227"/>
      <c r="Q56" s="1227"/>
      <c r="R56" s="1227"/>
      <c r="S56" s="1227"/>
      <c r="T56" s="1227"/>
      <c r="U56" s="422"/>
    </row>
    <row r="57" spans="1:21" ht="12.75" thickBot="1" x14ac:dyDescent="0.2">
      <c r="A57" s="422"/>
      <c r="B57" s="1227"/>
      <c r="C57" s="1227"/>
      <c r="D57" s="1227"/>
      <c r="E57" s="1227"/>
      <c r="F57" s="1227"/>
      <c r="G57" s="1227"/>
      <c r="H57" s="1227"/>
      <c r="I57" s="1227"/>
      <c r="J57" s="1227"/>
      <c r="K57" s="422"/>
      <c r="L57" s="1227"/>
      <c r="M57" s="1227"/>
      <c r="N57" s="1227"/>
      <c r="O57" s="1227"/>
      <c r="P57" s="1227"/>
      <c r="Q57" s="1227"/>
      <c r="R57" s="1227"/>
      <c r="S57" s="1227"/>
      <c r="T57" s="1227"/>
      <c r="U57" s="422"/>
    </row>
    <row r="58" spans="1:21" ht="12.75" thickBot="1" x14ac:dyDescent="0.2">
      <c r="A58" s="422"/>
      <c r="B58" s="1227"/>
      <c r="C58" s="1227"/>
      <c r="D58" s="1227"/>
      <c r="E58" s="1227"/>
      <c r="F58" s="1227"/>
      <c r="G58" s="1227"/>
      <c r="H58" s="1227"/>
      <c r="I58" s="1227"/>
      <c r="J58" s="1227"/>
      <c r="K58" s="422"/>
      <c r="L58" s="1227"/>
      <c r="M58" s="1227"/>
      <c r="N58" s="1227"/>
      <c r="O58" s="1227"/>
      <c r="P58" s="1227"/>
      <c r="Q58" s="1227"/>
      <c r="R58" s="1227"/>
      <c r="S58" s="1227"/>
      <c r="T58" s="1227"/>
      <c r="U58" s="422"/>
    </row>
    <row r="59" spans="1:21" x14ac:dyDescent="0.15">
      <c r="A59" s="422"/>
      <c r="B59" s="422"/>
      <c r="C59" s="422"/>
      <c r="D59" s="422"/>
      <c r="E59" s="422"/>
      <c r="F59" s="422"/>
      <c r="G59" s="422"/>
      <c r="H59" s="422"/>
      <c r="I59" s="422"/>
      <c r="J59" s="422"/>
      <c r="K59" s="422"/>
      <c r="L59" s="422"/>
      <c r="M59" s="422"/>
      <c r="N59" s="422"/>
      <c r="O59" s="422"/>
      <c r="P59" s="422"/>
      <c r="Q59" s="422"/>
      <c r="R59" s="422"/>
      <c r="S59" s="422"/>
      <c r="T59" s="422"/>
      <c r="U59" s="422"/>
    </row>
    <row r="60" spans="1:21" x14ac:dyDescent="0.15">
      <c r="A60" s="422"/>
      <c r="B60" s="422"/>
      <c r="C60" s="422"/>
      <c r="D60" s="422"/>
      <c r="E60" s="422"/>
      <c r="F60" s="422"/>
      <c r="G60" s="422"/>
      <c r="H60" s="422"/>
      <c r="I60" s="422"/>
      <c r="J60" s="422"/>
      <c r="K60" s="422"/>
      <c r="L60" s="422"/>
      <c r="M60" s="422"/>
      <c r="N60" s="422"/>
      <c r="O60" s="422"/>
      <c r="P60" s="422"/>
      <c r="Q60" s="422"/>
      <c r="R60" s="422"/>
      <c r="S60" s="422"/>
      <c r="T60" s="422"/>
      <c r="U60" s="422"/>
    </row>
  </sheetData>
  <mergeCells count="81">
    <mergeCell ref="B54:J58"/>
    <mergeCell ref="L54:T58"/>
    <mergeCell ref="Q50:R52"/>
    <mergeCell ref="S50:S52"/>
    <mergeCell ref="T50:T52"/>
    <mergeCell ref="B53:J53"/>
    <mergeCell ref="L53:T53"/>
    <mergeCell ref="B50:F52"/>
    <mergeCell ref="G50:H52"/>
    <mergeCell ref="I50:I52"/>
    <mergeCell ref="J50:J52"/>
    <mergeCell ref="L50:P52"/>
    <mergeCell ref="B43:J47"/>
    <mergeCell ref="L43:T47"/>
    <mergeCell ref="B49:F49"/>
    <mergeCell ref="G49:H49"/>
    <mergeCell ref="L49:P49"/>
    <mergeCell ref="Q49:R49"/>
    <mergeCell ref="Q39:R41"/>
    <mergeCell ref="S39:S41"/>
    <mergeCell ref="T39:T41"/>
    <mergeCell ref="B42:J42"/>
    <mergeCell ref="L42:T42"/>
    <mergeCell ref="B39:F41"/>
    <mergeCell ref="G39:H41"/>
    <mergeCell ref="I39:I41"/>
    <mergeCell ref="J39:J41"/>
    <mergeCell ref="L39:P41"/>
    <mergeCell ref="B32:J36"/>
    <mergeCell ref="L32:T36"/>
    <mergeCell ref="B38:F38"/>
    <mergeCell ref="G38:H38"/>
    <mergeCell ref="L38:P38"/>
    <mergeCell ref="Q38:R38"/>
    <mergeCell ref="Q28:R30"/>
    <mergeCell ref="S28:S30"/>
    <mergeCell ref="T28:T30"/>
    <mergeCell ref="B31:J31"/>
    <mergeCell ref="L31:T31"/>
    <mergeCell ref="B28:F30"/>
    <mergeCell ref="G28:H30"/>
    <mergeCell ref="I28:I30"/>
    <mergeCell ref="J28:J30"/>
    <mergeCell ref="L28:P30"/>
    <mergeCell ref="B21:J25"/>
    <mergeCell ref="L21:T25"/>
    <mergeCell ref="B27:F27"/>
    <mergeCell ref="G27:H27"/>
    <mergeCell ref="L27:P27"/>
    <mergeCell ref="Q27:R27"/>
    <mergeCell ref="Q17:R19"/>
    <mergeCell ref="S17:S19"/>
    <mergeCell ref="T17:T19"/>
    <mergeCell ref="B20:J20"/>
    <mergeCell ref="L20:T20"/>
    <mergeCell ref="B17:F19"/>
    <mergeCell ref="G17:H19"/>
    <mergeCell ref="I17:I19"/>
    <mergeCell ref="J17:J19"/>
    <mergeCell ref="L17:P19"/>
    <mergeCell ref="B16:F16"/>
    <mergeCell ref="G16:H16"/>
    <mergeCell ref="L16:P16"/>
    <mergeCell ref="Q16:R16"/>
    <mergeCell ref="B10:J14"/>
    <mergeCell ref="L10:T14"/>
    <mergeCell ref="B3:C3"/>
    <mergeCell ref="B5:F5"/>
    <mergeCell ref="G5:H5"/>
    <mergeCell ref="L5:P5"/>
    <mergeCell ref="Q5:R5"/>
    <mergeCell ref="Q6:R8"/>
    <mergeCell ref="S6:S8"/>
    <mergeCell ref="T6:T8"/>
    <mergeCell ref="B9:J9"/>
    <mergeCell ref="B6:F8"/>
    <mergeCell ref="G6:H8"/>
    <mergeCell ref="I6:I8"/>
    <mergeCell ref="J6:J8"/>
    <mergeCell ref="L6:P8"/>
    <mergeCell ref="L9:T9"/>
  </mergeCells>
  <phoneticPr fontId="50"/>
  <pageMargins left="0.7" right="0.7" top="0.75" bottom="0.75" header="0.3" footer="0.3"/>
  <extLst>
    <ext xmlns:x14="http://schemas.microsoft.com/office/spreadsheetml/2009/9/main" uri="{CCE6A557-97BC-4b89-ADB6-D9C93CAAB3DF}">
      <x14:dataValidations xmlns:xm="http://schemas.microsoft.com/office/excel/2006/main" count="4">
        <x14:dataValidation type="list" allowBlank="1" xr:uid="{C64C1E41-29B6-457C-9E5F-9D1913026E9B}">
          <x14:formula1>
            <xm:f>チラ裏ZONE!$V$44:$V$107</xm:f>
          </x14:formula1>
          <xm:sqref>G17:H19 G6:H8 Q50:R52 G28:H30 G39:H41 Q39:R41 Q28:R30 Q17:R19 Q6:R8 G50:H52</xm:sqref>
        </x14:dataValidation>
        <x14:dataValidation type="list" operator="equal" allowBlank="1" xr:uid="{45DEEDBF-6DBC-4DC3-BC70-E5F16E7B5372}">
          <x14:formula1>
            <xm:f>リスト!$A$32:$A$40</xm:f>
          </x14:formula1>
          <xm:sqref>I6 I17 S39 S6 S50 S17 I28 S28 I39 I50</xm:sqref>
        </x14:dataValidation>
        <x14:dataValidation type="list" operator="equal" allowBlank="1" xr:uid="{F28373EC-FE9E-47C9-B810-5E5B614BD961}">
          <x14:formula1>
            <xm:f>リスト!$A$29:$A$31</xm:f>
          </x14:formula1>
          <xm:sqref>J6 J17 T39 T6 T50 T17 J28 T28 J39 J50</xm:sqref>
        </x14:dataValidation>
        <x14:dataValidation type="list" operator="equal" allowBlank="1" xr:uid="{A8FB7390-0BE2-4A9E-B0EA-FBFAFDB57A57}">
          <x14:formula1>
            <xm:f>リスト!$BA$2:$BA$154</xm:f>
          </x14:formula1>
          <xm:sqref>T40:T41 J51:J52 T18:T19 T7:T8 J18:J19 J7:J8 T29:T30 T51:T52 J29:J30 J40:J41</xm:sqref>
        </x14:dataValidation>
      </x14:dataValidations>
    </ext>
  </extLs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F9F393-771C-4EEC-97EB-316455C915D2}">
  <sheetPr codeName="Sheet16"/>
  <dimension ref="A1:H42"/>
  <sheetViews>
    <sheetView workbookViewId="0">
      <selection activeCell="H5" sqref="H5"/>
    </sheetView>
  </sheetViews>
  <sheetFormatPr defaultRowHeight="12" x14ac:dyDescent="0.15"/>
  <cols>
    <col min="1" max="1" width="14" customWidth="1"/>
    <col min="3" max="3" width="14.42578125" customWidth="1"/>
    <col min="5" max="5" width="19.28515625" customWidth="1"/>
    <col min="6" max="7" width="10.7109375" customWidth="1"/>
  </cols>
  <sheetData>
    <row r="1" spans="1:8" x14ac:dyDescent="0.15">
      <c r="A1" t="s">
        <v>855</v>
      </c>
      <c r="B1" t="s">
        <v>856</v>
      </c>
      <c r="C1" t="s">
        <v>855</v>
      </c>
      <c r="D1" t="s">
        <v>856</v>
      </c>
      <c r="E1" t="s">
        <v>855</v>
      </c>
      <c r="F1" t="s">
        <v>856</v>
      </c>
    </row>
    <row r="2" spans="1:8" x14ac:dyDescent="0.15">
      <c r="A2" t="s">
        <v>857</v>
      </c>
      <c r="B2" s="448" t="s">
        <v>870</v>
      </c>
      <c r="C2" t="s">
        <v>932</v>
      </c>
      <c r="D2" t="s">
        <v>933</v>
      </c>
      <c r="E2" t="s">
        <v>982</v>
      </c>
      <c r="F2" t="s">
        <v>989</v>
      </c>
      <c r="G2" t="s">
        <v>1013</v>
      </c>
      <c r="H2" t="s">
        <v>1012</v>
      </c>
    </row>
    <row r="3" spans="1:8" x14ac:dyDescent="0.15">
      <c r="A3" t="s">
        <v>704</v>
      </c>
      <c r="B3" s="448" t="s">
        <v>871</v>
      </c>
      <c r="C3" t="s">
        <v>935</v>
      </c>
      <c r="D3" t="s">
        <v>934</v>
      </c>
      <c r="E3" t="s">
        <v>983</v>
      </c>
      <c r="F3" t="s">
        <v>990</v>
      </c>
      <c r="G3" t="s">
        <v>1015</v>
      </c>
      <c r="H3" t="s">
        <v>1014</v>
      </c>
    </row>
    <row r="4" spans="1:8" x14ac:dyDescent="0.15">
      <c r="A4" t="s">
        <v>702</v>
      </c>
      <c r="B4" s="448" t="s">
        <v>872</v>
      </c>
      <c r="C4" t="s">
        <v>937</v>
      </c>
      <c r="D4" t="s">
        <v>936</v>
      </c>
      <c r="E4" t="s">
        <v>984</v>
      </c>
      <c r="F4" t="s">
        <v>991</v>
      </c>
    </row>
    <row r="5" spans="1:8" x14ac:dyDescent="0.15">
      <c r="A5" t="s">
        <v>703</v>
      </c>
      <c r="B5" s="448" t="s">
        <v>873</v>
      </c>
      <c r="C5" t="s">
        <v>941</v>
      </c>
      <c r="D5" t="s">
        <v>938</v>
      </c>
      <c r="E5" t="s">
        <v>985</v>
      </c>
      <c r="F5" t="s">
        <v>992</v>
      </c>
    </row>
    <row r="6" spans="1:8" x14ac:dyDescent="0.15">
      <c r="A6" t="s">
        <v>858</v>
      </c>
      <c r="B6" s="448" t="s">
        <v>874</v>
      </c>
      <c r="C6" t="s">
        <v>942</v>
      </c>
      <c r="D6" t="s">
        <v>939</v>
      </c>
      <c r="E6" t="s">
        <v>986</v>
      </c>
      <c r="F6" t="s">
        <v>993</v>
      </c>
    </row>
    <row r="7" spans="1:8" x14ac:dyDescent="0.15">
      <c r="A7" t="s">
        <v>705</v>
      </c>
      <c r="B7" s="448" t="s">
        <v>875</v>
      </c>
      <c r="C7" t="s">
        <v>943</v>
      </c>
      <c r="D7" t="s">
        <v>940</v>
      </c>
      <c r="E7" t="s">
        <v>885</v>
      </c>
      <c r="F7" t="s">
        <v>994</v>
      </c>
    </row>
    <row r="8" spans="1:8" x14ac:dyDescent="0.15">
      <c r="A8" t="s">
        <v>700</v>
      </c>
      <c r="B8" s="448" t="s">
        <v>876</v>
      </c>
      <c r="C8" t="s">
        <v>944</v>
      </c>
      <c r="D8" t="s">
        <v>965</v>
      </c>
      <c r="E8" t="s">
        <v>987</v>
      </c>
      <c r="F8" t="s">
        <v>995</v>
      </c>
    </row>
    <row r="9" spans="1:8" x14ac:dyDescent="0.15">
      <c r="A9" t="s">
        <v>699</v>
      </c>
      <c r="B9" s="448" t="s">
        <v>877</v>
      </c>
      <c r="C9" t="s">
        <v>945</v>
      </c>
      <c r="D9" t="s">
        <v>966</v>
      </c>
      <c r="E9" t="s">
        <v>988</v>
      </c>
      <c r="F9" t="s">
        <v>996</v>
      </c>
    </row>
    <row r="10" spans="1:8" x14ac:dyDescent="0.15">
      <c r="A10" t="s">
        <v>859</v>
      </c>
      <c r="B10" s="448" t="s">
        <v>878</v>
      </c>
      <c r="C10" t="s">
        <v>946</v>
      </c>
      <c r="D10" t="s">
        <v>967</v>
      </c>
      <c r="E10" t="s">
        <v>932</v>
      </c>
      <c r="F10" t="s">
        <v>1002</v>
      </c>
    </row>
    <row r="11" spans="1:8" x14ac:dyDescent="0.15">
      <c r="A11" t="s">
        <v>861</v>
      </c>
      <c r="B11" s="448" t="s">
        <v>879</v>
      </c>
      <c r="C11" t="s">
        <v>947</v>
      </c>
      <c r="D11" t="s">
        <v>968</v>
      </c>
      <c r="E11" t="s">
        <v>935</v>
      </c>
      <c r="F11" t="s">
        <v>1007</v>
      </c>
    </row>
    <row r="12" spans="1:8" x14ac:dyDescent="0.15">
      <c r="A12" t="s">
        <v>860</v>
      </c>
      <c r="B12" s="448" t="s">
        <v>880</v>
      </c>
      <c r="C12" t="s">
        <v>948</v>
      </c>
      <c r="D12" t="s">
        <v>969</v>
      </c>
      <c r="E12" t="s">
        <v>937</v>
      </c>
      <c r="F12" t="s">
        <v>997</v>
      </c>
    </row>
    <row r="13" spans="1:8" x14ac:dyDescent="0.15">
      <c r="A13" t="s">
        <v>862</v>
      </c>
      <c r="B13" s="448" t="s">
        <v>881</v>
      </c>
      <c r="C13" t="s">
        <v>949</v>
      </c>
      <c r="D13" t="s">
        <v>970</v>
      </c>
      <c r="E13" t="s">
        <v>941</v>
      </c>
      <c r="F13" t="s">
        <v>1003</v>
      </c>
    </row>
    <row r="14" spans="1:8" x14ac:dyDescent="0.15">
      <c r="A14" t="s">
        <v>863</v>
      </c>
      <c r="B14" s="448" t="s">
        <v>882</v>
      </c>
      <c r="C14" t="s">
        <v>950</v>
      </c>
      <c r="D14" t="s">
        <v>962</v>
      </c>
      <c r="E14" t="s">
        <v>942</v>
      </c>
      <c r="F14" t="s">
        <v>1008</v>
      </c>
    </row>
    <row r="15" spans="1:8" x14ac:dyDescent="0.15">
      <c r="A15" t="s">
        <v>706</v>
      </c>
      <c r="B15" s="448" t="s">
        <v>883</v>
      </c>
      <c r="C15" t="s">
        <v>951</v>
      </c>
      <c r="D15" t="s">
        <v>963</v>
      </c>
      <c r="E15" t="s">
        <v>943</v>
      </c>
      <c r="F15" t="s">
        <v>998</v>
      </c>
    </row>
    <row r="16" spans="1:8" x14ac:dyDescent="0.15">
      <c r="A16" t="s">
        <v>885</v>
      </c>
      <c r="B16" s="448" t="s">
        <v>884</v>
      </c>
      <c r="C16" t="s">
        <v>952</v>
      </c>
      <c r="D16" t="s">
        <v>964</v>
      </c>
      <c r="E16" t="s">
        <v>944</v>
      </c>
      <c r="F16" t="s">
        <v>1004</v>
      </c>
    </row>
    <row r="17" spans="1:6" x14ac:dyDescent="0.15">
      <c r="A17" t="s">
        <v>701</v>
      </c>
      <c r="B17" s="448" t="s">
        <v>911</v>
      </c>
      <c r="C17" t="s">
        <v>953</v>
      </c>
      <c r="D17" t="s">
        <v>971</v>
      </c>
      <c r="E17" t="s">
        <v>945</v>
      </c>
      <c r="F17" t="s">
        <v>1009</v>
      </c>
    </row>
    <row r="18" spans="1:6" x14ac:dyDescent="0.15">
      <c r="A18" t="s">
        <v>864</v>
      </c>
      <c r="B18" s="448" t="s">
        <v>904</v>
      </c>
      <c r="C18" t="s">
        <v>954</v>
      </c>
      <c r="D18" t="s">
        <v>972</v>
      </c>
      <c r="E18" t="s">
        <v>946</v>
      </c>
      <c r="F18" t="s">
        <v>999</v>
      </c>
    </row>
    <row r="19" spans="1:6" x14ac:dyDescent="0.15">
      <c r="A19" t="s">
        <v>865</v>
      </c>
      <c r="B19" s="448" t="s">
        <v>905</v>
      </c>
      <c r="C19" t="s">
        <v>955</v>
      </c>
      <c r="D19" t="s">
        <v>973</v>
      </c>
      <c r="E19" t="s">
        <v>947</v>
      </c>
      <c r="F19" t="s">
        <v>1005</v>
      </c>
    </row>
    <row r="20" spans="1:6" x14ac:dyDescent="0.15">
      <c r="A20" t="s">
        <v>866</v>
      </c>
      <c r="B20" s="448" t="s">
        <v>906</v>
      </c>
      <c r="C20" t="s">
        <v>956</v>
      </c>
      <c r="D20" t="s">
        <v>974</v>
      </c>
      <c r="E20" t="s">
        <v>948</v>
      </c>
      <c r="F20" t="s">
        <v>1010</v>
      </c>
    </row>
    <row r="21" spans="1:6" x14ac:dyDescent="0.15">
      <c r="A21" t="s">
        <v>867</v>
      </c>
      <c r="B21" s="448" t="s">
        <v>907</v>
      </c>
      <c r="C21" t="s">
        <v>957</v>
      </c>
      <c r="D21" t="s">
        <v>975</v>
      </c>
      <c r="E21" t="s">
        <v>949</v>
      </c>
      <c r="F21" t="s">
        <v>1000</v>
      </c>
    </row>
    <row r="22" spans="1:6" x14ac:dyDescent="0.15">
      <c r="A22" t="s">
        <v>868</v>
      </c>
      <c r="B22" s="448" t="s">
        <v>908</v>
      </c>
      <c r="C22" t="s">
        <v>958</v>
      </c>
      <c r="D22" t="s">
        <v>976</v>
      </c>
      <c r="E22" t="s">
        <v>950</v>
      </c>
      <c r="F22" t="s">
        <v>1006</v>
      </c>
    </row>
    <row r="23" spans="1:6" x14ac:dyDescent="0.15">
      <c r="A23" t="s">
        <v>869</v>
      </c>
      <c r="B23" s="448" t="s">
        <v>909</v>
      </c>
      <c r="C23" t="s">
        <v>959</v>
      </c>
      <c r="D23" t="s">
        <v>977</v>
      </c>
      <c r="E23" t="s">
        <v>951</v>
      </c>
      <c r="F23" t="s">
        <v>1011</v>
      </c>
    </row>
    <row r="24" spans="1:6" x14ac:dyDescent="0.15">
      <c r="A24" t="s">
        <v>925</v>
      </c>
      <c r="B24" s="448" t="s">
        <v>923</v>
      </c>
      <c r="C24" t="s">
        <v>960</v>
      </c>
      <c r="D24" t="s">
        <v>978</v>
      </c>
      <c r="E24" t="s">
        <v>952</v>
      </c>
      <c r="F24" t="s">
        <v>1001</v>
      </c>
    </row>
    <row r="25" spans="1:6" x14ac:dyDescent="0.15">
      <c r="A25" t="s">
        <v>926</v>
      </c>
      <c r="B25" s="448" t="s">
        <v>924</v>
      </c>
      <c r="C25" t="s">
        <v>961</v>
      </c>
      <c r="D25" t="s">
        <v>979</v>
      </c>
    </row>
    <row r="26" spans="1:6" x14ac:dyDescent="0.15">
      <c r="A26" t="s">
        <v>910</v>
      </c>
      <c r="B26" s="448" t="s">
        <v>927</v>
      </c>
      <c r="C26" t="s">
        <v>981</v>
      </c>
      <c r="D26" t="s">
        <v>980</v>
      </c>
    </row>
    <row r="27" spans="1:6" x14ac:dyDescent="0.15">
      <c r="A27" t="s">
        <v>913</v>
      </c>
      <c r="B27" s="448" t="s">
        <v>912</v>
      </c>
    </row>
    <row r="28" spans="1:6" x14ac:dyDescent="0.15">
      <c r="A28" t="s">
        <v>915</v>
      </c>
      <c r="B28" s="448" t="s">
        <v>914</v>
      </c>
    </row>
    <row r="29" spans="1:6" x14ac:dyDescent="0.15">
      <c r="A29" t="s">
        <v>886</v>
      </c>
      <c r="B29" s="448" t="s">
        <v>887</v>
      </c>
    </row>
    <row r="30" spans="1:6" x14ac:dyDescent="0.15">
      <c r="A30" t="s">
        <v>888</v>
      </c>
      <c r="B30" t="s">
        <v>896</v>
      </c>
      <c r="C30" t="str">
        <f>"B"&amp;D24&amp;"：H"&amp;E24</f>
        <v>BB89：J90：H効果補足５</v>
      </c>
    </row>
    <row r="31" spans="1:6" x14ac:dyDescent="0.15">
      <c r="A31" t="s">
        <v>889</v>
      </c>
      <c r="B31" t="s">
        <v>897</v>
      </c>
      <c r="C31" t="str">
        <f>"B"&amp;G24&amp;"：J"&amp;H24</f>
        <v>B：J</v>
      </c>
    </row>
    <row r="32" spans="1:6" x14ac:dyDescent="0.15">
      <c r="A32" t="s">
        <v>890</v>
      </c>
      <c r="B32" t="s">
        <v>898</v>
      </c>
      <c r="C32" t="str">
        <f>"B"&amp;I24&amp;"：B"&amp;J24</f>
        <v>B：B</v>
      </c>
    </row>
    <row r="33" spans="1:2" x14ac:dyDescent="0.15">
      <c r="A33" t="s">
        <v>891</v>
      </c>
      <c r="B33" t="s">
        <v>899</v>
      </c>
    </row>
    <row r="34" spans="1:2" x14ac:dyDescent="0.15">
      <c r="A34" t="s">
        <v>892</v>
      </c>
      <c r="B34" t="s">
        <v>900</v>
      </c>
    </row>
    <row r="35" spans="1:2" x14ac:dyDescent="0.15">
      <c r="A35" t="s">
        <v>893</v>
      </c>
      <c r="B35" t="s">
        <v>901</v>
      </c>
    </row>
    <row r="36" spans="1:2" x14ac:dyDescent="0.15">
      <c r="A36" t="s">
        <v>894</v>
      </c>
      <c r="B36" t="s">
        <v>902</v>
      </c>
    </row>
    <row r="37" spans="1:2" x14ac:dyDescent="0.15">
      <c r="A37" t="s">
        <v>895</v>
      </c>
      <c r="B37" t="s">
        <v>903</v>
      </c>
    </row>
    <row r="38" spans="1:2" x14ac:dyDescent="0.15">
      <c r="A38" t="s">
        <v>916</v>
      </c>
      <c r="B38" t="s">
        <v>928</v>
      </c>
    </row>
    <row r="39" spans="1:2" x14ac:dyDescent="0.15">
      <c r="A39" t="s">
        <v>917</v>
      </c>
      <c r="B39" t="s">
        <v>929</v>
      </c>
    </row>
    <row r="40" spans="1:2" x14ac:dyDescent="0.15">
      <c r="A40" t="s">
        <v>918</v>
      </c>
      <c r="B40" t="s">
        <v>919</v>
      </c>
    </row>
    <row r="41" spans="1:2" x14ac:dyDescent="0.15">
      <c r="A41" t="s">
        <v>922</v>
      </c>
      <c r="B41" t="s">
        <v>920</v>
      </c>
    </row>
    <row r="42" spans="1:2" x14ac:dyDescent="0.15">
      <c r="A42" t="s">
        <v>930</v>
      </c>
      <c r="B42" t="s">
        <v>921</v>
      </c>
    </row>
  </sheetData>
  <phoneticPr fontId="50"/>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14</vt:i4>
      </vt:variant>
      <vt:variant>
        <vt:lpstr>名前付き一覧</vt:lpstr>
      </vt:variant>
      <vt:variant>
        <vt:i4>5</vt:i4>
      </vt:variant>
    </vt:vector>
  </HeadingPairs>
  <TitlesOfParts>
    <vt:vector size="19" baseType="lpstr">
      <vt:lpstr>リスト</vt:lpstr>
      <vt:lpstr>キャラシート</vt:lpstr>
      <vt:lpstr>応用技</vt:lpstr>
      <vt:lpstr>計算用</vt:lpstr>
      <vt:lpstr>クリーチャー</vt:lpstr>
      <vt:lpstr>クリーチャー_2</vt:lpstr>
      <vt:lpstr>クリーチャー_3</vt:lpstr>
      <vt:lpstr>進行表</vt:lpstr>
      <vt:lpstr>進行表(2)</vt:lpstr>
      <vt:lpstr>貼り付け用 </vt:lpstr>
      <vt:lpstr>チラ裏ZONE</vt:lpstr>
      <vt:lpstr>人物寸評(1)</vt:lpstr>
      <vt:lpstr>人物寸評 (2)</vt:lpstr>
      <vt:lpstr>コピペ用</vt:lpstr>
      <vt:lpstr>チラ裏ZONE!Print_Area</vt:lpstr>
      <vt:lpstr>攻撃スタイル</vt:lpstr>
      <vt:lpstr>身体タイプ</vt:lpstr>
      <vt:lpstr>能力タイプ</vt:lpstr>
      <vt:lpstr>能力分類</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cp:lastModifiedBy>user</cp:lastModifiedBy>
  <cp:revision>1</cp:revision>
  <dcterms:created xsi:type="dcterms:W3CDTF">2014-07-16T12:26:50Z</dcterms:created>
  <dcterms:modified xsi:type="dcterms:W3CDTF">2025-06-06T07:59:43Z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1041-10.8.2.6709</vt:lpwstr>
  </property>
</Properties>
</file>