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8_{9EB4C28A-BD10-4690-8C17-5B26161978A4}" xr6:coauthVersionLast="47" xr6:coauthVersionMax="47" xr10:uidLastSave="{00000000-0000-0000-0000-000000000000}"/>
  <bookViews>
    <workbookView xWindow="2580" yWindow="2112" windowWidth="23040" windowHeight="13980"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F94" i="22" l="1"/>
  <c r="F82" i="22"/>
  <c r="F70" i="22"/>
  <c r="F58" i="22"/>
  <c r="F46" i="22"/>
  <c r="F34" i="22"/>
  <c r="F22" i="22"/>
  <c r="F10" i="22"/>
  <c r="F4" i="22"/>
  <c r="J5" i="5" l="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D5" i="5"/>
  <c r="AL18" i="22" l="1"/>
  <c r="AL42" i="22"/>
  <c r="D66" i="22"/>
  <c r="AF3" i="22"/>
  <c r="AL36" i="22"/>
  <c r="AL6" i="22"/>
  <c r="D30" i="22"/>
  <c r="D96" i="22"/>
  <c r="AL54" i="22"/>
  <c r="AL24" i="22"/>
  <c r="AL30" i="22"/>
  <c r="D72" i="22"/>
  <c r="D48" i="22"/>
  <c r="D54" i="22"/>
  <c r="D60" i="22"/>
  <c r="D42" i="22"/>
  <c r="D90" i="22"/>
  <c r="D84" i="22"/>
  <c r="D78" i="22"/>
  <c r="D36" i="22"/>
  <c r="Y59" i="4"/>
  <c r="Y58"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K22" i="22" s="1" a="1"/>
  <c r="AK22" i="22" s="1"/>
  <c r="AN22" i="22"/>
  <c r="AM28" i="22"/>
  <c r="AN28" i="22"/>
  <c r="AM34" i="22"/>
  <c r="AN34" i="22"/>
  <c r="AM40" i="22"/>
  <c r="AN40" i="22"/>
  <c r="AM46" i="22"/>
  <c r="AK46" i="22" s="1" a="1"/>
  <c r="AK46" i="22" s="1"/>
  <c r="AN46" i="22"/>
  <c r="AM52" i="22"/>
  <c r="AN52" i="22"/>
  <c r="AM58" i="22"/>
  <c r="AK58" i="22" s="1" a="1"/>
  <c r="AK58" i="22" s="1"/>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E46" i="22" s="1" a="1"/>
  <c r="AE46" i="22" s="1"/>
  <c r="AH40" i="22"/>
  <c r="AG40" i="22"/>
  <c r="AH34" i="22"/>
  <c r="AG34" i="22"/>
  <c r="AE34" i="22" s="1" a="1"/>
  <c r="AE34" i="22" s="1"/>
  <c r="AH28" i="22"/>
  <c r="AG28" i="22"/>
  <c r="AE28" i="22" s="1" a="1"/>
  <c r="AE28" i="22" s="1"/>
  <c r="AH22" i="22"/>
  <c r="AG22" i="22"/>
  <c r="AE22" i="22" s="1" a="1"/>
  <c r="AE22" i="22" s="1"/>
  <c r="AH16" i="22"/>
  <c r="AG16" i="22"/>
  <c r="AE16" i="22" s="1" a="1"/>
  <c r="AE16" i="22" s="1"/>
  <c r="AH10" i="22"/>
  <c r="AG10" i="22"/>
  <c r="AE10" i="22" s="1" a="1"/>
  <c r="AE10" i="22" s="1"/>
  <c r="AH4" i="22"/>
  <c r="AG4" i="22"/>
  <c r="AS4" i="22"/>
  <c r="AQ4" i="22" s="1" a="1"/>
  <c r="AQ4" i="22" s="1"/>
  <c r="AT4" i="22"/>
  <c r="AS10" i="22"/>
  <c r="AT10" i="22"/>
  <c r="AS16" i="22"/>
  <c r="AT16" i="22"/>
  <c r="AS22" i="22"/>
  <c r="AQ22" i="22" s="1" a="1"/>
  <c r="AQ22" i="22" s="1"/>
  <c r="AT22" i="22"/>
  <c r="AS28" i="22"/>
  <c r="AT28" i="22"/>
  <c r="AS34" i="22"/>
  <c r="AT34" i="22"/>
  <c r="AS40" i="22"/>
  <c r="AT40" i="22"/>
  <c r="AS46" i="22"/>
  <c r="AT46" i="22"/>
  <c r="AS52" i="22"/>
  <c r="AT52" i="22"/>
  <c r="AS58" i="22"/>
  <c r="AQ58" i="22" s="1" a="1"/>
  <c r="AQ58" i="22" s="1"/>
  <c r="AT58" i="22"/>
  <c r="C32" i="23"/>
  <c r="C31" i="23"/>
  <c r="C30" i="23"/>
  <c r="D11" i="19"/>
  <c r="H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8" i="14" s="1"/>
  <c r="E139" i="14"/>
  <c r="E137" i="14"/>
  <c r="D137" i="14"/>
  <c r="C137" i="14"/>
  <c r="B137" i="14"/>
  <c r="A137" i="14"/>
  <c r="K139" i="14"/>
  <c r="L130" i="14"/>
  <c r="E123" i="14" s="1"/>
  <c r="F123" i="14" s="1"/>
  <c r="F130" i="14"/>
  <c r="C129" i="14"/>
  <c r="F126" i="14"/>
  <c r="C126" i="14"/>
  <c r="D125" i="14"/>
  <c r="C125" i="14"/>
  <c r="D123" i="14"/>
  <c r="C123" i="14"/>
  <c r="B123" i="14"/>
  <c r="A123" i="14" s="1"/>
  <c r="K125" i="14" s="1"/>
  <c r="L116" i="14"/>
  <c r="E109" i="14"/>
  <c r="F109" i="14"/>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c r="L88" i="14"/>
  <c r="F88" i="14"/>
  <c r="C87" i="14"/>
  <c r="F84" i="14"/>
  <c r="C84" i="14"/>
  <c r="D83" i="14"/>
  <c r="C83" i="14"/>
  <c r="E81" i="14"/>
  <c r="F81" i="14" s="1"/>
  <c r="D81" i="14"/>
  <c r="C81" i="14"/>
  <c r="B81" i="14"/>
  <c r="A81" i="14"/>
  <c r="K83" i="14" s="1"/>
  <c r="L74" i="14"/>
  <c r="E67" i="14" s="1"/>
  <c r="F67" i="14" s="1"/>
  <c r="F74" i="14"/>
  <c r="C73" i="14"/>
  <c r="F70" i="14"/>
  <c r="C70" i="14"/>
  <c r="C69" i="14"/>
  <c r="D69" i="14" s="1"/>
  <c r="D67" i="14"/>
  <c r="C67" i="14"/>
  <c r="B67" i="14"/>
  <c r="A67" i="14" s="1"/>
  <c r="B59" i="14"/>
  <c r="A59" i="14"/>
  <c r="E111" i="14"/>
  <c r="E110" i="14"/>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c r="G19" i="8"/>
  <c r="F56" i="14"/>
  <c r="C88" i="22" l="1" a="1"/>
  <c r="C88" i="22" s="1"/>
  <c r="C76" i="22" a="1"/>
  <c r="C76" i="22" s="1"/>
  <c r="C28" i="22" a="1"/>
  <c r="C28" i="22" s="1"/>
  <c r="C64" i="22" a="1"/>
  <c r="C64" i="22" s="1"/>
  <c r="AE4" i="22" a="1"/>
  <c r="AE4" i="22" s="1"/>
  <c r="AK52" i="22" a="1"/>
  <c r="AK52" i="22" s="1"/>
  <c r="AK40" i="22" a="1"/>
  <c r="AK40" i="22" s="1"/>
  <c r="AK34" i="22" a="1"/>
  <c r="AK34" i="22" s="1"/>
  <c r="AQ46" i="22" a="1"/>
  <c r="AQ46" i="22" s="1"/>
  <c r="AQ40" i="22" a="1"/>
  <c r="AQ40"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C66" i="22" a="1"/>
  <c r="C66" i="22" s="1"/>
  <c r="D6" i="22"/>
  <c r="AE54" i="22" a="1"/>
  <c r="AE54" i="22" s="1"/>
  <c r="AF60" i="22"/>
  <c r="X53" i="6" s="1"/>
  <c r="C42" i="22" a="1"/>
  <c r="C42" i="22" s="1"/>
  <c r="D12" i="22"/>
  <c r="J9" i="5" s="1"/>
  <c r="C54" i="22" a="1"/>
  <c r="C54" i="22" s="1"/>
  <c r="C6" i="22" a="1"/>
  <c r="C6" i="22" s="1"/>
  <c r="H31" i="14"/>
  <c r="Q9" i="19"/>
  <c r="Q10" i="19"/>
  <c r="AA15" i="4"/>
  <c r="AF6" i="22"/>
  <c r="AF30" i="22"/>
  <c r="AF54" i="22"/>
  <c r="AE6" i="22" a="1"/>
  <c r="AE6" i="22" s="1"/>
  <c r="AR42" i="22"/>
  <c r="AE12" i="22" a="1"/>
  <c r="AE12" i="22" s="1"/>
  <c r="W9" i="6" s="1"/>
  <c r="AE36" i="22" a="1"/>
  <c r="AE36" i="22" s="1"/>
  <c r="W31" i="6" s="1"/>
  <c r="AF12" i="22"/>
  <c r="X9" i="6" s="1"/>
  <c r="C84" i="22" a="1"/>
  <c r="C84" i="22" s="1"/>
  <c r="I75" i="5" s="1"/>
  <c r="AE24" i="22" a="1"/>
  <c r="AE24" i="22" s="1"/>
  <c r="W20" i="6" s="1"/>
  <c r="AE48" i="22" a="1"/>
  <c r="AE48" i="22" s="1"/>
  <c r="W42" i="6" s="1"/>
  <c r="C36" i="22" a="1"/>
  <c r="C36" i="22" s="1"/>
  <c r="I31" i="5" s="1"/>
  <c r="C90" i="22" a="1"/>
  <c r="C90" i="22" s="1"/>
  <c r="AK42" i="22" a="1"/>
  <c r="AK42" i="22" s="1"/>
  <c r="C60" i="22" a="1"/>
  <c r="C60" i="22" s="1"/>
  <c r="I53" i="5" s="1"/>
  <c r="J86" i="5"/>
  <c r="J75" i="5"/>
  <c r="AK24" i="22" a="1"/>
  <c r="AK24" i="22" s="1"/>
  <c r="W20" i="7" s="1"/>
  <c r="AR30" i="22"/>
  <c r="AQ60" i="22" a="1"/>
  <c r="AQ60" i="22" s="1"/>
  <c r="W53" i="8" s="1"/>
  <c r="AK36" i="22" a="1"/>
  <c r="AK36" i="22" s="1"/>
  <c r="W31" i="7" s="1"/>
  <c r="D18" i="22"/>
  <c r="AR36" i="22"/>
  <c r="X31" i="8" s="1"/>
  <c r="C30" i="22" a="1"/>
  <c r="C30" i="22" s="1"/>
  <c r="AQ48" i="22" a="1"/>
  <c r="AQ48" i="22" s="1"/>
  <c r="W42" i="8" s="1"/>
  <c r="C96" i="22" a="1"/>
  <c r="C96" i="22" s="1"/>
  <c r="I86" i="5" s="1"/>
  <c r="AK12" i="22" a="1"/>
  <c r="AK12" i="22" s="1"/>
  <c r="W9" i="7" s="1"/>
  <c r="C24" i="22" a="1"/>
  <c r="C24" i="22" s="1"/>
  <c r="I20" i="5" s="1"/>
  <c r="AR24" i="22"/>
  <c r="X20" i="8" s="1"/>
  <c r="AQ42" i="22" a="1"/>
  <c r="AQ42" i="22" s="1"/>
  <c r="AE30" i="22" a="1"/>
  <c r="AE30" i="22" s="1"/>
  <c r="AQ24" i="22" a="1"/>
  <c r="AQ24" i="22" s="1"/>
  <c r="W20" i="8" s="1"/>
  <c r="AE42" i="22" a="1"/>
  <c r="AE42" i="22" s="1"/>
  <c r="AK30" i="22" a="1"/>
  <c r="AK30" i="22" s="1"/>
  <c r="J64" i="5"/>
  <c r="AR6" i="22"/>
  <c r="C78" i="22" a="1"/>
  <c r="C78" i="22" s="1"/>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X53" i="8" s="1"/>
  <c r="AF48" i="22"/>
  <c r="X42" i="6" s="1"/>
  <c r="D24" i="22"/>
  <c r="J20" i="5" s="1"/>
  <c r="G5" i="5" s="1"/>
  <c r="AK54" i="22" a="1"/>
  <c r="AK54" i="22" s="1"/>
  <c r="X9" i="7"/>
  <c r="X31" i="7"/>
  <c r="X20" i="7"/>
  <c r="AK48" i="22" a="1"/>
  <c r="AK48" i="22" s="1"/>
  <c r="W42" i="7" s="1"/>
  <c r="AK60" i="22" a="1"/>
  <c r="AK60" i="22" s="1"/>
  <c r="W53" i="7" s="1"/>
  <c r="AA32" i="4"/>
  <c r="C19" i="7"/>
  <c r="W17" i="4"/>
  <c r="AI5" i="4"/>
  <c r="H22" i="4"/>
  <c r="AA13" i="4"/>
  <c r="AA11" i="4"/>
  <c r="AA16" i="4"/>
  <c r="AF4" i="4" s="1"/>
  <c r="C23" i="14"/>
  <c r="F23" i="14"/>
  <c r="C26" i="14"/>
  <c r="G34" i="14"/>
  <c r="H34" i="14" s="1"/>
  <c r="AA10" i="4"/>
  <c r="U49" i="4" s="1"/>
  <c r="Z17" i="4"/>
  <c r="Z18" i="4" s="1"/>
  <c r="AA14" i="4"/>
  <c r="U56" i="4" s="1"/>
  <c r="AA12" i="4"/>
  <c r="U55" i="4" s="1"/>
  <c r="X17" i="4"/>
  <c r="X18" i="4" s="1"/>
  <c r="U54" i="4" l="1"/>
  <c r="U57" i="4"/>
  <c r="Q35" i="4"/>
  <c r="U52" i="4"/>
  <c r="AA53" i="4"/>
  <c r="D25" i="4" s="1"/>
  <c r="U53" i="4"/>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c r="L4" i="19"/>
  <c r="AA52" i="4" l="1"/>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D19" i="4" l="1"/>
  <c r="J26" i="14" s="1"/>
  <c r="D20" i="14" s="1"/>
  <c r="C20" i="14" s="1"/>
  <c r="U51" i="4"/>
  <c r="H27" i="4"/>
  <c r="F23" i="6" s="1"/>
  <c r="R4" i="6" s="1"/>
  <c r="C23" i="7"/>
  <c r="C23" i="8"/>
  <c r="C23" i="6"/>
  <c r="H5" i="6" s="1"/>
  <c r="G4" i="5"/>
  <c r="F40" i="14"/>
  <c r="S5" i="19"/>
  <c r="E33" i="14"/>
  <c r="F33" i="14" s="1"/>
  <c r="B32" i="14"/>
  <c r="C32" i="14" s="1"/>
  <c r="E32" i="14"/>
  <c r="F32" i="14" s="1"/>
  <c r="J2" i="19"/>
  <c r="B31" i="14"/>
  <c r="C31" i="14" s="1"/>
  <c r="U4" i="7"/>
  <c r="J4" i="5"/>
  <c r="N4" i="19"/>
  <c r="E26" i="14"/>
  <c r="X4" i="8"/>
  <c r="E29" i="14"/>
  <c r="F29" i="14" s="1"/>
  <c r="AA51" i="4"/>
  <c r="D21" i="4" s="1"/>
  <c r="P4" i="19"/>
  <c r="N2" i="19"/>
  <c r="L2" i="19"/>
  <c r="B24" i="14"/>
  <c r="D11" i="15" s="1"/>
  <c r="E34" i="14"/>
  <c r="F34" i="14" s="1"/>
  <c r="S8" i="19"/>
  <c r="F5" i="19"/>
  <c r="E5" i="19" s="1"/>
  <c r="J43" i="14"/>
  <c r="X4" i="6" l="1"/>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<sst xmlns="http://schemas.openxmlformats.org/spreadsheetml/2006/main" count="4099" uniqueCount="1339">
  <si>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</si>
  <si>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</si>
  <si>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</si>
  <si>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</si>
  <si>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</si>
  <si>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</si>
  <si>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</si>
  <si>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</si>
  <si>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</si>
  <si>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</si>
  <si>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</si>
  <si>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</si>
  <si>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</si>
  <si>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</si>
  <si>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</si>
  <si>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</si>
  <si>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</si>
  <si>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</si>
  <si>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</si>
  <si>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</si>
  <si>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</si>
  <si>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</si>
  <si>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</si>
  <si>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</si>
  <si>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</si>
  <si>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</si>
  <si>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</si>
  <si>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</si>
  <si>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</si>
  <si>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</si>
  <si>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</si>
  <si>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</si>
  <si>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</si>
  <si>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</si>
  <si>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</si>
  <si>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</si>
  <si>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</si>
  <si>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</si>
  <si>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</si>
  <si>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</si>
  <si>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</si>
  <si>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</si>
  <si>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</si>
  <si>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</si>
  <si>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</si>
  <si>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</si>
  <si>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</si>
  <si>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</si>
  <si>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</si>
  <si>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</si>
  <si>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</si>
  <si>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</si>
  <si>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</si>
  <si>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</si>
  <si>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</si>
  <si>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</si>
  <si>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</si>
  <si>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</si>
  <si>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</si>
  <si>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</si>
  <si>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</si>
  <si>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</si>
  <si>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</si>
  <si>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</si>
  <si>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</si>
  <si>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</si>
  <si>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</si>
  <si>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</si>
  <si>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</si>
  <si>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</si>
  <si>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</si>
  <si>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</si>
  <si>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</si>
  <si>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</si>
  <si>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</si>
  <si>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</si>
  <si>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</si>
  <si>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</si>
  <si>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</si>
  <si>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</si>
  <si>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</si>
  <si>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</si>
  <si>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</si>
  <si>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</si>
  <si>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</si>
  <si>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</si>
  <si>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</si>
  <si>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</si>
  <si>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</si>
  <si>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</si>
  <si>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</si>
  <si>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</si>
  <si>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</si>
  <si>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</si>
  <si>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</si>
  <si>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</si>
  <si>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</si>
  <si>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</si>
  <si>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</si>
  <si>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</si>
  <si>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</si>
  <si>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</si>
  <si>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</si>
  <si>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</si>
  <si>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</si>
  <si>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</si>
  <si>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</si>
  <si>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</si>
  <si>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</si>
  <si>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</si>
  <si>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</si>
  <si>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</si>
  <si>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</si>
  <si>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</si>
  <si>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</si>
  <si>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</si>
  <si>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</si>
  <si>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</si>
  <si>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</si>
  <si>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</si>
  <si>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</si>
  <si>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</si>
  <si>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</si>
  <si>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</si>
  <si>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</si>
  <si>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</si>
  <si>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</si>
  <si>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</si>
  <si>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</si>
  <si>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</si>
  <si>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</si>
  <si>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</si>
  <si>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</si>
  <si>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</si>
  <si>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</si>
  <si>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</si>
  <si>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</si>
  <si>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</si>
  <si>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</si>
  <si>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</si>
  <si>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</si>
  <si>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</si>
  <si>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</si>
  <si>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</si>
  <si>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</si>
  <si>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</si>
  <si>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</si>
  <si>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</si>
  <si>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</si>
  <si>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</si>
  <si>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</si>
  <si>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</si>
  <si>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</si>
  <si>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</si>
  <si>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</si>
  <si>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</si>
  <si>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</si>
  <si>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</si>
  <si>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</si>
  <si>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</si>
  <si>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</si>
  <si>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</si>
  <si>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</si>
  <si>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</si>
  <si>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</si>
  <si>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</si>
  <si>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</si>
  <si>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</si>
  <si>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</si>
  <si>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</si>
  <si>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</si>
  <si>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</si>
  <si>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</si>
  <si>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</si>
  <si>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</si>
  <si>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</si>
  <si>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</si>
  <si>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</si>
  <si>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</si>
  <si>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</si>
  <si>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</si>
  <si>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</si>
  <si>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</si>
  <si>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</si>
  <si>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</si>
  <si>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</si>
  <si>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</si>
  <si>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</si>
  <si>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</si>
  <si>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</si>
  <si>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</si>
  <si>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</si>
  <si>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</si>
  <si>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</si>
  <si>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</si>
  <si>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</si>
  <si>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</si>
  <si>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</si>
  <si>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</si>
  <si>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</si>
  <si>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</si>
  <si>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</si>
  <si>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</si>
  <si>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</si>
  <si>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</si>
  <si>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</si>
  <si>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</si>
  <si>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</si>
  <si>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</si>
  <si>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</si>
  <si>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</si>
  <si>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</si>
  <si>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</si>
  <si>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</si>
  <si>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</si>
  <si>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</si>
  <si>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</si>
  <si>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</si>
  <si>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</si>
  <si>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</si>
  <si>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</si>
  <si>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</si>
  <si>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</si>
  <si>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</si>
  <si>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</si>
  <si>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</si>
  <si>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</si>
  <si>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</si>
  <si>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</si>
  <si>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</si>
  <si>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</si>
  <si>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</si>
  <si>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</si>
  <si>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</si>
  <si>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</si>
  <si>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</si>
  <si>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</si>
  <si>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</si>
  <si>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</si>
  <si>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</si>
  <si>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</si>
  <si>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</si>
  <si>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</si>
  <si>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</si>
  <si>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</si>
  <si>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</si>
  <si>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</si>
  <si>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</si>
  <si>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</si>
  <si>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</si>
  <si>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</si>
  <si>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</si>
  <si>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</si>
  <si>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</si>
  <si>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</si>
  <si>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</si>
  <si>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</si>
  <si>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</si>
  <si>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</si>
  <si>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</si>
  <si>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</si>
  <si>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</si>
  <si>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</si>
  <si>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</si>
  <si>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</si>
  <si>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</si>
  <si>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</si>
  <si>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</si>
  <si>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</si>
  <si>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</si>
  <si>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</si>
  <si>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</si>
  <si>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</si>
  <si>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</si>
  <si>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</si>
  <si>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</si>
  <si>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</si>
  <si>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</si>
  <si>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</si>
  <si>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</si>
  <si>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</si>
  <si>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</si>
  <si>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</si>
  <si>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</si>
  <si>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</si>
  <si>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</si>
  <si>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</si>
  <si>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</si>
  <si>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</si>
  <si>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</si>
  <si>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</si>
  <si>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</si>
  <si>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</si>
  <si>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</si>
  <si>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</si>
  <si>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</si>
  <si>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</si>
  <si>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</si>
  <si>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</si>
  <si>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</si>
  <si>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</si>
  <si>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</si>
  <si>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</si>
  <si>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</si>
  <si>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</si>
  <si>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</si>
  <si>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</si>
  <si>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</si>
  <si>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</si>
  <si>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</si>
  <si>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</si>
  <si>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</si>
  <si>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</si>
  <si>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</si>
  <si>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</si>
  <si>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</si>
  <si>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</si>
  <si>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</si>
  <si>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</si>
  <si>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</si>
  <si>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</si>
  <si>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</si>
  <si>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</si>
  <si>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</si>
  <si>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</si>
  <si>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</si>
  <si>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</si>
  <si>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</si>
  <si>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</si>
  <si>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</si>
  <si>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</si>
  <si>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</si>
  <si>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</si>
  <si>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</si>
  <si>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</si>
  <si>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</si>
  <si>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</si>
  <si>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</si>
  <si>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</si>
  <si>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</si>
  <si>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</si>
  <si>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</si>
  <si>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</si>
  <si>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</si>
  <si>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</si>
  <si>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</si>
  <si>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</si>
  <si>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</si>
  <si>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</si>
  <si>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</si>
  <si>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</si>
  <si>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</si>
  <si>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</si>
  <si>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</si>
  <si>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</si>
  <si>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</si>
  <si>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</si>
  <si>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</si>
  <si>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</si>
  <si>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</si>
  <si>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</si>
  <si>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</si>
  <si>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</si>
  <si>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</si>
  <si>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</si>
  <si>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</si>
  <si>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</si>
  <si>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</si>
  <si>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</si>
  <si>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</si>
  <si>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</si>
  <si>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</si>
  <si>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</si>
  <si>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</si>
  <si>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</si>
  <si>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</si>
  <si>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</si>
  <si>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</si>
  <si>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</si>
  <si>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</si>
  <si>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</si>
  <si>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</si>
  <si>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</si>
  <si>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</si>
  <si>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</si>
  <si>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</si>
  <si>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</si>
  <si>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</si>
  <si>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</si>
  <si>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</si>
  <si>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</si>
  <si>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</si>
  <si>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</si>
  <si>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</si>
  <si>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</si>
  <si>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</si>
  <si>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</si>
  <si>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</si>
  <si>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</si>
  <si>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</si>
  <si>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</si>
  <si>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</si>
  <si>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</si>
  <si>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</si>
  <si>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</si>
  <si>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</si>
  <si>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</si>
  <si>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</si>
  <si>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</si>
  <si>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</si>
  <si>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</si>
  <si>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</si>
  <si>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</si>
  <si>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</si>
  <si>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</si>
  <si>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</si>
  <si>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</si>
  <si>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</si>
  <si>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</si>
  <si>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</si>
  <si>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</si>
  <si>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</si>
  <si>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</si>
  <si>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</si>
  <si>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</si>
  <si>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</si>
  <si>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</si>
  <si>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</si>
  <si>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</si>
  <si>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</si>
  <si>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</si>
  <si>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</si>
  <si>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</si>
  <si>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</si>
  <si>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</si>
  <si>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</si>
  <si>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</si>
  <si>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</si>
  <si>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</si>
  <si>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</si>
  <si>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</si>
  <si>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</si>
  <si>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</si>
  <si>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</si>
  <si>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</si>
  <si>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</si>
  <si>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</si>
  <si>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</si>
  <si>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</si>
  <si>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</si>
  <si>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</si>
  <si>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</si>
  <si>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</si>
  <si>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</si>
  <si>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</si>
  <si>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</si>
  <si>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</si>
  <si>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</si>
  <si>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</si>
  <si>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</si>
  <si>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</si>
  <si>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</si>
  <si>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</si>
  <si>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</si>
  <si>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</si>
  <si>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</si>
  <si>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</si>
  <si>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</si>
  <si>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</si>
  <si>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</si>
  <si>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</si>
  <si>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</si>
  <si>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</si>
  <si>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</si>
  <si>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</si>
  <si>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</si>
  <si>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</si>
  <si>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</si>
  <si>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</si>
  <si>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</si>
  <si>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</si>
  <si>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</si>
  <si>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</si>
  <si>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</si>
  <si>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</si>
  <si>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</si>
  <si>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</si>
  <si>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</si>
  <si>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</si>
  <si>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</si>
  <si>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</si>
  <si>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</si>
  <si>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</si>
  <si>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</si>
  <si>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</si>
  <si>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</si>
  <si>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</si>
  <si>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</si>
  <si>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</si>
  <si>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</si>
  <si>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</si>
  <si>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</si>
  <si>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</si>
  <si>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</si>
  <si>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</si>
  <si>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</si>
  <si>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</si>
  <si>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</si>
  <si>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</si>
  <si>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</si>
  <si>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</si>
  <si>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</si>
  <si>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</si>
  <si>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</si>
  <si>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</si>
  <si>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</si>
  <si>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</si>
  <si>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</si>
  <si>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</si>
  <si>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</si>
  <si>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</si>
  <si>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</si>
  <si>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</si>
  <si>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</si>
  <si>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</si>
  <si>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</si>
  <si>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</si>
  <si>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</si>
  <si>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</si>
  <si>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</si>
  <si>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</si>
  <si>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</si>
  <si>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</si>
  <si>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</si>
  <si>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</si>
  <si>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</si>
  <si>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</si>
  <si>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</si>
  <si>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</si>
  <si>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</si>
  <si>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</si>
  <si>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</si>
  <si>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</si>
  <si>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</si>
  <si>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</si>
  <si>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</si>
  <si>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</si>
  <si>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</si>
  <si>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</si>
  <si>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</si>
  <si>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</si>
  <si>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</si>
  <si>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</si>
  <si>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</si>
  <si>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</si>
  <si>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</si>
  <si>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</si>
  <si>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</si>
  <si>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</si>
  <si>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</si>
  <si>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</si>
  <si>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</si>
  <si>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</si>
  <si>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</si>
  <si>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</si>
  <si>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</si>
  <si>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</si>
  <si>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</si>
  <si>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</si>
  <si>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</si>
  <si>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</si>
  <si>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</si>
  <si>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</si>
  <si>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</si>
  <si>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</si>
  <si>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</si>
  <si>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</si>
  <si>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</si>
  <si>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</si>
  <si>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</si>
  <si>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</si>
  <si>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</si>
  <si>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</si>
  <si>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</si>
  <si>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</si>
  <si>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</si>
  <si>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</si>
  <si>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</si>
  <si>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</si>
  <si>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</si>
  <si>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</si>
  <si>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</si>
  <si>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</si>
  <si>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</si>
  <si>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</si>
  <si>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</si>
  <si>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</si>
  <si>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</si>
  <si>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</si>
  <si>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</si>
  <si>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</si>
  <si>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</si>
  <si>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</si>
  <si>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</si>
  <si>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</si>
  <si>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</si>
  <si>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</si>
  <si>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</si>
  <si>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</si>
  <si>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</si>
  <si>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</si>
  <si>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</si>
  <si>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</si>
  <si>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</si>
  <si>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</si>
  <si>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</si>
  <si>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</si>
  <si>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</si>
  <si>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</si>
  <si>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</si>
  <si>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</si>
  <si>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</si>
  <si>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</si>
  <si>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</si>
  <si>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</si>
  <si>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</si>
  <si>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</si>
  <si>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</si>
  <si>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</si>
  <si>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</si>
  <si>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</si>
  <si>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</si>
  <si>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</si>
  <si>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</si>
  <si>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</si>
  <si>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</si>
  <si>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</si>
  <si>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</si>
  <si>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</si>
  <si>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</si>
  <si>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</si>
  <si>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</si>
  <si>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</si>
  <si>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</si>
  <si>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</si>
  <si>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</si>
  <si>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</si>
  <si>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</si>
  <si>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</si>
  <si>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</si>
  <si>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</si>
  <si>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</si>
  <si>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</si>
  <si>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</si>
  <si>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</si>
  <si>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</si>
  <si>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</si>
  <si>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</si>
  <si>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</si>
  <si>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</si>
  <si>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</si>
  <si>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</si>
  <si>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</si>
  <si>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</si>
  <si>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</si>
  <si>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</si>
  <si>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</si>
  <si>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</si>
  <si>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</si>
  <si>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</si>
  <si>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</si>
  <si>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</si>
  <si>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</si>
  <si>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</si>
  <si>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</si>
  <si>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</si>
  <si>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</si>
  <si>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</si>
  <si>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</si>
  <si>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</si>
  <si>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</si>
  <si>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</si>
  <si>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</si>
  <si>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</si>
  <si>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</si>
  <si>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</si>
  <si>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</si>
  <si>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</si>
  <si>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</si>
  <si>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</si>
  <si>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</si>
  <si>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</si>
  <si>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</si>
  <si>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</si>
  <si>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</si>
  <si>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</si>
  <si>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</si>
  <si>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</si>
  <si>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</si>
  <si>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</si>
  <si>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</si>
  <si>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</si>
  <si>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</si>
  <si>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</si>
  <si>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</si>
  <si>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</si>
  <si>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</si>
  <si>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</si>
  <si>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</si>
  <si>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</si>
  <si>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</si>
  <si>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</si>
  <si>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</si>
  <si>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</si>
  <si>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</si>
  <si>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</si>
  <si>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</si>
  <si>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</si>
  <si>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</si>
  <si>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</si>
  <si>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</si>
  <si>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</si>
  <si>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</si>
  <si>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</si>
  <si>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</si>
  <si>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</si>
  <si>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</si>
  <si>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</si>
  <si>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</si>
  <si>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</si>
  <si>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</si>
  <si>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</si>
  <si>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</si>
  <si>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</si>
  <si>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</si>
  <si>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</si>
  <si>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</si>
  <si>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</si>
  <si>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</si>
  <si>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</si>
  <si>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</si>
  <si>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</si>
  <si>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</si>
  <si>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</si>
  <si>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</si>
  <si>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</si>
  <si>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</si>
  <si>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</si>
  <si>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</si>
  <si>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</si>
  <si>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</si>
  <si>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</si>
  <si>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</si>
  <si>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</si>
  <si>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</si>
  <si>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</si>
  <si>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</si>
  <si>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</si>
  <si>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</si>
  <si>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</si>
  <si>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</si>
  <si>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</si>
  <si>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</si>
  <si>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</si>
  <si>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</si>
  <si>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</si>
  <si>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</si>
  <si>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</si>
  <si>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</si>
  <si>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</si>
  <si>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</si>
  <si>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</si>
  <si>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</si>
  <si>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</si>
  <si>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</si>
  <si>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</si>
  <si>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</si>
  <si>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</si>
  <si>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</si>
  <si>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</si>
  <si>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</si>
  <si>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</si>
  <si>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</si>
  <si>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</si>
  <si>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</si>
  <si>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</si>
  <si>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</si>
  <si>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</si>
  <si>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</si>
  <si>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</si>
  <si>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</si>
  <si>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</si>
  <si>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</si>
  <si>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</si>
  <si>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</si>
  <si>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</si>
  <si>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</si>
  <si>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</si>
  <si>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</si>
  <si>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</si>
  <si>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</si>
  <si>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</si>
  <si>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</si>
  <si>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</si>
  <si>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</si>
  <si>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</si>
  <si>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</si>
  <si>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</si>
  <si>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</si>
  <si>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</si>
  <si>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</si>
  <si>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</si>
  <si>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</si>
  <si>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</si>
  <si>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</si>
  <si>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</si>
  <si>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</si>
  <si>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</si>
  <si>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</si>
  <si>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</si>
  <si>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</si>
  <si>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</si>
  <si>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</si>
  <si>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</si>
  <si>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</si>
  <si>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</si>
  <si>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</si>
  <si>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</si>
  <si>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</si>
  <si>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</si>
  <si>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</si>
  <si>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</si>
  <si>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</si>
  <si>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</si>
  <si>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</si>
  <si>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</si>
  <si>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</si>
  <si>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</si>
  <si>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</si>
  <si>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</si>
  <si>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</si>
  <si>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</si>
  <si>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</si>
  <si>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</si>
  <si>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</si>
  <si>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</si>
  <si>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</si>
  <si>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</si>
  <si>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</si>
  <si>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</si>
  <si>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</si>
  <si>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</si>
  <si>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</si>
  <si>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</si>
  <si>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</si>
  <si>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</si>
  <si>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</si>
  <si>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</si>
  <si>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</si>
  <si>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</si>
  <si>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</si>
  <si>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</si>
  <si>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</si>
  <si>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</si>
  <si>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</si>
  <si>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</si>
  <si>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</si>
  <si>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</si>
  <si>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</si>
  <si>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</si>
  <si>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</si>
  <si>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</si>
  <si>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</si>
  <si>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</si>
  <si>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</si>
  <si>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</si>
  <si>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</si>
  <si>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</si>
  <si>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</si>
  <si>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</si>
  <si>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</si>
  <si>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</si>
  <si>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</si>
  <si>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</si>
  <si>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</si>
  <si>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</si>
  <si>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</si>
  <si>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</si>
  <si>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</si>
  <si>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</si>
  <si>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</si>
  <si>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</si>
  <si>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</si>
  <si>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</si>
  <si>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</si>
  <si>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</si>
  <si>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</si>
  <si>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</si>
  <si>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</si>
  <si>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</si>
  <si>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</si>
  <si>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</si>
  <si>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</si>
  <si>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</si>
  <si>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</si>
  <si>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</si>
  <si>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</si>
  <si>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</si>
  <si>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</si>
  <si>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</si>
  <si>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</si>
  <si>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</si>
  <si>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</si>
  <si>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</si>
  <si>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</si>
  <si>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</si>
  <si>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</si>
  <si>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</si>
  <si>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</si>
  <si>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</si>
  <si>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</si>
  <si>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</si>
  <si>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</si>
  <si>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</si>
  <si>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</si>
  <si>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</si>
  <si>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</si>
  <si>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</si>
  <si>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</si>
  <si>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</si>
  <si>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</si>
  <si>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</si>
  <si>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</si>
  <si>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</si>
  <si>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</si>
  <si>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</si>
  <si>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</si>
  <si>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</si>
  <si>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</si>
  <si>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</si>
  <si>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</si>
  <si>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</si>
  <si>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</si>
  <si>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</si>
  <si>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</si>
  <si>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</si>
  <si>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</si>
  <si>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</si>
  <si>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</si>
  <si>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</si>
  <si>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</si>
  <si>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</si>
  <si>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</si>
  <si>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</si>
  <si>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</si>
  <si>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</si>
  <si>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</si>
  <si>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</si>
  <si>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</si>
  <si>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</si>
  <si>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</si>
  <si>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</si>
  <si>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</si>
  <si>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</si>
  <si>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</si>
  <si>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</si>
  <si>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</si>
  <si>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</si>
  <si>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</si>
  <si>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</si>
  <si>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</si>
  <si>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</si>
  <si>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</si>
  <si>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</si>
  <si>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</si>
  <si>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</si>
  <si>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</si>
  <si>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</si>
  <si>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</si>
  <si>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</si>
  <si>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</si>
  <si>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</si>
  <si>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</si>
  <si>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</si>
  <si>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</si>
  <si>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</si>
  <si>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</si>
  <si>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</si>
  <si>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</si>
  <si>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</si>
  <si>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</si>
  <si>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</si>
  <si>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</si>
  <si>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</si>
  <si>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</si>
  <si>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</si>
  <si>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</si>
  <si>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</si>
  <si>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</si>
  <si>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</si>
  <si>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</si>
  <si>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</si>
  <si>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</si>
  <si>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</si>
  <si>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</si>
  <si>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</si>
  <si>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</si>
  <si>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</si>
  <si>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</si>
  <si>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</si>
  <si>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</si>
  <si>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</si>
  <si>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</si>
  <si>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</si>
  <si>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</si>
  <si>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</si>
  <si>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</si>
  <si>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</si>
  <si>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</si>
  <si>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</si>
  <si>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</si>
  <si>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</si>
  <si>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</si>
  <si>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</si>
  <si>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</si>
  <si>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</si>
  <si>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</si>
  <si>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</si>
  <si>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</si>
  <si>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</si>
  <si>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</si>
  <si>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</si>
  <si>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</si>
  <si>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</si>
  <si>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</si>
  <si>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</si>
  <si>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</si>
  <si>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</si>
  <si>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</si>
  <si>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</si>
  <si>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</si>
  <si>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</si>
  <si>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</si>
  <si>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</si>
  <si>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</si>
  <si>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</si>
  <si>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</si>
  <si>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</si>
  <si>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</si>
  <si>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</si>
  <si>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</si>
  <si>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</si>
  <si>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</si>
  <si>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</si>
  <si>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</si>
  <si>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</si>
  <si>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</si>
  <si>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</si>
  <si>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</si>
  <si>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</si>
  <si>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</si>
  <si>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</si>
  <si>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</si>
  <si>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</si>
  <si>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</si>
  <si>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</si>
  <si>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</si>
  <si>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</si>
  <si>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</si>
  <si>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</si>
  <si>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</si>
  <si>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</si>
  <si>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</si>
  <si>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</si>
  <si>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</si>
  <si>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</si>
  <si>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</si>
  <si>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</si>
  <si>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</si>
  <si>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</si>
  <si>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</si>
  <si>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</si>
  <si>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</si>
  <si>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</si>
  <si>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</si>
  <si>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</si>
  <si>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</si>
  <si>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</si>
  <si>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</si>
  <si>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</si>
  <si>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</si>
  <si>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</si>
  <si>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</si>
  <si>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</si>
  <si>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</si>
  <si>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</si>
  <si>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</si>
  <si>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</si>
  <si>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</si>
  <si>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</si>
  <si>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</si>
  <si>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</si>
  <si>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</si>
  <si>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</si>
  <si>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</si>
  <si>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</si>
  <si>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</si>
  <si>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</si>
  <si>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</si>
  <si>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</si>
  <si>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</si>
  <si>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</si>
  <si>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</si>
  <si>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</si>
  <si>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</si>
  <si>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</si>
  <si>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</si>
  <si>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</si>
  <si>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</si>
  <si>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</si>
  <si>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</si>
  <si>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</si>
  <si>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</si>
  <si>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</si>
  <si>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</si>
  <si>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</si>
  <si>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</si>
  <si>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</si>
  <si>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</si>
  <si>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</si>
  <si>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</si>
  <si>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</si>
  <si>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</si>
  <si>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</si>
  <si>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</si>
  <si>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</si>
  <si>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</si>
  <si>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</si>
  <si>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</si>
  <si>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</si>
  <si>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</si>
  <si>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</si>
  <si>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</si>
  <si>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</si>
  <si>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</si>
  <si>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</si>
  <si>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</si>
  <si>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</si>
  <si>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</si>
  <si>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</si>
  <si>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</si>
  <si>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</si>
  <si>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</si>
  <si>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</si>
  <si>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</si>
  <si>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</si>
  <si>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</si>
  <si>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</si>
  <si>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</si>
  <si>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</si>
  <si>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</si>
  <si>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</si>
  <si>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</si>
  <si>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</si>
  <si>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</si>
  <si>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</si>
  <si>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</si>
  <si>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</si>
  <si>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</si>
  <si>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</si>
  <si>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</si>
  <si>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</si>
  <si>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</si>
  <si>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</si>
  <si>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</si>
  <si>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</si>
  <si>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</si>
  <si>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</si>
  <si>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</si>
  <si>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</si>
  <si>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</si>
  <si>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</si>
  <si>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</si>
  <si>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</si>
  <si>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</si>
  <si>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</si>
  <si>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</si>
  <si>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</si>
  <si>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</si>
  <si>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</si>
  <si>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</si>
  <si>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</si>
  <si>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</si>
  <si>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</si>
  <si>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</si>
  <si>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</si>
  <si>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</si>
  <si>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</si>
  <si>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</si>
  <si>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</si>
  <si>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</si>
  <si>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</si>
  <si>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</si>
  <si>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</si>
  <si>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</si>
  <si>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</si>
  <si>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</si>
  <si>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</si>
  <si>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</si>
  <si>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</si>
  <si>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</si>
  <si>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</si>
  <si>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</si>
  <si>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</si>
  <si>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</si>
  <si>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</si>
  <si>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</si>
  <si>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</si>
  <si>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</si>
  <si>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</si>
  <si>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</si>
  <si>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</si>
  <si>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</si>
  <si>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</si>
  <si>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</si>
  <si>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</si>
  <si>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</si>
  <si>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</si>
  <si>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</si>
  <si>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</si>
  <si>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</si>
  <si>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</si>
  <si>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</si>
  <si>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</si>
  <si>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</si>
  <si>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</si>
  <si>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</si>
  <si>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</si>
  <si>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</si>
  <si>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</si>
  <si>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</si>
  <si>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</si>
  <si>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</si>
  <si>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</si>
  <si>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</si>
  <si>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</si>
  <si>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</si>
  <si>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</si>
  <si>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</si>
  <si>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</si>
  <si>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</si>
  <si>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</si>
  <si>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</si>
  <si>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</si>
  <si>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</si>
  <si>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</si>
  <si>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</si>
  <si>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</si>
  <si>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</si>
  <si>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</si>
  <si>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</si>
  <si>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</si>
  <si>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</si>
  <si>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</si>
  <si>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</si>
  <si>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</si>
  <si>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</si>
  <si>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</si>
  <si>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</si>
  <si>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</si>
  <si>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</si>
  <si>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</si>
  <si>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</si>
  <si>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</si>
  <si>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</si>
  <si>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</si>
  <si>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</si>
  <si>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</si>
  <si>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</si>
  <si>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</si>
  <si>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</si>
  <si>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</si>
  <si>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</si>
  <si>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</si>
  <si>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</si>
  <si>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</si>
  <si>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</si>
  <si>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</si>
  <si>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</si>
  <si>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</si>
  <si>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</si>
  <si>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</si>
  <si>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</si>
  <si>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</si>
  <si>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</si>
  <si>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</si>
  <si>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</si>
  <si>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</si>
  <si>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</si>
  <si>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</si>
  <si>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</si>
  <si>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</si>
  <si>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</si>
  <si>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</si>
  <si>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</si>
  <si>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</si>
  <si>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</si>
  <si>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</si>
  <si>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</si>
  <si>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</si>
  <si>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</si>
  <si>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</si>
  <si>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</si>
  <si>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</si>
  <si>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</si>
  <si>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</si>
  <si>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</si>
  <si>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</si>
  <si>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</si>
  <si>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</si>
  <si>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</si>
  <si>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</si>
  <si>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</si>
  <si>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</si>
  <si>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</si>
  <si>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</si>
  <si>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</si>
  <si>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</si>
  <si>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</si>
  <si>
    <t>系統無効</t>
    <phoneticPr fontId="50"/>
  </si>
  <si>
    <t>物理無効</t>
    <rPh sb="0" eb="4">
      <t>ブツリムコウ</t>
    </rPh>
    <phoneticPr fontId="50"/>
  </si>
  <si>
    <t>瞬減【行】</t>
  </si>
  <si>
    <t>瞬減【攻】</t>
  </si>
  <si>
    <t>瞬減【防】</t>
  </si>
  <si>
    <t>瞬減【抵】</t>
  </si>
  <si>
    <t>瞬減【命】</t>
  </si>
  <si>
    <t>瞬減【回】</t>
  </si>
  <si>
    <t>瞬減【技】</t>
  </si>
  <si>
    <t>瞬減【解】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</si>
</sst>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9">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6"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3" fillId="24" borderId="74" xfId="18" applyFont="1" applyFill="1" applyBorder="1" applyAlignment="1">
      <alignment horizontal="center" vertical="center" shrinkToFit="1"/>
    </xf>
    <xf numFmtId="0" fontId="8" fillId="0" borderId="2" xfId="18" applyFont="1" applyBorder="1" applyAlignment="1">
      <alignment horizontal="center" vertical="center" shrinkToFit="1"/>
    </xf>
    <xf numFmtId="0" fontId="24" fillId="25" borderId="10"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8"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188" fontId="6" fillId="25" borderId="7" xfId="0" applyNumberFormat="1" applyFont="1" applyFill="1" applyBorder="1" applyAlignment="1">
      <alignment horizontal="center" vertical="center" shrinkToFit="1"/>
    </xf>
    <xf numFmtId="0" fontId="22" fillId="0" borderId="25" xfId="0" applyFont="1" applyBorder="1" applyAlignment="1">
      <alignment horizontal="center" vertical="center" shrinkToFit="1"/>
    </xf>
    <xf numFmtId="0" fontId="25" fillId="0" borderId="33" xfId="18" applyFont="1" applyBorder="1" applyAlignment="1">
      <alignment horizontal="left" vertical="center" indent="1" shrinkToFit="1"/>
    </xf>
    <xf numFmtId="185" fontId="24" fillId="25"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121" xfId="18" applyFont="1" applyBorder="1" applyAlignment="1">
      <alignment horizontal="center" vertical="center" shrinkToFit="1"/>
    </xf>
    <xf numFmtId="0" fontId="8" fillId="31" borderId="36" xfId="18" applyFont="1" applyFill="1" applyBorder="1" applyAlignment="1">
      <alignment horizontal="center" vertical="center" shrinkToFit="1"/>
    </xf>
    <xf numFmtId="0" fontId="25" fillId="0" borderId="14" xfId="18" applyFont="1" applyBorder="1" applyAlignment="1">
      <alignment horizontal="center" vertical="center" shrinkToFit="1"/>
    </xf>
    <xf numFmtId="0" fontId="25" fillId="26" borderId="75" xfId="18" applyFont="1" applyFill="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29"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25" fillId="31" borderId="112" xfId="18" applyFont="1" applyFill="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6" fontId="22" fillId="25" borderId="86" xfId="18" applyNumberFormat="1" applyFont="1" applyFill="1" applyBorder="1" applyAlignment="1">
      <alignment horizontal="left" vertical="center" shrinkToFit="1"/>
    </xf>
    <xf numFmtId="0" fontId="1" fillId="26" borderId="8" xfId="0"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0" fontId="24" fillId="25" borderId="9"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3" fillId="24" borderId="4" xfId="0" applyFont="1" applyFill="1" applyBorder="1" applyAlignment="1">
      <alignment horizontal="center" vertical="center"/>
    </xf>
    <xf numFmtId="0" fontId="4" fillId="26" borderId="5" xfId="0" applyFont="1" applyFill="1" applyBorder="1" applyAlignment="1">
      <alignment horizontal="center" vertical="center"/>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1" fillId="35" borderId="81" xfId="0" applyFont="1" applyFill="1" applyBorder="1" applyAlignment="1">
      <alignment horizontal="left" vertical="center" wrapText="1" indent="1"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58" fillId="29"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28" fillId="75"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4" fillId="26" borderId="1" xfId="0" applyFont="1" applyFill="1" applyBorder="1" applyAlignment="1">
      <alignment horizontal="center" vertical="center"/>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2" fillId="24" borderId="4" xfId="18" applyFont="1" applyFill="1" applyBorder="1" applyAlignment="1">
      <alignment horizontal="center" vertical="center" shrinkToFit="1"/>
    </xf>
    <xf numFmtId="0" fontId="58" fillId="29" borderId="1"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18" fillId="24" borderId="74" xfId="18"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0" fillId="29"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210"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2" fillId="24" borderId="74" xfId="0" applyFont="1" applyFill="1" applyBorder="1" applyAlignment="1">
      <alignment horizontal="center" vertical="center" indent="1" shrinkToFit="1"/>
    </xf>
    <xf numFmtId="0" fontId="18" fillId="24" borderId="74" xfId="0" applyFont="1" applyFill="1" applyBorder="1" applyAlignment="1">
      <alignment horizontal="center" vertical="center" shrinkToFit="1"/>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4" fillId="26" borderId="274"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71" fillId="69" borderId="141" xfId="19" applyFont="1" applyFill="1" applyBorder="1" applyAlignment="1">
      <alignment horizontal="center" vertical="center"/>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151" xfId="19" applyFont="1" applyFill="1" applyBorder="1" applyAlignment="1">
      <alignment horizontal="center" vertical="center"/>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60" fillId="29" borderId="10" xfId="0" applyFont="1" applyFill="1" applyBorder="1" applyAlignment="1">
      <alignment horizontal="center" vertical="center" shrinkToFit="1"/>
    </xf>
    <xf numFmtId="0" fontId="1" fillId="70" borderId="2" xfId="0" applyFont="1" applyFill="1" applyBorder="1" applyAlignment="1">
      <alignment horizontal="center" vertical="center" wrapText="1" shrinkToFit="1"/>
    </xf>
    <xf numFmtId="0" fontId="4" fillId="73"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xf numFmtId="0" fontId="75" fillId="0" borderId="400" xfId="20" applyFont="1" applyBorder="1">
      <alignment vertical="center"/>
    </xf>
    <xf numFmtId="0" fontId="77" fillId="0" borderId="0" xfId="20" applyFont="1" applyBorder="1">
      <alignment vertical="center"/>
    </xf>
    <xf numFmtId="0" fontId="75" fillId="0" borderId="0" xfId="20" applyFont="1" applyBorder="1">
      <alignment vertical="center"/>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zoomScaleNormal="100" workbookViewId="0"/>
  </sheetViews>
  <sheetFormatPr defaultColWidth="10.33203125" defaultRowHeight="12.75" customHeight="1" x14ac:dyDescent="0.2"/>
  <cols>
    <col min="1" max="2" width="10.33203125" style="620"/>
    <col min="3" max="3" width="21.33203125" style="620" customWidth="1"/>
    <col min="4" max="25" width="10.33203125" style="620"/>
    <col min="26" max="26" width="32.44140625" style="620" customWidth="1"/>
    <col min="27" max="42" width="10.33203125" style="620"/>
    <col min="43" max="43" width="21.88671875" style="620" bestFit="1" customWidth="1"/>
    <col min="44" max="46" width="10.33203125" style="620"/>
    <col min="47" max="47" width="21.5546875" style="620" customWidth="1"/>
    <col min="48" max="48" width="10.33203125" style="478"/>
    <col min="49" max="49" width="10.33203125" style="479"/>
    <col min="50" max="63" width="10.33203125" style="431"/>
    <col min="64" max="1010" width="10.33203125" style="620"/>
    <col min="1011" max="16384" width="10.33203125" style="431"/>
  </cols>
  <sheetData>
    <row r="1" spans="1:49" ht="16.95" customHeight="1" x14ac:dyDescent="0.2">
      <c r="A1" s="620" t="s">
        <v>0</v>
      </c>
      <c r="C1" s="620" t="s">
        <v>1</v>
      </c>
      <c r="D1" s="620" t="s">
        <v>123</v>
      </c>
      <c r="F1" s="620" t="s">
        <v>2</v>
      </c>
      <c r="G1" s="620" t="s">
        <v>1327</v>
      </c>
      <c r="H1" s="620" t="s">
        <v>5</v>
      </c>
      <c r="K1" s="620" t="s">
        <v>6</v>
      </c>
      <c r="N1" s="620" t="s">
        <v>9</v>
      </c>
      <c r="P1" s="620" t="s">
        <v>10</v>
      </c>
      <c r="Q1" s="620" t="s">
        <v>1325</v>
      </c>
      <c r="R1" s="620" t="s">
        <v>11</v>
      </c>
      <c r="Z1" s="620" t="s">
        <v>12</v>
      </c>
      <c r="AA1" s="620" t="s">
        <v>397</v>
      </c>
      <c r="AD1" s="620" t="s">
        <v>13</v>
      </c>
      <c r="AF1" s="620" t="s">
        <v>14</v>
      </c>
      <c r="AH1" s="620" t="s">
        <v>15</v>
      </c>
      <c r="AI1" s="620" t="s">
        <v>1328</v>
      </c>
      <c r="AK1" s="620" t="s">
        <v>16</v>
      </c>
      <c r="AM1" s="620" t="s">
        <v>17</v>
      </c>
      <c r="AR1" s="620" t="s">
        <v>4</v>
      </c>
      <c r="AS1" s="620" t="s">
        <v>792</v>
      </c>
      <c r="AU1" s="620" t="s">
        <v>15</v>
      </c>
      <c r="AV1" s="478" t="s">
        <v>792</v>
      </c>
      <c r="AW1" s="621" t="s">
        <v>791</v>
      </c>
    </row>
    <row r="2" spans="1:49" ht="12.75" customHeight="1" x14ac:dyDescent="0.2">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2">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2">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2">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2">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2">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2">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1309</v>
      </c>
      <c r="AQ8" s="622" t="s">
        <v>1091</v>
      </c>
      <c r="AR8" s="620" t="s">
        <v>99</v>
      </c>
      <c r="AS8" s="478">
        <v>2</v>
      </c>
      <c r="AU8" s="431" t="s">
        <v>107</v>
      </c>
      <c r="AV8" s="478">
        <v>1</v>
      </c>
      <c r="AW8" s="478">
        <v>1</v>
      </c>
    </row>
    <row r="9" spans="1:49" ht="12.75" customHeight="1" x14ac:dyDescent="0.2">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2">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2">
      <c r="K11" s="620">
        <v>1</v>
      </c>
      <c r="N11" s="620" t="s">
        <v>225</v>
      </c>
      <c r="O11" s="620" t="s">
        <v>1326</v>
      </c>
      <c r="P11" s="620" t="s">
        <v>125</v>
      </c>
      <c r="Q11" s="620" t="s">
        <v>125</v>
      </c>
      <c r="R11" s="620" t="s">
        <v>126</v>
      </c>
      <c r="V11" s="620">
        <v>9</v>
      </c>
      <c r="X11" s="480" t="s">
        <v>18</v>
      </c>
      <c r="Z11" s="620" t="s">
        <v>1271</v>
      </c>
      <c r="AA11" s="620">
        <v>2</v>
      </c>
      <c r="AD11" s="620" t="s">
        <v>127</v>
      </c>
      <c r="AF11" s="620" t="s">
        <v>128</v>
      </c>
      <c r="AH11" s="620" t="s">
        <v>129</v>
      </c>
      <c r="AI11" s="620" t="s">
        <v>129</v>
      </c>
      <c r="AM11" s="620" t="s">
        <v>1310</v>
      </c>
      <c r="AQ11" s="622" t="s">
        <v>1093</v>
      </c>
      <c r="AR11" s="620" t="s">
        <v>124</v>
      </c>
      <c r="AS11" s="478">
        <v>1</v>
      </c>
      <c r="AT11" s="478"/>
      <c r="AU11" s="620" t="s">
        <v>129</v>
      </c>
      <c r="AV11" s="478">
        <v>1</v>
      </c>
      <c r="AW11" s="478">
        <v>2</v>
      </c>
    </row>
    <row r="12" spans="1:49" ht="12.75" customHeight="1" x14ac:dyDescent="0.2">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2">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1311</v>
      </c>
      <c r="AQ13" s="622" t="s">
        <v>1096</v>
      </c>
      <c r="AR13" s="431" t="s">
        <v>140</v>
      </c>
      <c r="AS13" s="479">
        <v>1</v>
      </c>
      <c r="AU13" s="620" t="s">
        <v>145</v>
      </c>
      <c r="AV13" s="478">
        <v>1</v>
      </c>
      <c r="AW13" s="478">
        <v>1</v>
      </c>
    </row>
    <row r="14" spans="1:49" ht="12.75" customHeight="1" x14ac:dyDescent="0.2">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1312</v>
      </c>
      <c r="AQ14" s="622" t="s">
        <v>1097</v>
      </c>
      <c r="AR14" s="620" t="s">
        <v>149</v>
      </c>
      <c r="AS14" s="478">
        <v>1</v>
      </c>
      <c r="AU14" s="620" t="s">
        <v>154</v>
      </c>
      <c r="AV14" s="478">
        <v>1</v>
      </c>
      <c r="AW14" s="478">
        <v>1</v>
      </c>
    </row>
    <row r="15" spans="1:49" ht="12.75" customHeight="1" x14ac:dyDescent="0.2">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1313</v>
      </c>
      <c r="AQ15" s="622" t="s">
        <v>1098</v>
      </c>
      <c r="AR15" s="620" t="s">
        <v>128</v>
      </c>
      <c r="AS15" s="478">
        <v>2</v>
      </c>
      <c r="AU15" s="620" t="s">
        <v>163</v>
      </c>
      <c r="AV15" s="478">
        <v>1</v>
      </c>
      <c r="AW15" s="478">
        <v>1</v>
      </c>
    </row>
    <row r="16" spans="1:49" ht="12.75" customHeight="1" x14ac:dyDescent="0.2">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1314</v>
      </c>
      <c r="AQ16" s="622" t="s">
        <v>1099</v>
      </c>
      <c r="AR16" s="620" t="s">
        <v>166</v>
      </c>
      <c r="AS16" s="478">
        <v>1</v>
      </c>
      <c r="AU16" s="620" t="s">
        <v>170</v>
      </c>
      <c r="AV16" s="478">
        <v>1</v>
      </c>
      <c r="AW16" s="478">
        <v>1</v>
      </c>
    </row>
    <row r="17" spans="1:49" ht="12.75" customHeight="1" x14ac:dyDescent="0.2">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1315</v>
      </c>
      <c r="AQ17" s="623" t="s">
        <v>1100</v>
      </c>
      <c r="AR17" s="620" t="s">
        <v>173</v>
      </c>
      <c r="AS17" s="478">
        <v>1</v>
      </c>
      <c r="AU17" s="620" t="s">
        <v>177</v>
      </c>
      <c r="AV17" s="478">
        <v>1</v>
      </c>
      <c r="AW17" s="478">
        <v>1</v>
      </c>
    </row>
    <row r="18" spans="1:49" ht="12.75" customHeight="1" x14ac:dyDescent="0.2">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2">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2" x14ac:dyDescent="0.2">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2" x14ac:dyDescent="0.2">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2">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2">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 customHeight="1" x14ac:dyDescent="0.2">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2">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2">
      <c r="C26" s="620">
        <v>4</v>
      </c>
      <c r="P26" s="620" t="s">
        <v>230</v>
      </c>
      <c r="Q26" s="620" t="s">
        <v>230</v>
      </c>
      <c r="X26" s="480" t="s">
        <v>18</v>
      </c>
      <c r="Z26" s="620" t="s">
        <v>1253</v>
      </c>
      <c r="AA26" s="620">
        <v>1</v>
      </c>
      <c r="AD26" s="620" t="s">
        <v>231</v>
      </c>
      <c r="AF26" s="620" t="s">
        <v>232</v>
      </c>
      <c r="AH26" s="620" t="s">
        <v>233</v>
      </c>
      <c r="AI26" s="620" t="s">
        <v>233</v>
      </c>
      <c r="AM26" s="620" t="s">
        <v>1308</v>
      </c>
      <c r="AQ26" s="622" t="s">
        <v>1109</v>
      </c>
      <c r="AU26" s="620" t="s">
        <v>233</v>
      </c>
      <c r="AV26" s="478">
        <v>1</v>
      </c>
      <c r="AW26" s="478">
        <v>1</v>
      </c>
    </row>
    <row r="27" spans="1:49" ht="12.75" customHeight="1" x14ac:dyDescent="0.2">
      <c r="C27" s="620">
        <v>5</v>
      </c>
      <c r="P27" s="620" t="s">
        <v>235</v>
      </c>
      <c r="Q27" s="620" t="s">
        <v>235</v>
      </c>
      <c r="X27" s="620" t="s">
        <v>236</v>
      </c>
      <c r="Z27" s="620" t="s">
        <v>1254</v>
      </c>
      <c r="AA27" s="620">
        <v>1</v>
      </c>
      <c r="AD27" s="620" t="s">
        <v>237</v>
      </c>
      <c r="AF27" s="620" t="s">
        <v>238</v>
      </c>
      <c r="AH27" s="620" t="s">
        <v>1087</v>
      </c>
      <c r="AI27" s="620" t="s">
        <v>1087</v>
      </c>
      <c r="AM27" s="620" t="s">
        <v>1318</v>
      </c>
      <c r="AQ27" s="622" t="s">
        <v>1110</v>
      </c>
      <c r="AU27" s="620" t="s">
        <v>1087</v>
      </c>
      <c r="AV27" s="478">
        <v>1</v>
      </c>
      <c r="AW27" s="479">
        <v>1</v>
      </c>
    </row>
    <row r="28" spans="1:49" ht="12.75" customHeight="1" x14ac:dyDescent="0.2">
      <c r="P28" s="620" t="s">
        <v>239</v>
      </c>
      <c r="Q28" s="620" t="s">
        <v>239</v>
      </c>
      <c r="Z28" s="620" t="s">
        <v>1255</v>
      </c>
      <c r="AA28" s="620">
        <v>1</v>
      </c>
      <c r="AD28" s="620" t="s">
        <v>240</v>
      </c>
      <c r="AF28" s="620" t="s">
        <v>241</v>
      </c>
      <c r="AH28" s="620" t="s">
        <v>242</v>
      </c>
      <c r="AI28" s="620" t="s">
        <v>242</v>
      </c>
      <c r="AM28" s="620" t="s">
        <v>1316</v>
      </c>
      <c r="AQ28" s="622" t="s">
        <v>1111</v>
      </c>
      <c r="AU28" s="620" t="s">
        <v>242</v>
      </c>
      <c r="AV28" s="478">
        <v>2</v>
      </c>
      <c r="AW28" s="478">
        <v>2</v>
      </c>
    </row>
    <row r="29" spans="1:49" ht="27" customHeight="1" x14ac:dyDescent="0.2">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2">
      <c r="A30" s="431" t="s">
        <v>249</v>
      </c>
      <c r="B30" s="431"/>
      <c r="C30" s="431"/>
      <c r="P30" s="620" t="s">
        <v>251</v>
      </c>
      <c r="Q30" s="620" t="s">
        <v>251</v>
      </c>
      <c r="X30" s="620" t="s">
        <v>252</v>
      </c>
      <c r="Z30" s="620" t="s">
        <v>1257</v>
      </c>
      <c r="AA30" s="620">
        <v>1</v>
      </c>
      <c r="AD30" s="620" t="s">
        <v>253</v>
      </c>
      <c r="AF30" s="620" t="s">
        <v>254</v>
      </c>
      <c r="AH30" s="620" t="s">
        <v>255</v>
      </c>
      <c r="AI30" s="620" t="s">
        <v>255</v>
      </c>
      <c r="AM30" s="620" t="s">
        <v>1317</v>
      </c>
      <c r="AQ30" s="623" t="s">
        <v>1113</v>
      </c>
      <c r="AU30" s="620" t="s">
        <v>255</v>
      </c>
      <c r="AV30" s="478">
        <v>1</v>
      </c>
      <c r="AW30" s="478">
        <v>1</v>
      </c>
    </row>
    <row r="31" spans="1:49" ht="27" customHeight="1" x14ac:dyDescent="0.2">
      <c r="A31" s="431" t="s">
        <v>256</v>
      </c>
      <c r="B31" s="431"/>
      <c r="C31" s="431"/>
      <c r="P31" s="620" t="s">
        <v>259</v>
      </c>
      <c r="Q31" s="620" t="s">
        <v>259</v>
      </c>
      <c r="X31" s="431"/>
      <c r="Z31" s="431" t="s">
        <v>1258</v>
      </c>
      <c r="AA31" s="620">
        <v>1</v>
      </c>
      <c r="AD31" s="620" t="s">
        <v>260</v>
      </c>
      <c r="AF31" s="620" t="s">
        <v>261</v>
      </c>
      <c r="AH31" s="620" t="s">
        <v>262</v>
      </c>
      <c r="AI31" s="620" t="s">
        <v>262</v>
      </c>
      <c r="AQ31" s="623" t="s">
        <v>1114</v>
      </c>
      <c r="AU31" s="620" t="s">
        <v>262</v>
      </c>
      <c r="AV31" s="478">
        <v>1</v>
      </c>
      <c r="AW31" s="478">
        <v>1</v>
      </c>
    </row>
    <row r="32" spans="1:49" ht="27" customHeight="1" x14ac:dyDescent="0.2">
      <c r="A32" s="431" t="s">
        <v>263</v>
      </c>
      <c r="B32" s="431" t="s">
        <v>264</v>
      </c>
      <c r="C32" s="431"/>
      <c r="P32" s="620" t="s">
        <v>265</v>
      </c>
      <c r="Q32" s="620" t="s">
        <v>265</v>
      </c>
      <c r="X32" s="480" t="s">
        <v>18</v>
      </c>
      <c r="Z32" s="431" t="s">
        <v>1259</v>
      </c>
      <c r="AA32" s="620">
        <v>1</v>
      </c>
      <c r="AD32" s="620" t="s">
        <v>266</v>
      </c>
      <c r="AF32" s="620" t="s">
        <v>267</v>
      </c>
      <c r="AH32" s="620" t="s">
        <v>268</v>
      </c>
      <c r="AI32" s="620" t="s">
        <v>268</v>
      </c>
      <c r="AQ32" s="623" t="s">
        <v>1115</v>
      </c>
      <c r="AU32" s="620" t="s">
        <v>268</v>
      </c>
      <c r="AV32" s="478">
        <v>1</v>
      </c>
      <c r="AW32" s="478">
        <v>1</v>
      </c>
    </row>
    <row r="33" spans="1:49" ht="27" customHeight="1" x14ac:dyDescent="0.2">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2">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2">
      <c r="A35" s="431" t="s">
        <v>283</v>
      </c>
      <c r="B35" s="431"/>
      <c r="C35" s="431"/>
      <c r="P35" s="620" t="s">
        <v>284</v>
      </c>
      <c r="Q35" s="620" t="s">
        <v>290</v>
      </c>
      <c r="X35" s="480" t="s">
        <v>18</v>
      </c>
      <c r="AD35" s="620" t="s">
        <v>285</v>
      </c>
      <c r="AF35" s="620" t="s">
        <v>286</v>
      </c>
      <c r="AH35" s="620" t="s">
        <v>287</v>
      </c>
      <c r="AI35" s="620" t="s">
        <v>287</v>
      </c>
      <c r="AQ35" s="623" t="s">
        <v>1119</v>
      </c>
      <c r="AU35" s="620" t="s">
        <v>287</v>
      </c>
      <c r="AV35" s="478">
        <v>2</v>
      </c>
      <c r="AW35" s="478">
        <v>2</v>
      </c>
    </row>
    <row r="36" spans="1:49" ht="27" customHeight="1" x14ac:dyDescent="0.2">
      <c r="A36" s="431" t="s">
        <v>288</v>
      </c>
      <c r="B36" s="431" t="s">
        <v>289</v>
      </c>
      <c r="C36" s="431"/>
      <c r="P36" s="620" t="s">
        <v>290</v>
      </c>
      <c r="Q36" s="620" t="s">
        <v>789</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2">
      <c r="A37" s="431" t="s">
        <v>294</v>
      </c>
      <c r="C37" s="431"/>
      <c r="P37" s="620" t="s">
        <v>789</v>
      </c>
      <c r="Q37" s="431" t="s">
        <v>301</v>
      </c>
      <c r="X37" s="431"/>
      <c r="Z37" s="431" t="s">
        <v>1276</v>
      </c>
      <c r="AA37" s="620">
        <v>2</v>
      </c>
      <c r="AD37" s="620" t="s">
        <v>296</v>
      </c>
      <c r="AF37" s="620" t="s">
        <v>297</v>
      </c>
      <c r="AH37" s="620" t="s">
        <v>298</v>
      </c>
      <c r="AI37" s="620" t="s">
        <v>298</v>
      </c>
      <c r="AQ37" s="624" t="s">
        <v>1118</v>
      </c>
      <c r="AU37" s="620" t="s">
        <v>298</v>
      </c>
      <c r="AV37" s="478">
        <v>0</v>
      </c>
      <c r="AW37" s="478">
        <v>0</v>
      </c>
    </row>
    <row r="38" spans="1:49" ht="27" customHeight="1" x14ac:dyDescent="0.2">
      <c r="A38" s="431" t="s">
        <v>299</v>
      </c>
      <c r="B38" s="431" t="s">
        <v>300</v>
      </c>
      <c r="P38" s="431" t="s">
        <v>301</v>
      </c>
      <c r="Q38" s="620" t="s">
        <v>307</v>
      </c>
      <c r="X38" s="431"/>
      <c r="Z38" s="431" t="s">
        <v>1277</v>
      </c>
      <c r="AA38" s="620">
        <v>2</v>
      </c>
      <c r="AD38" s="620" t="s">
        <v>302</v>
      </c>
      <c r="AF38" s="620" t="s">
        <v>303</v>
      </c>
      <c r="AH38" s="620" t="s">
        <v>304</v>
      </c>
      <c r="AI38" s="620" t="s">
        <v>304</v>
      </c>
      <c r="AQ38" s="622" t="s">
        <v>1121</v>
      </c>
      <c r="AU38" s="620" t="s">
        <v>304</v>
      </c>
      <c r="AV38" s="478">
        <v>2</v>
      </c>
      <c r="AW38" s="478">
        <v>2</v>
      </c>
    </row>
    <row r="39" spans="1:49" ht="12.75" customHeight="1" x14ac:dyDescent="0.2">
      <c r="A39" s="431" t="s">
        <v>305</v>
      </c>
      <c r="B39" s="431" t="s">
        <v>306</v>
      </c>
      <c r="P39" s="620" t="s">
        <v>307</v>
      </c>
      <c r="Q39" s="620" t="s">
        <v>312</v>
      </c>
      <c r="Z39" s="431" t="s">
        <v>1280</v>
      </c>
      <c r="AA39" s="620">
        <v>1</v>
      </c>
      <c r="AD39" s="620" t="s">
        <v>374</v>
      </c>
      <c r="AF39" s="620" t="s">
        <v>308</v>
      </c>
      <c r="AH39" s="620" t="s">
        <v>309</v>
      </c>
      <c r="AI39" s="620" t="s">
        <v>309</v>
      </c>
      <c r="AQ39" s="622" t="s">
        <v>1122</v>
      </c>
      <c r="AU39" s="620" t="s">
        <v>309</v>
      </c>
      <c r="AV39" s="478">
        <v>1</v>
      </c>
      <c r="AW39" s="478">
        <v>1</v>
      </c>
    </row>
    <row r="40" spans="1:49" ht="12.75" customHeight="1" x14ac:dyDescent="0.2">
      <c r="A40" s="431" t="s">
        <v>310</v>
      </c>
      <c r="B40" s="431" t="s">
        <v>311</v>
      </c>
      <c r="P40" s="620" t="s">
        <v>312</v>
      </c>
      <c r="Q40" s="620" t="s">
        <v>315</v>
      </c>
      <c r="Z40" s="431" t="s">
        <v>1281</v>
      </c>
      <c r="AA40" s="620">
        <v>1</v>
      </c>
      <c r="AD40" s="620" t="s">
        <v>277</v>
      </c>
      <c r="AF40" s="620" t="s">
        <v>313</v>
      </c>
      <c r="AH40" s="620" t="s">
        <v>314</v>
      </c>
      <c r="AI40" s="620" t="s">
        <v>314</v>
      </c>
      <c r="AQ40" s="622" t="s">
        <v>1123</v>
      </c>
      <c r="AU40" s="620" t="s">
        <v>314</v>
      </c>
      <c r="AV40" s="478">
        <v>2</v>
      </c>
      <c r="AW40" s="478">
        <v>2</v>
      </c>
    </row>
    <row r="41" spans="1:49" ht="12.75" customHeight="1" x14ac:dyDescent="0.2">
      <c r="P41" s="620" t="s">
        <v>315</v>
      </c>
      <c r="Q41" s="620" t="s">
        <v>318</v>
      </c>
      <c r="Z41" s="431" t="s">
        <v>1282</v>
      </c>
      <c r="AA41" s="620">
        <v>1</v>
      </c>
      <c r="AD41" s="620" t="s">
        <v>788</v>
      </c>
      <c r="AF41" s="620" t="s">
        <v>316</v>
      </c>
      <c r="AH41" s="620" t="s">
        <v>317</v>
      </c>
      <c r="AI41" s="620" t="s">
        <v>317</v>
      </c>
      <c r="AQ41" s="622" t="s">
        <v>1124</v>
      </c>
      <c r="AU41" s="620" t="s">
        <v>317</v>
      </c>
      <c r="AV41" s="478">
        <v>1</v>
      </c>
      <c r="AW41" s="478">
        <v>1</v>
      </c>
    </row>
    <row r="42" spans="1:49" ht="12.75" customHeight="1" x14ac:dyDescent="0.2">
      <c r="P42" s="620" t="s">
        <v>318</v>
      </c>
      <c r="Q42" s="620" t="s">
        <v>321</v>
      </c>
      <c r="Z42" s="431" t="s">
        <v>1283</v>
      </c>
      <c r="AA42" s="620">
        <v>1</v>
      </c>
      <c r="AD42" s="620" t="s">
        <v>787</v>
      </c>
      <c r="AF42" s="620" t="s">
        <v>319</v>
      </c>
      <c r="AH42" s="620" t="s">
        <v>320</v>
      </c>
      <c r="AI42" s="620" t="s">
        <v>320</v>
      </c>
      <c r="AQ42" s="622" t="s">
        <v>1141</v>
      </c>
      <c r="AU42" s="620" t="s">
        <v>320</v>
      </c>
      <c r="AV42" s="478">
        <v>1</v>
      </c>
      <c r="AW42" s="478">
        <v>1</v>
      </c>
    </row>
    <row r="43" spans="1:49" ht="12.75" customHeight="1" x14ac:dyDescent="0.2">
      <c r="P43" s="620" t="s">
        <v>321</v>
      </c>
      <c r="Q43" s="620" t="s">
        <v>324</v>
      </c>
      <c r="Z43" s="431" t="s">
        <v>1284</v>
      </c>
      <c r="AA43" s="620">
        <v>1</v>
      </c>
      <c r="AD43" s="620" t="s">
        <v>786</v>
      </c>
      <c r="AF43" s="620" t="s">
        <v>322</v>
      </c>
      <c r="AH43" s="620" t="s">
        <v>323</v>
      </c>
      <c r="AI43" s="620" t="s">
        <v>323</v>
      </c>
      <c r="AQ43" s="622" t="s">
        <v>1142</v>
      </c>
      <c r="AU43" s="620" t="s">
        <v>323</v>
      </c>
      <c r="AV43" s="478">
        <v>2</v>
      </c>
      <c r="AW43" s="478">
        <v>2</v>
      </c>
    </row>
    <row r="44" spans="1:49" ht="12.75" customHeight="1" x14ac:dyDescent="0.2">
      <c r="P44" s="620" t="s">
        <v>324</v>
      </c>
      <c r="Q44" s="1227" t="s">
        <v>327</v>
      </c>
      <c r="AD44" s="620" t="s">
        <v>785</v>
      </c>
      <c r="AF44" s="620" t="s">
        <v>325</v>
      </c>
      <c r="AH44" s="620" t="s">
        <v>326</v>
      </c>
      <c r="AI44" s="620" t="s">
        <v>326</v>
      </c>
      <c r="AQ44" s="622" t="s">
        <v>1155</v>
      </c>
      <c r="AU44" s="620" t="s">
        <v>326</v>
      </c>
      <c r="AV44" s="478">
        <v>1</v>
      </c>
      <c r="AW44" s="478">
        <v>1</v>
      </c>
    </row>
    <row r="45" spans="1:49" ht="12.75" customHeight="1" x14ac:dyDescent="0.2">
      <c r="P45" s="620" t="s">
        <v>327</v>
      </c>
      <c r="Q45" s="1227" t="s">
        <v>331</v>
      </c>
      <c r="AD45" s="620" t="s">
        <v>784</v>
      </c>
      <c r="AF45" s="620" t="s">
        <v>328</v>
      </c>
      <c r="AH45" s="620" t="s">
        <v>329</v>
      </c>
      <c r="AI45" s="620" t="s">
        <v>329</v>
      </c>
      <c r="AQ45" s="622" t="s">
        <v>1156</v>
      </c>
      <c r="AU45" s="620" t="s">
        <v>329</v>
      </c>
      <c r="AV45" s="478">
        <v>1</v>
      </c>
      <c r="AW45" s="478">
        <v>1</v>
      </c>
    </row>
    <row r="46" spans="1:49" ht="12.75" customHeight="1" x14ac:dyDescent="0.2">
      <c r="P46" s="620" t="s">
        <v>331</v>
      </c>
      <c r="Q46" s="1228" t="s">
        <v>1331</v>
      </c>
      <c r="AD46" s="620" t="s">
        <v>783</v>
      </c>
      <c r="AF46" s="620" t="s">
        <v>332</v>
      </c>
      <c r="AH46" s="431" t="s">
        <v>333</v>
      </c>
      <c r="AI46" s="431" t="s">
        <v>333</v>
      </c>
      <c r="AQ46" s="622" t="s">
        <v>1157</v>
      </c>
      <c r="AU46" s="431" t="s">
        <v>333</v>
      </c>
      <c r="AV46" s="478">
        <v>2</v>
      </c>
      <c r="AW46" s="478">
        <v>2</v>
      </c>
    </row>
    <row r="47" spans="1:49" ht="12.75" customHeight="1" x14ac:dyDescent="0.2">
      <c r="P47" s="620" t="s">
        <v>331</v>
      </c>
      <c r="Q47" s="1228" t="s">
        <v>1332</v>
      </c>
      <c r="Z47" s="431"/>
      <c r="AD47" s="620" t="s">
        <v>782</v>
      </c>
      <c r="AF47" s="620" t="s">
        <v>334</v>
      </c>
      <c r="AH47" s="431" t="s">
        <v>335</v>
      </c>
      <c r="AI47" s="431" t="s">
        <v>335</v>
      </c>
      <c r="AQ47" s="622" t="s">
        <v>1158</v>
      </c>
      <c r="AU47" s="431" t="s">
        <v>335</v>
      </c>
      <c r="AV47" s="478">
        <v>1</v>
      </c>
      <c r="AW47" s="478">
        <v>1</v>
      </c>
    </row>
    <row r="48" spans="1:49" ht="12.75" customHeight="1" x14ac:dyDescent="0.2">
      <c r="Q48" s="1228" t="s">
        <v>1333</v>
      </c>
      <c r="Z48" s="431"/>
      <c r="AD48" s="620" t="s">
        <v>781</v>
      </c>
      <c r="AF48" s="620" t="s">
        <v>336</v>
      </c>
      <c r="AH48" s="620" t="s">
        <v>337</v>
      </c>
      <c r="AI48" s="620" t="s">
        <v>337</v>
      </c>
      <c r="AQ48" s="622" t="s">
        <v>1159</v>
      </c>
      <c r="AU48" s="620" t="s">
        <v>337</v>
      </c>
      <c r="AV48" s="478">
        <v>2</v>
      </c>
      <c r="AW48" s="478">
        <v>2</v>
      </c>
    </row>
    <row r="49" spans="16:49" ht="12.75" customHeight="1" x14ac:dyDescent="0.2">
      <c r="Q49" s="1228" t="s">
        <v>1334</v>
      </c>
      <c r="AD49" s="620" t="s">
        <v>780</v>
      </c>
      <c r="AF49" s="620" t="s">
        <v>338</v>
      </c>
      <c r="AH49" s="620" t="s">
        <v>339</v>
      </c>
      <c r="AI49" s="620" t="s">
        <v>339</v>
      </c>
      <c r="AQ49" s="622" t="s">
        <v>1160</v>
      </c>
      <c r="AU49" s="620" t="s">
        <v>339</v>
      </c>
      <c r="AV49" s="478">
        <v>1</v>
      </c>
      <c r="AW49" s="478">
        <v>1</v>
      </c>
    </row>
    <row r="50" spans="16:49" ht="12.75" customHeight="1" x14ac:dyDescent="0.2">
      <c r="Q50" s="1228" t="s">
        <v>1335</v>
      </c>
      <c r="AD50" s="620" t="s">
        <v>779</v>
      </c>
      <c r="AF50" s="620" t="s">
        <v>340</v>
      </c>
      <c r="AH50" s="620" t="s">
        <v>341</v>
      </c>
      <c r="AI50" s="620" t="s">
        <v>341</v>
      </c>
      <c r="AQ50" s="622" t="s">
        <v>1161</v>
      </c>
      <c r="AU50" s="620" t="s">
        <v>341</v>
      </c>
      <c r="AV50" s="478">
        <v>1</v>
      </c>
      <c r="AW50" s="479">
        <v>2</v>
      </c>
    </row>
    <row r="51" spans="16:49" ht="12.75" customHeight="1" x14ac:dyDescent="0.2">
      <c r="Q51" s="1228" t="s">
        <v>1336</v>
      </c>
      <c r="AD51" s="620" t="s">
        <v>778</v>
      </c>
      <c r="AF51" s="620" t="s">
        <v>342</v>
      </c>
      <c r="AH51" s="620" t="s">
        <v>343</v>
      </c>
      <c r="AI51" s="620" t="s">
        <v>343</v>
      </c>
      <c r="AQ51" s="622" t="s">
        <v>1162</v>
      </c>
      <c r="AU51" s="620" t="s">
        <v>343</v>
      </c>
      <c r="AV51" s="478">
        <v>1</v>
      </c>
      <c r="AW51" s="479">
        <v>2</v>
      </c>
    </row>
    <row r="52" spans="16:49" ht="12.75" customHeight="1" x14ac:dyDescent="0.2">
      <c r="Q52" s="1228" t="s">
        <v>1337</v>
      </c>
      <c r="AD52" s="620" t="s">
        <v>777</v>
      </c>
      <c r="AF52" s="620" t="s">
        <v>344</v>
      </c>
      <c r="AH52" s="620" t="s">
        <v>345</v>
      </c>
      <c r="AI52" s="620" t="s">
        <v>345</v>
      </c>
      <c r="AQ52" s="622" t="s">
        <v>1163</v>
      </c>
      <c r="AU52" s="620" t="s">
        <v>345</v>
      </c>
      <c r="AV52" s="478">
        <v>1</v>
      </c>
      <c r="AW52" s="479">
        <v>2</v>
      </c>
    </row>
    <row r="53" spans="16:49" ht="12.75" customHeight="1" x14ac:dyDescent="0.2">
      <c r="Q53" s="1228" t="s">
        <v>1338</v>
      </c>
      <c r="AD53" s="620" t="s">
        <v>776</v>
      </c>
      <c r="AF53" s="620" t="s">
        <v>346</v>
      </c>
      <c r="AH53" s="620" t="s">
        <v>347</v>
      </c>
      <c r="AI53" s="620" t="s">
        <v>347</v>
      </c>
      <c r="AQ53" s="622" t="s">
        <v>1164</v>
      </c>
      <c r="AU53" s="620" t="s">
        <v>347</v>
      </c>
      <c r="AV53" s="478">
        <v>1</v>
      </c>
      <c r="AW53" s="478">
        <v>1</v>
      </c>
    </row>
    <row r="54" spans="16:49" ht="12.75" customHeight="1" x14ac:dyDescent="0.2">
      <c r="P54" s="625"/>
      <c r="Q54" s="1227" t="s">
        <v>1084</v>
      </c>
      <c r="AD54" s="620" t="s">
        <v>775</v>
      </c>
      <c r="AF54" s="620" t="s">
        <v>348</v>
      </c>
      <c r="AH54" s="620" t="s">
        <v>349</v>
      </c>
      <c r="AI54" s="620" t="s">
        <v>349</v>
      </c>
      <c r="AQ54" s="622" t="s">
        <v>1165</v>
      </c>
      <c r="AU54" s="620" t="s">
        <v>349</v>
      </c>
      <c r="AV54" s="478">
        <v>2</v>
      </c>
      <c r="AW54" s="478">
        <v>2</v>
      </c>
    </row>
    <row r="55" spans="16:49" ht="12.75" customHeight="1" x14ac:dyDescent="0.2">
      <c r="Q55" s="620" t="s">
        <v>1076</v>
      </c>
      <c r="AD55" s="620" t="s">
        <v>774</v>
      </c>
      <c r="AF55" s="620" t="s">
        <v>350</v>
      </c>
      <c r="AH55" s="620" t="s">
        <v>351</v>
      </c>
      <c r="AI55" s="620" t="s">
        <v>351</v>
      </c>
      <c r="AQ55" s="622" t="s">
        <v>1166</v>
      </c>
      <c r="AU55" s="620" t="s">
        <v>351</v>
      </c>
      <c r="AV55" s="478">
        <v>1</v>
      </c>
      <c r="AW55" s="478">
        <v>1</v>
      </c>
    </row>
    <row r="56" spans="16:49" ht="12.75" customHeight="1" x14ac:dyDescent="0.2">
      <c r="Q56" s="620" t="s">
        <v>1072</v>
      </c>
      <c r="AD56" s="620" t="s">
        <v>773</v>
      </c>
      <c r="AF56" s="620" t="s">
        <v>352</v>
      </c>
      <c r="AH56" s="620" t="s">
        <v>353</v>
      </c>
      <c r="AI56" s="620" t="s">
        <v>353</v>
      </c>
      <c r="AQ56" s="622" t="s">
        <v>1167</v>
      </c>
      <c r="AU56" s="620" t="s">
        <v>353</v>
      </c>
      <c r="AV56" s="478">
        <v>1</v>
      </c>
      <c r="AW56" s="478">
        <v>1</v>
      </c>
    </row>
    <row r="57" spans="16:49" ht="12.75" customHeight="1" x14ac:dyDescent="0.2">
      <c r="Q57" s="620" t="s">
        <v>1073</v>
      </c>
      <c r="AD57" s="620" t="s">
        <v>772</v>
      </c>
      <c r="AF57" s="620" t="s">
        <v>354</v>
      </c>
      <c r="AH57" s="620" t="s">
        <v>355</v>
      </c>
      <c r="AI57" s="630" t="s">
        <v>768</v>
      </c>
      <c r="AQ57" s="622" t="s">
        <v>1168</v>
      </c>
      <c r="AU57" s="620" t="s">
        <v>355</v>
      </c>
      <c r="AV57" s="478">
        <v>1</v>
      </c>
      <c r="AW57" s="478">
        <v>1</v>
      </c>
    </row>
    <row r="58" spans="16:49" ht="12.75" customHeight="1" x14ac:dyDescent="0.2">
      <c r="P58" s="625"/>
      <c r="Q58" s="620" t="s">
        <v>1074</v>
      </c>
      <c r="AD58" s="620" t="s">
        <v>330</v>
      </c>
      <c r="AF58" s="620" t="s">
        <v>356</v>
      </c>
      <c r="AH58" s="620" t="s">
        <v>357</v>
      </c>
      <c r="AI58" s="620" t="s">
        <v>357</v>
      </c>
      <c r="AQ58" s="622" t="s">
        <v>1169</v>
      </c>
      <c r="AU58" s="620" t="s">
        <v>357</v>
      </c>
      <c r="AV58" s="478">
        <v>1</v>
      </c>
      <c r="AW58" s="479">
        <v>2</v>
      </c>
    </row>
    <row r="59" spans="16:49" ht="12.75" customHeight="1" x14ac:dyDescent="0.2">
      <c r="Q59" s="620" t="s">
        <v>1075</v>
      </c>
      <c r="AD59" s="620" t="s">
        <v>771</v>
      </c>
      <c r="AF59" s="620" t="s">
        <v>358</v>
      </c>
      <c r="AI59" s="630" t="s">
        <v>766</v>
      </c>
      <c r="AQ59" s="622" t="s">
        <v>1170</v>
      </c>
      <c r="AU59" s="620" t="s">
        <v>770</v>
      </c>
      <c r="AV59" s="478">
        <v>0</v>
      </c>
      <c r="AW59" s="478">
        <v>1</v>
      </c>
    </row>
    <row r="60" spans="16:49" ht="12.75" customHeight="1" x14ac:dyDescent="0.2">
      <c r="Q60" s="625" t="s">
        <v>1078</v>
      </c>
      <c r="AD60" s="620" t="s">
        <v>769</v>
      </c>
      <c r="AF60" s="620" t="s">
        <v>359</v>
      </c>
      <c r="AI60" s="630" t="s">
        <v>764</v>
      </c>
      <c r="AQ60" s="622" t="s">
        <v>1171</v>
      </c>
      <c r="AU60" s="620" t="s">
        <v>768</v>
      </c>
      <c r="AV60" s="478">
        <v>0</v>
      </c>
      <c r="AW60" s="479">
        <v>2</v>
      </c>
    </row>
    <row r="61" spans="16:49" ht="12.75" customHeight="1" x14ac:dyDescent="0.2">
      <c r="Q61" s="620" t="s">
        <v>1288</v>
      </c>
      <c r="AD61" s="620" t="s">
        <v>767</v>
      </c>
      <c r="AF61" s="620" t="s">
        <v>360</v>
      </c>
      <c r="AI61" s="630" t="s">
        <v>762</v>
      </c>
      <c r="AQ61" s="622" t="s">
        <v>1172</v>
      </c>
      <c r="AU61" s="620" t="s">
        <v>766</v>
      </c>
      <c r="AV61" s="478">
        <v>0</v>
      </c>
      <c r="AW61" s="479">
        <v>0</v>
      </c>
    </row>
    <row r="62" spans="16:49" ht="12.75" customHeight="1" x14ac:dyDescent="0.2">
      <c r="Q62" s="620" t="s">
        <v>1289</v>
      </c>
      <c r="AD62" s="620" t="s">
        <v>765</v>
      </c>
      <c r="AF62" s="620" t="s">
        <v>361</v>
      </c>
      <c r="AI62" s="630" t="s">
        <v>761</v>
      </c>
      <c r="AQ62" s="622" t="s">
        <v>1173</v>
      </c>
      <c r="AU62" s="620" t="s">
        <v>764</v>
      </c>
      <c r="AV62" s="478">
        <v>0</v>
      </c>
      <c r="AW62" s="479">
        <v>1</v>
      </c>
    </row>
    <row r="63" spans="16:49" ht="12.75" customHeight="1" x14ac:dyDescent="0.2">
      <c r="Q63" s="620" t="s">
        <v>1290</v>
      </c>
      <c r="AD63" s="620" t="s">
        <v>763</v>
      </c>
      <c r="AF63" s="620" t="s">
        <v>362</v>
      </c>
      <c r="AI63" s="630" t="s">
        <v>1088</v>
      </c>
      <c r="AQ63" s="622" t="s">
        <v>1174</v>
      </c>
      <c r="AU63" s="620" t="s">
        <v>762</v>
      </c>
      <c r="AV63" s="478">
        <v>0</v>
      </c>
      <c r="AW63" s="479">
        <v>1</v>
      </c>
    </row>
    <row r="64" spans="16:49" ht="12.75" customHeight="1" x14ac:dyDescent="0.2">
      <c r="Q64" s="625" t="s">
        <v>1291</v>
      </c>
      <c r="AD64" s="620" t="s">
        <v>435</v>
      </c>
      <c r="AF64" s="620" t="s">
        <v>363</v>
      </c>
      <c r="AQ64" s="622" t="s">
        <v>1175</v>
      </c>
      <c r="AU64" s="620" t="s">
        <v>761</v>
      </c>
      <c r="AV64" s="478">
        <v>0</v>
      </c>
      <c r="AW64" s="479">
        <v>1</v>
      </c>
    </row>
    <row r="65" spans="30:49" ht="12.75" customHeight="1" x14ac:dyDescent="0.2">
      <c r="AD65" s="620" t="s">
        <v>760</v>
      </c>
      <c r="AF65" s="620" t="s">
        <v>364</v>
      </c>
      <c r="AQ65" s="622" t="s">
        <v>1154</v>
      </c>
      <c r="AU65" s="620" t="s">
        <v>1088</v>
      </c>
      <c r="AV65" s="478">
        <v>0</v>
      </c>
      <c r="AW65" s="479">
        <v>2</v>
      </c>
    </row>
    <row r="66" spans="30:49" ht="12.75" customHeight="1" x14ac:dyDescent="0.2">
      <c r="AD66" s="620" t="s">
        <v>759</v>
      </c>
      <c r="AF66" s="620" t="s">
        <v>365</v>
      </c>
      <c r="AQ66" s="622" t="s">
        <v>1153</v>
      </c>
    </row>
    <row r="67" spans="30:49" ht="12.75" customHeight="1" x14ac:dyDescent="0.2">
      <c r="AD67" s="620" t="s">
        <v>758</v>
      </c>
      <c r="AF67" s="620" t="s">
        <v>366</v>
      </c>
      <c r="AQ67" s="622" t="s">
        <v>1152</v>
      </c>
    </row>
    <row r="68" spans="30:49" ht="12.75" customHeight="1" x14ac:dyDescent="0.2">
      <c r="AD68" s="620" t="s">
        <v>258</v>
      </c>
      <c r="AF68" s="620" t="s">
        <v>367</v>
      </c>
      <c r="AQ68" s="622" t="s">
        <v>1151</v>
      </c>
    </row>
    <row r="69" spans="30:49" ht="12.75" customHeight="1" x14ac:dyDescent="0.2">
      <c r="AD69" s="620" t="s">
        <v>757</v>
      </c>
      <c r="AF69" s="620" t="s">
        <v>368</v>
      </c>
      <c r="AQ69" s="622" t="s">
        <v>1143</v>
      </c>
    </row>
    <row r="70" spans="30:49" ht="12.75" customHeight="1" x14ac:dyDescent="0.2">
      <c r="AD70" s="620" t="s">
        <v>756</v>
      </c>
      <c r="AF70" s="620" t="s">
        <v>369</v>
      </c>
      <c r="AQ70" s="622" t="s">
        <v>1145</v>
      </c>
    </row>
    <row r="71" spans="30:49" ht="12.75" customHeight="1" x14ac:dyDescent="0.2">
      <c r="AD71" s="620" t="s">
        <v>755</v>
      </c>
      <c r="AF71" s="620" t="s">
        <v>370</v>
      </c>
      <c r="AQ71" s="622" t="s">
        <v>1144</v>
      </c>
    </row>
    <row r="72" spans="30:49" ht="12.75" customHeight="1" x14ac:dyDescent="0.2">
      <c r="AD72" s="620" t="s">
        <v>754</v>
      </c>
      <c r="AF72" s="620" t="s">
        <v>371</v>
      </c>
      <c r="AQ72" s="622" t="s">
        <v>1146</v>
      </c>
    </row>
    <row r="73" spans="30:49" ht="12.75" customHeight="1" x14ac:dyDescent="0.2">
      <c r="AD73" s="620" t="s">
        <v>753</v>
      </c>
      <c r="AF73" s="620" t="s">
        <v>372</v>
      </c>
      <c r="AQ73" s="623" t="s">
        <v>1147</v>
      </c>
    </row>
    <row r="74" spans="30:49" ht="12.75" customHeight="1" x14ac:dyDescent="0.2">
      <c r="AD74" s="620" t="s">
        <v>74</v>
      </c>
      <c r="AF74" s="620" t="s">
        <v>373</v>
      </c>
      <c r="AQ74" s="623" t="s">
        <v>1148</v>
      </c>
    </row>
    <row r="75" spans="30:49" ht="12.75" customHeight="1" x14ac:dyDescent="0.2">
      <c r="AF75" s="620" t="s">
        <v>752</v>
      </c>
      <c r="AQ75" s="622" t="s">
        <v>1149</v>
      </c>
    </row>
    <row r="76" spans="30:49" ht="12.75" customHeight="1" x14ac:dyDescent="0.2">
      <c r="AF76" s="620" t="s">
        <v>751</v>
      </c>
      <c r="AQ76" s="622" t="s">
        <v>1150</v>
      </c>
    </row>
    <row r="77" spans="30:49" ht="12.75" customHeight="1" x14ac:dyDescent="0.2">
      <c r="AF77" s="620" t="s">
        <v>750</v>
      </c>
      <c r="AQ77" s="622" t="s">
        <v>1140</v>
      </c>
    </row>
    <row r="78" spans="30:49" ht="12.75" customHeight="1" x14ac:dyDescent="0.2">
      <c r="AF78" s="620" t="s">
        <v>749</v>
      </c>
      <c r="AQ78" s="622" t="s">
        <v>1139</v>
      </c>
    </row>
    <row r="79" spans="30:49" ht="12.75" customHeight="1" x14ac:dyDescent="0.2">
      <c r="AF79" s="620" t="s">
        <v>748</v>
      </c>
      <c r="AQ79" s="622" t="s">
        <v>1137</v>
      </c>
    </row>
    <row r="80" spans="30:49" ht="12.75" customHeight="1" x14ac:dyDescent="0.2">
      <c r="AF80" s="620" t="s">
        <v>305</v>
      </c>
      <c r="AQ80" s="622" t="s">
        <v>1138</v>
      </c>
    </row>
    <row r="81" spans="1:1010" s="478" customFormat="1" ht="12.75" customHeight="1" x14ac:dyDescent="0.2">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2">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2">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2">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2">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2">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2">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2">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2">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2">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2">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2">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2">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2">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2">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2">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2">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2">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2">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2">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2">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2">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2">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2">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2">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2">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2">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2">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2">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2">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2">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2">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2">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2">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2">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2">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2">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2">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2">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2">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2">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2">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2">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2">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2">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2">
      <c r="AQ126" s="622" t="s">
        <v>1187</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2">
      <c r="AQ127" s="622" t="s">
        <v>1210</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2">
      <c r="AQ128" s="622" t="s">
        <v>1211</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2">
      <c r="AQ129" s="623" t="s">
        <v>1212</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2">
      <c r="AQ130" s="622" t="s">
        <v>1213</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2">
      <c r="AQ131" s="622" t="s">
        <v>1214</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2">
      <c r="AQ132" s="622" t="s">
        <v>1215</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2">
      <c r="AQ133" s="622" t="s">
        <v>1238</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2">
      <c r="AQ134" s="622" t="s">
        <v>1237</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2">
      <c r="AQ135" s="622" t="s">
        <v>1239</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2">
      <c r="AQ136" s="622" t="s">
        <v>1236</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2">
      <c r="AQ137" s="622" t="s">
        <v>1235</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2">
      <c r="AQ138" s="622" t="s">
        <v>1234</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2">
      <c r="AQ139" s="622" t="s">
        <v>1233</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2">
      <c r="AQ140" s="622" t="s">
        <v>1232</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2">
      <c r="AQ141" s="622" t="s">
        <v>1230</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2">
      <c r="AQ142" s="622" t="s">
        <v>1231</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2">
      <c r="AQ143" s="622" t="s">
        <v>1228</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2">
      <c r="AQ144" s="622" t="s">
        <v>1229</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2">
      <c r="AQ145" s="622" t="s">
        <v>1227</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2">
      <c r="AQ146" s="622" t="s">
        <v>1226</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2">
      <c r="AQ147" s="622" t="s">
        <v>1225</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2">
      <c r="AQ148" s="622" t="s">
        <v>1224</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2">
      <c r="AQ149" s="622" t="s">
        <v>1223</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2">
      <c r="AQ150" s="622" t="s">
        <v>1222</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2">
      <c r="AQ151" s="622" t="s">
        <v>1219</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2">
      <c r="AQ152" s="622" t="s">
        <v>1218</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2">
      <c r="AQ153" s="622" t="s">
        <v>1217</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2">
      <c r="AQ154" s="622" t="s">
        <v>1220</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2">
      <c r="AQ155" s="622" t="s">
        <v>1216</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2">
      <c r="AQ156" s="622" t="s">
        <v>1221</v>
      </c>
    </row>
    <row r="157" spans="43:63" ht="12.75" customHeight="1" x14ac:dyDescent="0.2">
      <c r="AQ157" s="620" t="s">
        <v>375</v>
      </c>
    </row>
    <row r="158" spans="43:63" ht="12.75" customHeight="1" x14ac:dyDescent="0.2">
      <c r="AQ158" s="620" t="s">
        <v>376</v>
      </c>
    </row>
    <row r="159" spans="43:63" ht="12.75" customHeight="1" x14ac:dyDescent="0.2">
      <c r="AQ159" s="620" t="s">
        <v>377</v>
      </c>
    </row>
    <row r="160" spans="43:63" ht="12.75" customHeight="1" x14ac:dyDescent="0.2">
      <c r="AQ160" s="620" t="s">
        <v>378</v>
      </c>
    </row>
    <row r="161" spans="43:43" ht="12.75" customHeight="1" x14ac:dyDescent="0.2">
      <c r="AQ161" s="620" t="s">
        <v>379</v>
      </c>
    </row>
    <row r="162" spans="43:43" ht="12.75" customHeight="1" x14ac:dyDescent="0.2">
      <c r="AQ162" s="620" t="s">
        <v>380</v>
      </c>
    </row>
    <row r="163" spans="43:43" ht="12.75" customHeight="1" x14ac:dyDescent="0.2">
      <c r="AQ163" s="620" t="s">
        <v>381</v>
      </c>
    </row>
    <row r="164" spans="43:43" ht="12.75" customHeight="1" x14ac:dyDescent="0.2">
      <c r="AQ164"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631" t="s">
        <v>383</v>
      </c>
      <c r="C2" s="632"/>
      <c r="D2" s="632"/>
      <c r="E2" s="632"/>
      <c r="F2" s="632"/>
      <c r="G2" s="632"/>
      <c r="H2" s="633"/>
      <c r="I2" s="423" t="s">
        <v>672</v>
      </c>
      <c r="J2" s="646" t="s">
        <v>401</v>
      </c>
      <c r="K2" s="632"/>
      <c r="L2" s="647"/>
      <c r="M2" s="174"/>
      <c r="N2" s="648" t="s">
        <v>402</v>
      </c>
      <c r="O2" s="648"/>
      <c r="P2" s="648"/>
      <c r="Q2" s="648"/>
      <c r="R2" s="174"/>
      <c r="S2" s="196"/>
      <c r="T2" s="649" t="s">
        <v>403</v>
      </c>
      <c r="U2" s="649"/>
      <c r="V2" s="649"/>
      <c r="W2" s="649"/>
      <c r="X2" s="649"/>
      <c r="Y2" s="649"/>
      <c r="Z2" s="649"/>
      <c r="AA2" s="649"/>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634"/>
      <c r="C3" s="635"/>
      <c r="D3" s="635"/>
      <c r="E3" s="635"/>
      <c r="F3" s="635"/>
      <c r="G3" s="635"/>
      <c r="H3" s="636"/>
      <c r="I3" s="640" t="s">
        <v>673</v>
      </c>
      <c r="J3" s="651"/>
      <c r="K3" s="652"/>
      <c r="L3" s="653"/>
      <c r="M3" s="174"/>
      <c r="N3" s="642" t="s">
        <v>404</v>
      </c>
      <c r="O3" s="642"/>
      <c r="P3" s="650" t="s">
        <v>18</v>
      </c>
      <c r="Q3" s="650"/>
      <c r="R3" s="174"/>
      <c r="S3" s="197"/>
      <c r="T3" s="197"/>
      <c r="U3" s="197"/>
      <c r="V3" s="197"/>
      <c r="W3" s="197"/>
      <c r="X3" s="197"/>
      <c r="Y3" s="197"/>
      <c r="Z3" s="197"/>
      <c r="AA3" s="197"/>
      <c r="AB3" s="196"/>
      <c r="AC3" s="641" t="s">
        <v>405</v>
      </c>
      <c r="AD3" s="641"/>
      <c r="AE3" s="641"/>
      <c r="AF3" s="258" t="s">
        <v>406</v>
      </c>
      <c r="AG3" s="641" t="s">
        <v>405</v>
      </c>
      <c r="AH3" s="641"/>
      <c r="AI3" s="641"/>
      <c r="AJ3" s="258" t="s">
        <v>406</v>
      </c>
      <c r="AK3" s="197"/>
      <c r="AL3"/>
      <c r="AM3"/>
      <c r="AN3"/>
      <c r="AO3"/>
      <c r="AP3"/>
      <c r="AQ3"/>
      <c r="AR3"/>
      <c r="AS3"/>
      <c r="AT3"/>
      <c r="AU3"/>
      <c r="AV3"/>
      <c r="AW3"/>
      <c r="AX3" s="1"/>
    </row>
    <row r="4" spans="1:51" ht="14.1" customHeight="1" thickBot="1" x14ac:dyDescent="0.2">
      <c r="A4" s="174"/>
      <c r="B4" s="637"/>
      <c r="C4" s="638"/>
      <c r="D4" s="638"/>
      <c r="E4" s="638"/>
      <c r="F4" s="638"/>
      <c r="G4" s="638"/>
      <c r="H4" s="639"/>
      <c r="I4" s="640"/>
      <c r="J4" s="654"/>
      <c r="K4" s="655"/>
      <c r="L4" s="656"/>
      <c r="M4" s="174"/>
      <c r="N4" s="642" t="s">
        <v>407</v>
      </c>
      <c r="O4" s="642"/>
      <c r="P4" s="643" t="s">
        <v>18</v>
      </c>
      <c r="Q4" s="643"/>
      <c r="R4" s="174"/>
      <c r="S4" s="197"/>
      <c r="T4" s="192"/>
      <c r="U4" s="199" t="s">
        <v>408</v>
      </c>
      <c r="V4" s="195"/>
      <c r="W4" s="199" t="s">
        <v>409</v>
      </c>
      <c r="X4" s="194"/>
      <c r="Y4" s="199" t="s">
        <v>410</v>
      </c>
      <c r="Z4" s="193"/>
      <c r="AA4" s="199" t="s">
        <v>411</v>
      </c>
      <c r="AB4" s="196"/>
      <c r="AC4" s="644" t="s">
        <v>33</v>
      </c>
      <c r="AD4" s="644"/>
      <c r="AE4" s="259">
        <f>(AA10*2)</f>
        <v>8</v>
      </c>
      <c r="AF4" s="260" t="str">
        <f>IF(AA16&lt;18,IF(AA16&lt;14,IF(AA16&lt;10,IF(AA16&lt;5,IF(AA16&lt;3,"-2","-1"),0),"+1"),"+2"),"+3")</f>
        <v>-1</v>
      </c>
      <c r="AG4" s="645" t="s">
        <v>203</v>
      </c>
      <c r="AH4" s="645"/>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666" t="s">
        <v>412</v>
      </c>
      <c r="C5" s="667"/>
      <c r="D5" s="668" t="s">
        <v>413</v>
      </c>
      <c r="E5" s="668"/>
      <c r="F5" s="668" t="s">
        <v>414</v>
      </c>
      <c r="G5" s="668"/>
      <c r="H5" s="668" t="s">
        <v>8</v>
      </c>
      <c r="I5" s="669"/>
      <c r="J5" s="670" t="s">
        <v>15</v>
      </c>
      <c r="K5" s="670"/>
      <c r="L5" s="671"/>
      <c r="M5" s="174"/>
      <c r="N5" s="672" t="s">
        <v>415</v>
      </c>
      <c r="O5" s="672"/>
      <c r="P5" s="657" t="s">
        <v>18</v>
      </c>
      <c r="Q5" s="657"/>
      <c r="R5" s="174"/>
      <c r="S5" s="197"/>
      <c r="T5" s="197"/>
      <c r="U5" s="197"/>
      <c r="V5" s="197"/>
      <c r="W5" s="197"/>
      <c r="X5" s="197"/>
      <c r="Y5" s="197"/>
      <c r="Z5" s="197"/>
      <c r="AA5" s="197"/>
      <c r="AB5" s="196"/>
      <c r="AC5" s="645" t="s">
        <v>81</v>
      </c>
      <c r="AD5" s="645"/>
      <c r="AE5" s="261">
        <f>AA10+AA11</f>
        <v>8</v>
      </c>
      <c r="AF5" s="260" t="str">
        <f>IF(AA16&lt;18,IF(AA16&lt;14,IF(AA16&lt;10,IF(AA16&lt;5,IF(AA16&lt;3,"-2","-1"),0),"+1"),"+2"),"+3")</f>
        <v>-1</v>
      </c>
      <c r="AG5" s="645" t="s">
        <v>221</v>
      </c>
      <c r="AH5" s="645"/>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658"/>
      <c r="C6" s="659"/>
      <c r="D6" s="660"/>
      <c r="E6" s="660"/>
      <c r="F6" s="660"/>
      <c r="G6" s="660"/>
      <c r="H6" s="661" t="s">
        <v>18</v>
      </c>
      <c r="I6" s="661"/>
      <c r="J6" s="662" t="s">
        <v>18</v>
      </c>
      <c r="K6" s="662"/>
      <c r="L6" s="663"/>
      <c r="M6" s="174"/>
      <c r="N6" s="664" t="s">
        <v>416</v>
      </c>
      <c r="O6" s="664"/>
      <c r="P6" s="665" t="s">
        <v>18</v>
      </c>
      <c r="Q6" s="665"/>
      <c r="R6" s="174"/>
      <c r="S6" s="197"/>
      <c r="T6" s="680" t="s">
        <v>417</v>
      </c>
      <c r="U6" s="680"/>
      <c r="V6" s="197"/>
      <c r="W6" s="197"/>
      <c r="X6" s="197"/>
      <c r="Y6" s="197"/>
      <c r="Z6" s="197"/>
      <c r="AA6" s="197"/>
      <c r="AB6" s="196"/>
      <c r="AC6" s="645" t="s">
        <v>113</v>
      </c>
      <c r="AD6" s="645"/>
      <c r="AE6" s="261">
        <f>ROUNDDOWN((AA55/2),0)+AA12</f>
        <v>7</v>
      </c>
      <c r="AF6" s="260" t="str">
        <f>IF(AA16&lt;18,IF(AA16&lt;14,IF(AA16&lt;10,IF(AA16&lt;5,IF(AA16&lt;3,"-2","-1"),0),"+1"),"+2"),"+3")</f>
        <v>-1</v>
      </c>
      <c r="AG6" s="645" t="s">
        <v>236</v>
      </c>
      <c r="AH6" s="645"/>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788" t="s">
        <v>418</v>
      </c>
      <c r="C7" s="727"/>
      <c r="D7" s="791"/>
      <c r="E7" s="791"/>
      <c r="F7" s="791"/>
      <c r="G7" s="791"/>
      <c r="H7" s="791"/>
      <c r="I7" s="791"/>
      <c r="J7" s="379" t="s">
        <v>5</v>
      </c>
      <c r="K7" s="681" t="s">
        <v>18</v>
      </c>
      <c r="L7" s="682"/>
      <c r="M7" s="174"/>
      <c r="N7" s="683" t="s">
        <v>18</v>
      </c>
      <c r="O7" s="683"/>
      <c r="P7" s="684" t="s">
        <v>18</v>
      </c>
      <c r="Q7" s="684"/>
      <c r="R7" s="174"/>
      <c r="S7" s="196"/>
      <c r="T7" s="685" t="s">
        <v>0</v>
      </c>
      <c r="U7" s="686"/>
      <c r="V7" s="687" t="str">
        <f>C10</f>
        <v>－</v>
      </c>
      <c r="W7" s="688"/>
      <c r="X7" s="685" t="s">
        <v>2</v>
      </c>
      <c r="Y7" s="686"/>
      <c r="Z7" s="689" t="str">
        <f>F10</f>
        <v>－</v>
      </c>
      <c r="AA7" s="690"/>
      <c r="AB7" s="196"/>
      <c r="AC7" s="645" t="s">
        <v>135</v>
      </c>
      <c r="AD7" s="645"/>
      <c r="AE7" s="261">
        <f>ROUNDDOWN((AA55/2),0)+AA15</f>
        <v>7</v>
      </c>
      <c r="AF7" s="260" t="str">
        <f>IF(AA16&lt;18,IF(AA16&lt;14,IF(AA16&lt;10,IF(AA16&lt;5,IF(AA16&lt;3,"-2","-1"),0),"+1"),"+2"),"+3")</f>
        <v>-1</v>
      </c>
      <c r="AG7" s="645" t="s">
        <v>252</v>
      </c>
      <c r="AH7" s="645"/>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789"/>
      <c r="C8" s="790"/>
      <c r="D8" s="792"/>
      <c r="E8" s="792"/>
      <c r="F8" s="792"/>
      <c r="G8" s="792"/>
      <c r="H8" s="792"/>
      <c r="I8" s="792"/>
      <c r="J8" s="424" t="s">
        <v>3</v>
      </c>
      <c r="K8" s="673" t="s">
        <v>18</v>
      </c>
      <c r="L8" s="674"/>
      <c r="M8" s="174"/>
      <c r="N8" s="675" t="s">
        <v>18</v>
      </c>
      <c r="O8" s="675"/>
      <c r="P8" s="676" t="s">
        <v>18</v>
      </c>
      <c r="Q8" s="676"/>
      <c r="R8" s="174"/>
      <c r="S8" s="196"/>
      <c r="T8" s="677" t="s">
        <v>419</v>
      </c>
      <c r="U8" s="678"/>
      <c r="V8" s="678"/>
      <c r="W8" s="678"/>
      <c r="X8" s="678"/>
      <c r="Y8" s="678"/>
      <c r="Z8" s="679"/>
      <c r="AA8" s="209" t="s">
        <v>420</v>
      </c>
      <c r="AB8" s="196"/>
      <c r="AC8" s="645" t="s">
        <v>160</v>
      </c>
      <c r="AD8" s="645"/>
      <c r="AE8" s="261">
        <f>(AA12*2)</f>
        <v>8</v>
      </c>
      <c r="AF8" s="260" t="str">
        <f>IF(AA16&lt;18,IF(AA16&lt;14,IF(AA16&lt;10,IF(AA16&lt;5,IF(AA16&lt;3,"-2","-1"),0),"+1"),"+2"),"+3")</f>
        <v>-1</v>
      </c>
      <c r="AG8" s="645" t="s">
        <v>273</v>
      </c>
      <c r="AH8" s="645"/>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694" t="s">
        <v>182</v>
      </c>
      <c r="AD9" s="694"/>
      <c r="AE9" s="262">
        <f>AA14+AA13</f>
        <v>8</v>
      </c>
      <c r="AF9" s="263" t="str">
        <f>IF(AA16&lt;18,IF(AA16&lt;14,IF(AA16&lt;10,IF(AA16&lt;5,IF(AA16&lt;3,"-2","-1"),0),"+1"),"+2"),"+3")</f>
        <v>-1</v>
      </c>
      <c r="AG9" s="694" t="s">
        <v>209</v>
      </c>
      <c r="AH9" s="694"/>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777" t="s">
        <v>0</v>
      </c>
      <c r="C10" s="793" t="s">
        <v>18</v>
      </c>
      <c r="D10" s="793"/>
      <c r="E10" s="799" t="s">
        <v>2</v>
      </c>
      <c r="F10" s="794" t="s">
        <v>18</v>
      </c>
      <c r="G10" s="794"/>
      <c r="H10" s="174"/>
      <c r="I10" s="174"/>
      <c r="J10" s="692" t="s">
        <v>425</v>
      </c>
      <c r="K10" s="692"/>
      <c r="L10" s="692"/>
      <c r="M10" s="692"/>
      <c r="N10" s="692"/>
      <c r="O10" s="692"/>
      <c r="P10" s="692"/>
      <c r="Q10" s="692"/>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777"/>
      <c r="C11" s="793"/>
      <c r="D11" s="793"/>
      <c r="E11" s="799"/>
      <c r="F11" s="794"/>
      <c r="G11" s="794"/>
      <c r="H11" s="174"/>
      <c r="I11" s="174"/>
      <c r="J11" s="795" t="s">
        <v>13</v>
      </c>
      <c r="K11" s="795"/>
      <c r="L11" s="695" t="s">
        <v>18</v>
      </c>
      <c r="M11" s="695"/>
      <c r="N11" s="696" t="s">
        <v>427</v>
      </c>
      <c r="O11" s="696"/>
      <c r="P11" s="697" t="s">
        <v>18</v>
      </c>
      <c r="Q11" s="697"/>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795"/>
      <c r="K12" s="795"/>
      <c r="L12" s="698" t="s">
        <v>18</v>
      </c>
      <c r="M12" s="698"/>
      <c r="N12" s="699" t="s">
        <v>429</v>
      </c>
      <c r="O12" s="699"/>
      <c r="P12" s="697" t="s">
        <v>18</v>
      </c>
      <c r="Q12" s="697"/>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691" t="s">
        <v>431</v>
      </c>
      <c r="AD12" s="691"/>
      <c r="AE12" s="691"/>
      <c r="AF12" s="691"/>
      <c r="AG12" s="691"/>
      <c r="AH12" s="691"/>
      <c r="AI12" s="691"/>
      <c r="AJ12" s="691"/>
      <c r="AK12" s="196"/>
      <c r="AL12"/>
      <c r="AM12"/>
      <c r="AN12"/>
      <c r="AO12"/>
      <c r="AP12"/>
      <c r="AQ12"/>
      <c r="AR12"/>
      <c r="AS12"/>
      <c r="AT12"/>
      <c r="AU12"/>
      <c r="AV12"/>
      <c r="AW12"/>
      <c r="AX12" s="1"/>
    </row>
    <row r="13" spans="1:51" ht="14.1" customHeight="1" thickBot="1" x14ac:dyDescent="0.2">
      <c r="A13" s="174"/>
      <c r="B13" s="777" t="s">
        <v>4</v>
      </c>
      <c r="C13" s="796" t="s">
        <v>18</v>
      </c>
      <c r="D13" s="796"/>
      <c r="E13" s="799" t="s">
        <v>1</v>
      </c>
      <c r="F13" s="705" t="s">
        <v>18</v>
      </c>
      <c r="G13" s="705"/>
      <c r="H13" s="174"/>
      <c r="I13" s="174"/>
      <c r="J13" s="692" t="s">
        <v>432</v>
      </c>
      <c r="K13" s="692"/>
      <c r="L13" s="692"/>
      <c r="M13" s="692"/>
      <c r="N13" s="692"/>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693" t="s">
        <v>437</v>
      </c>
      <c r="AF13" s="693"/>
      <c r="AG13" s="693" t="s">
        <v>438</v>
      </c>
      <c r="AH13" s="693"/>
      <c r="AI13" s="55" t="s">
        <v>439</v>
      </c>
      <c r="AJ13" s="74" t="s">
        <v>440</v>
      </c>
      <c r="AK13" s="197"/>
      <c r="AL13"/>
      <c r="AM13"/>
      <c r="AN13"/>
      <c r="AO13"/>
      <c r="AP13"/>
      <c r="AQ13"/>
      <c r="AR13"/>
      <c r="AS13"/>
      <c r="AT13"/>
      <c r="AU13"/>
      <c r="AV13"/>
      <c r="AW13"/>
      <c r="AX13" s="1"/>
    </row>
    <row r="14" spans="1:51" ht="14.1" customHeight="1" thickBot="1" x14ac:dyDescent="0.2">
      <c r="A14" s="174"/>
      <c r="B14" s="777"/>
      <c r="C14" s="796"/>
      <c r="D14" s="796"/>
      <c r="E14" s="799"/>
      <c r="F14" s="705"/>
      <c r="G14" s="705"/>
      <c r="H14" s="174"/>
      <c r="I14" s="174"/>
      <c r="J14" s="722"/>
      <c r="K14" s="722"/>
      <c r="L14" s="722"/>
      <c r="M14" s="722"/>
      <c r="N14" s="722"/>
      <c r="O14" s="706" t="s">
        <v>441</v>
      </c>
      <c r="P14" s="706"/>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00" t="s">
        <v>446</v>
      </c>
      <c r="AF14" s="700"/>
      <c r="AG14" s="700" t="s">
        <v>447</v>
      </c>
      <c r="AH14" s="700"/>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22"/>
      <c r="K15" s="722"/>
      <c r="L15" s="722"/>
      <c r="M15" s="722"/>
      <c r="N15" s="722"/>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701" t="s">
        <v>451</v>
      </c>
      <c r="C16" s="701"/>
      <c r="D16" s="701"/>
      <c r="E16" s="174"/>
      <c r="F16" s="701" t="s">
        <v>384</v>
      </c>
      <c r="G16" s="701"/>
      <c r="H16" s="701"/>
      <c r="I16" s="174"/>
      <c r="J16" s="722"/>
      <c r="K16" s="722"/>
      <c r="L16" s="722"/>
      <c r="M16" s="722"/>
      <c r="N16" s="722"/>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704" t="s">
        <v>386</v>
      </c>
      <c r="C17" s="704"/>
      <c r="D17" s="703">
        <f>ABS(AA49)</f>
        <v>12</v>
      </c>
      <c r="E17" s="174"/>
      <c r="F17" s="667" t="s">
        <v>426</v>
      </c>
      <c r="G17" s="667"/>
      <c r="H17" s="184">
        <f t="shared" ref="H17:H23" si="2">AA10</f>
        <v>4</v>
      </c>
      <c r="I17" s="174"/>
      <c r="J17" s="722"/>
      <c r="K17" s="722"/>
      <c r="L17" s="722"/>
      <c r="M17" s="722"/>
      <c r="N17" s="722"/>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02" t="s">
        <v>406</v>
      </c>
      <c r="AD17" s="702"/>
      <c r="AE17" s="702"/>
      <c r="AF17" s="702"/>
      <c r="AG17" s="702"/>
      <c r="AH17" s="702"/>
      <c r="AI17" s="702"/>
      <c r="AJ17" s="702"/>
      <c r="AK17" s="197"/>
      <c r="AL17"/>
      <c r="AM17"/>
      <c r="AN17"/>
      <c r="AO17"/>
      <c r="AP17"/>
      <c r="AQ17"/>
      <c r="AR17"/>
      <c r="AS17"/>
      <c r="AT17"/>
      <c r="AU17"/>
      <c r="AV17"/>
      <c r="AW17"/>
      <c r="AX17" s="1"/>
      <c r="AY17" s="1"/>
    </row>
    <row r="18" spans="1:51" ht="14.1" customHeight="1" thickBot="1" x14ac:dyDescent="0.2">
      <c r="A18" s="174"/>
      <c r="B18" s="704"/>
      <c r="C18" s="704"/>
      <c r="D18" s="703"/>
      <c r="E18" s="174"/>
      <c r="F18" s="667" t="s">
        <v>428</v>
      </c>
      <c r="G18" s="667"/>
      <c r="H18" s="184">
        <f t="shared" si="2"/>
        <v>4</v>
      </c>
      <c r="I18" s="174"/>
      <c r="J18" s="722"/>
      <c r="K18" s="722"/>
      <c r="L18" s="722"/>
      <c r="M18" s="722"/>
      <c r="N18" s="722"/>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11" t="s">
        <v>454</v>
      </c>
      <c r="AD18" s="711"/>
      <c r="AE18" s="712" t="s">
        <v>455</v>
      </c>
      <c r="AF18" s="712"/>
      <c r="AG18" s="712"/>
      <c r="AH18" s="713" t="s">
        <v>456</v>
      </c>
      <c r="AI18" s="713"/>
      <c r="AJ18" s="713"/>
      <c r="AK18" s="197"/>
      <c r="AL18"/>
      <c r="AM18"/>
      <c r="AN18"/>
      <c r="AO18"/>
      <c r="AP18"/>
      <c r="AQ18"/>
      <c r="AR18"/>
      <c r="AS18"/>
      <c r="AT18"/>
      <c r="AU18"/>
      <c r="AV18"/>
      <c r="AW18"/>
      <c r="AX18" s="1"/>
      <c r="AY18" s="1"/>
    </row>
    <row r="19" spans="1:51" ht="14.1" customHeight="1" thickBot="1" x14ac:dyDescent="0.2">
      <c r="A19" s="174"/>
      <c r="B19" s="704" t="s">
        <v>389</v>
      </c>
      <c r="C19" s="704"/>
      <c r="D19" s="703">
        <f>ABS(AA50)</f>
        <v>18</v>
      </c>
      <c r="E19" s="174"/>
      <c r="F19" s="667" t="s">
        <v>430</v>
      </c>
      <c r="G19" s="667"/>
      <c r="H19" s="184">
        <f t="shared" si="2"/>
        <v>4</v>
      </c>
      <c r="I19" s="174"/>
      <c r="J19" s="722"/>
      <c r="K19" s="722"/>
      <c r="L19" s="722"/>
      <c r="M19" s="722"/>
      <c r="N19" s="722"/>
      <c r="O19" s="179" t="s">
        <v>160</v>
      </c>
      <c r="P19" s="186">
        <f t="shared" si="1"/>
        <v>3</v>
      </c>
      <c r="Q19" s="182"/>
      <c r="R19" s="174"/>
      <c r="S19" s="196"/>
      <c r="T19" s="196"/>
      <c r="U19" s="714" t="s">
        <v>457</v>
      </c>
      <c r="V19" s="714"/>
      <c r="W19" s="714"/>
      <c r="X19" s="715" t="s">
        <v>674</v>
      </c>
      <c r="Y19" s="715"/>
      <c r="Z19" s="715"/>
      <c r="AA19" s="196"/>
      <c r="AB19" s="196"/>
      <c r="AC19" s="709" t="s">
        <v>458</v>
      </c>
      <c r="AD19" s="709"/>
      <c r="AE19" s="707" t="s">
        <v>455</v>
      </c>
      <c r="AF19" s="707"/>
      <c r="AG19" s="707"/>
      <c r="AH19" s="710" t="s">
        <v>459</v>
      </c>
      <c r="AI19" s="710"/>
      <c r="AJ19" s="710"/>
      <c r="AK19" s="196"/>
      <c r="AL19"/>
      <c r="AM19"/>
      <c r="AN19"/>
      <c r="AO19"/>
      <c r="AP19"/>
      <c r="AQ19"/>
      <c r="AR19"/>
      <c r="AS19"/>
      <c r="AT19"/>
      <c r="AU19"/>
      <c r="AV19"/>
      <c r="AW19"/>
      <c r="AX19" s="1"/>
      <c r="AY19" s="1"/>
    </row>
    <row r="20" spans="1:51" ht="14.1" customHeight="1" thickBot="1" x14ac:dyDescent="0.2">
      <c r="A20" s="174"/>
      <c r="B20" s="704"/>
      <c r="C20" s="704"/>
      <c r="D20" s="703"/>
      <c r="E20" s="174"/>
      <c r="F20" s="667" t="s">
        <v>434</v>
      </c>
      <c r="G20" s="667"/>
      <c r="H20" s="184">
        <f t="shared" si="2"/>
        <v>4</v>
      </c>
      <c r="I20" s="174"/>
      <c r="J20" s="722"/>
      <c r="K20" s="722"/>
      <c r="L20" s="722"/>
      <c r="M20" s="722"/>
      <c r="N20" s="722"/>
      <c r="O20" s="179" t="s">
        <v>182</v>
      </c>
      <c r="P20" s="186">
        <f t="shared" si="1"/>
        <v>3</v>
      </c>
      <c r="Q20" s="182"/>
      <c r="R20" s="174"/>
      <c r="S20" s="196"/>
      <c r="T20" s="196"/>
      <c r="U20" s="714"/>
      <c r="V20" s="714"/>
      <c r="W20" s="714"/>
      <c r="X20" s="715" t="str">
        <f>IF(I3="バニラ","ノーマルは手入力","追加フリーptを入力してね")</f>
        <v>追加フリーptを入力してね</v>
      </c>
      <c r="Y20" s="715"/>
      <c r="Z20" s="715"/>
      <c r="AA20" s="196"/>
      <c r="AB20" s="196"/>
      <c r="AC20" s="709" t="s">
        <v>460</v>
      </c>
      <c r="AD20" s="709"/>
      <c r="AE20" s="707" t="s">
        <v>455</v>
      </c>
      <c r="AF20" s="707"/>
      <c r="AG20" s="707"/>
      <c r="AH20" s="708" t="s">
        <v>455</v>
      </c>
      <c r="AI20" s="708"/>
      <c r="AJ20" s="708"/>
      <c r="AK20" s="196"/>
      <c r="AL20"/>
      <c r="AM20"/>
      <c r="AN20"/>
      <c r="AO20"/>
      <c r="AP20"/>
      <c r="AQ20"/>
      <c r="AR20"/>
      <c r="AS20"/>
      <c r="AT20"/>
      <c r="AU20"/>
      <c r="AV20"/>
      <c r="AW20"/>
      <c r="AX20" s="1"/>
      <c r="AY20" s="1"/>
    </row>
    <row r="21" spans="1:51" ht="14.1" customHeight="1" thickBot="1" x14ac:dyDescent="0.2">
      <c r="A21" s="174"/>
      <c r="B21" s="704" t="s">
        <v>461</v>
      </c>
      <c r="C21" s="704"/>
      <c r="D21" s="800">
        <f>AA51</f>
        <v>16</v>
      </c>
      <c r="E21" s="174"/>
      <c r="F21" s="667" t="s">
        <v>443</v>
      </c>
      <c r="G21" s="667"/>
      <c r="H21" s="184">
        <f t="shared" si="2"/>
        <v>4</v>
      </c>
      <c r="I21" s="174"/>
      <c r="J21" s="722"/>
      <c r="K21" s="722"/>
      <c r="L21" s="722"/>
      <c r="M21" s="722"/>
      <c r="N21" s="722"/>
      <c r="O21" s="179" t="s">
        <v>203</v>
      </c>
      <c r="P21" s="186">
        <f t="shared" ref="P21:P26" si="4">ROUNDDOWN((AI4+AJ4)/2,0)</f>
        <v>3</v>
      </c>
      <c r="Q21" s="182"/>
      <c r="R21" s="174"/>
      <c r="S21" s="196"/>
      <c r="T21" s="196"/>
      <c r="U21" s="196"/>
      <c r="V21" s="196"/>
      <c r="W21" s="196"/>
      <c r="X21" s="196"/>
      <c r="Y21" s="196"/>
      <c r="Z21" s="196"/>
      <c r="AA21" s="196"/>
      <c r="AB21" s="196"/>
      <c r="AC21" s="709" t="s">
        <v>462</v>
      </c>
      <c r="AD21" s="709"/>
      <c r="AE21" s="707" t="s">
        <v>455</v>
      </c>
      <c r="AF21" s="707"/>
      <c r="AG21" s="707"/>
      <c r="AH21" s="710" t="s">
        <v>463</v>
      </c>
      <c r="AI21" s="710"/>
      <c r="AJ21" s="710"/>
      <c r="AK21" s="196"/>
      <c r="AL21"/>
      <c r="AM21"/>
      <c r="AN21"/>
      <c r="AO21"/>
      <c r="AP21"/>
      <c r="AQ21"/>
      <c r="AR21"/>
      <c r="AS21"/>
      <c r="AT21"/>
      <c r="AU21"/>
      <c r="AV21"/>
      <c r="AW21"/>
      <c r="AX21" s="1"/>
      <c r="AY21" s="1"/>
    </row>
    <row r="22" spans="1:51" ht="14.1" customHeight="1" thickBot="1" x14ac:dyDescent="0.2">
      <c r="A22" s="174"/>
      <c r="B22" s="704"/>
      <c r="C22" s="704"/>
      <c r="D22" s="800"/>
      <c r="E22" s="174"/>
      <c r="F22" s="667" t="s">
        <v>450</v>
      </c>
      <c r="G22" s="667"/>
      <c r="H22" s="184">
        <f t="shared" si="2"/>
        <v>4</v>
      </c>
      <c r="I22" s="174"/>
      <c r="J22" s="722"/>
      <c r="K22" s="722"/>
      <c r="L22" s="722"/>
      <c r="M22" s="722"/>
      <c r="N22" s="722"/>
      <c r="O22" s="179" t="s">
        <v>221</v>
      </c>
      <c r="P22" s="186">
        <f t="shared" si="4"/>
        <v>3</v>
      </c>
      <c r="Q22" s="182"/>
      <c r="R22" s="174"/>
      <c r="S22" s="196"/>
      <c r="T22" s="725" t="s">
        <v>464</v>
      </c>
      <c r="U22" s="725"/>
      <c r="V22" s="725"/>
      <c r="W22" s="725"/>
      <c r="X22" s="725"/>
      <c r="Y22" s="725"/>
      <c r="Z22" s="219" t="s">
        <v>465</v>
      </c>
      <c r="AA22" s="220">
        <f>5+IF(C10="ノーマル",1,0)</f>
        <v>5</v>
      </c>
      <c r="AB22" s="196"/>
      <c r="AC22" s="709" t="s">
        <v>466</v>
      </c>
      <c r="AD22" s="709"/>
      <c r="AE22" s="726" t="s">
        <v>467</v>
      </c>
      <c r="AF22" s="726"/>
      <c r="AG22" s="726"/>
      <c r="AH22" s="710" t="s">
        <v>468</v>
      </c>
      <c r="AI22" s="710"/>
      <c r="AJ22" s="710"/>
      <c r="AK22" s="196"/>
      <c r="AL22"/>
      <c r="AM22"/>
      <c r="AN22"/>
      <c r="AO22"/>
      <c r="AP22"/>
      <c r="AQ22"/>
      <c r="AR22"/>
      <c r="AS22"/>
      <c r="AT22"/>
      <c r="AU22"/>
      <c r="AV22"/>
      <c r="AW22"/>
      <c r="AX22" s="1"/>
      <c r="AY22" s="1"/>
    </row>
    <row r="23" spans="1:51" ht="14.1" customHeight="1" thickBot="1" x14ac:dyDescent="0.2">
      <c r="A23" s="174"/>
      <c r="B23" s="704" t="s">
        <v>469</v>
      </c>
      <c r="C23" s="704"/>
      <c r="D23" s="703">
        <f>AA52</f>
        <v>2</v>
      </c>
      <c r="E23" s="174"/>
      <c r="F23" s="727" t="s">
        <v>452</v>
      </c>
      <c r="G23" s="727"/>
      <c r="H23" s="185">
        <f t="shared" si="2"/>
        <v>4</v>
      </c>
      <c r="I23" s="174"/>
      <c r="J23" s="722"/>
      <c r="K23" s="722"/>
      <c r="L23" s="722"/>
      <c r="M23" s="722"/>
      <c r="N23" s="722"/>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8" t="s">
        <v>472</v>
      </c>
      <c r="AD23" s="728"/>
      <c r="AE23" s="729" t="s">
        <v>467</v>
      </c>
      <c r="AF23" s="729"/>
      <c r="AG23" s="729"/>
      <c r="AH23" s="730" t="s">
        <v>473</v>
      </c>
      <c r="AI23" s="730"/>
      <c r="AJ23" s="730"/>
      <c r="AK23" s="196"/>
      <c r="AL23"/>
      <c r="AM23"/>
      <c r="AN23"/>
      <c r="AO23"/>
      <c r="AP23"/>
      <c r="AQ23"/>
      <c r="AR23"/>
      <c r="AS23"/>
      <c r="AT23"/>
      <c r="AU23"/>
      <c r="AV23"/>
      <c r="AW23"/>
      <c r="AX23" s="1"/>
      <c r="AY23" s="1"/>
    </row>
    <row r="24" spans="1:51" ht="14.1" customHeight="1" thickBot="1" x14ac:dyDescent="0.2">
      <c r="A24" s="174"/>
      <c r="B24" s="704"/>
      <c r="C24" s="704"/>
      <c r="D24" s="703"/>
      <c r="E24" s="174"/>
      <c r="F24" s="174"/>
      <c r="G24" s="174"/>
      <c r="H24" s="174"/>
      <c r="I24" s="174"/>
      <c r="J24" s="722"/>
      <c r="K24" s="722"/>
      <c r="L24" s="722"/>
      <c r="M24" s="722"/>
      <c r="N24" s="722"/>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704" t="s">
        <v>474</v>
      </c>
      <c r="C25" s="704"/>
      <c r="D25" s="703">
        <f>AA53</f>
        <v>2</v>
      </c>
      <c r="E25" s="174"/>
      <c r="F25" s="784" t="s">
        <v>396</v>
      </c>
      <c r="G25" s="784"/>
      <c r="H25" s="797">
        <f>AA58</f>
        <v>4</v>
      </c>
      <c r="I25" s="174"/>
      <c r="J25" s="722"/>
      <c r="K25" s="722"/>
      <c r="L25" s="722"/>
      <c r="M25" s="722"/>
      <c r="N25" s="722"/>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704"/>
      <c r="C26" s="704"/>
      <c r="D26" s="703"/>
      <c r="E26" s="174"/>
      <c r="F26" s="784"/>
      <c r="G26" s="784"/>
      <c r="H26" s="797"/>
      <c r="I26" s="174"/>
      <c r="J26" s="722"/>
      <c r="K26" s="722"/>
      <c r="L26" s="722"/>
      <c r="M26" s="722"/>
      <c r="N26" s="722"/>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778" t="s">
        <v>395</v>
      </c>
      <c r="C27" s="778"/>
      <c r="D27" s="785">
        <f>AA54</f>
        <v>5</v>
      </c>
      <c r="E27" s="174"/>
      <c r="F27" s="778" t="s">
        <v>475</v>
      </c>
      <c r="G27" s="778"/>
      <c r="H27" s="785">
        <f>AA59</f>
        <v>2</v>
      </c>
      <c r="I27" s="174"/>
      <c r="J27" s="722"/>
      <c r="K27" s="722"/>
      <c r="L27" s="722"/>
      <c r="M27" s="722"/>
      <c r="N27" s="722"/>
      <c r="O27" s="692" t="s">
        <v>470</v>
      </c>
      <c r="P27" s="692"/>
      <c r="Q27" s="692"/>
      <c r="R27" s="174"/>
      <c r="S27" s="196"/>
      <c r="T27" s="214" t="str">
        <f t="shared" si="5"/>
        <v>精神</v>
      </c>
      <c r="U27" s="55"/>
      <c r="V27" s="57"/>
      <c r="W27" s="57"/>
      <c r="X27" s="57"/>
      <c r="Y27" s="57"/>
      <c r="Z27" s="57"/>
      <c r="AA27" s="217">
        <f t="shared" si="6"/>
        <v>0</v>
      </c>
      <c r="AB27" s="196"/>
      <c r="AC27" s="723" t="s">
        <v>476</v>
      </c>
      <c r="AD27" s="723"/>
      <c r="AE27" s="723"/>
      <c r="AF27" s="723"/>
      <c r="AG27" s="723"/>
      <c r="AH27" s="723"/>
      <c r="AI27" s="723"/>
      <c r="AJ27" s="723"/>
      <c r="AK27" s="196"/>
      <c r="AL27"/>
      <c r="AM27"/>
      <c r="AN27"/>
      <c r="AO27"/>
      <c r="AP27"/>
      <c r="AQ27"/>
      <c r="AR27"/>
      <c r="AS27"/>
      <c r="AT27"/>
      <c r="AU27"/>
      <c r="AV27"/>
      <c r="AW27"/>
      <c r="AX27" s="1"/>
      <c r="AY27" s="1"/>
    </row>
    <row r="28" spans="1:51" ht="14.1" customHeight="1" thickBot="1" x14ac:dyDescent="0.2">
      <c r="A28" s="174"/>
      <c r="B28" s="778"/>
      <c r="C28" s="778"/>
      <c r="D28" s="785"/>
      <c r="E28" s="174"/>
      <c r="F28" s="778"/>
      <c r="G28" s="778"/>
      <c r="H28" s="785"/>
      <c r="I28" s="174"/>
      <c r="J28" s="722"/>
      <c r="K28" s="722"/>
      <c r="L28" s="722"/>
      <c r="M28" s="722"/>
      <c r="N28" s="722"/>
      <c r="O28" s="718" t="str">
        <f>U23</f>
        <v>-</v>
      </c>
      <c r="P28" s="718"/>
      <c r="Q28" s="718"/>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22"/>
      <c r="K29" s="722"/>
      <c r="L29" s="722"/>
      <c r="M29" s="722"/>
      <c r="N29" s="722"/>
      <c r="O29" s="718" t="str">
        <f>V23</f>
        <v>-</v>
      </c>
      <c r="P29" s="718"/>
      <c r="Q29" s="718"/>
      <c r="R29" s="174"/>
      <c r="S29" s="196"/>
      <c r="T29" s="214" t="str">
        <f t="shared" si="5"/>
        <v>敏捷</v>
      </c>
      <c r="U29" s="55"/>
      <c r="V29" s="57"/>
      <c r="W29" s="57"/>
      <c r="X29" s="57"/>
      <c r="Y29" s="57"/>
      <c r="Z29" s="57"/>
      <c r="AA29" s="217">
        <f t="shared" si="6"/>
        <v>0</v>
      </c>
      <c r="AB29" s="196"/>
      <c r="AC29" s="702" t="s">
        <v>477</v>
      </c>
      <c r="AD29" s="702"/>
      <c r="AE29" s="724" t="s">
        <v>478</v>
      </c>
      <c r="AF29" s="724"/>
      <c r="AG29" s="724"/>
      <c r="AH29" s="724"/>
      <c r="AI29" s="724"/>
      <c r="AJ29" s="724"/>
      <c r="AK29" s="196"/>
      <c r="AL29"/>
      <c r="AM29"/>
      <c r="AN29"/>
      <c r="AO29"/>
      <c r="AP29"/>
      <c r="AQ29"/>
      <c r="AR29"/>
      <c r="AS29"/>
      <c r="AT29"/>
      <c r="AU29"/>
      <c r="AV29"/>
      <c r="AW29"/>
      <c r="AX29" s="1"/>
      <c r="AY29" s="1"/>
    </row>
    <row r="30" spans="1:51" ht="14.1" customHeight="1" thickBot="1" x14ac:dyDescent="0.2">
      <c r="A30" s="174"/>
      <c r="B30" s="701" t="s">
        <v>479</v>
      </c>
      <c r="C30" s="701"/>
      <c r="D30" s="701"/>
      <c r="E30" s="174"/>
      <c r="F30" s="701" t="s">
        <v>385</v>
      </c>
      <c r="G30" s="701"/>
      <c r="H30" s="701"/>
      <c r="I30" s="174"/>
      <c r="J30" s="722"/>
      <c r="K30" s="722"/>
      <c r="L30" s="722"/>
      <c r="M30" s="722"/>
      <c r="N30" s="722"/>
      <c r="O30" s="718" t="str">
        <f>W23</f>
        <v>-</v>
      </c>
      <c r="P30" s="718"/>
      <c r="Q30" s="718"/>
      <c r="R30" s="174"/>
      <c r="S30" s="196"/>
      <c r="T30" s="214" t="str">
        <f t="shared" si="5"/>
        <v>運</v>
      </c>
      <c r="U30" s="55"/>
      <c r="V30" s="57"/>
      <c r="W30" s="57"/>
      <c r="X30" s="57"/>
      <c r="Y30" s="57"/>
      <c r="Z30" s="57"/>
      <c r="AA30" s="217">
        <f t="shared" si="6"/>
        <v>0</v>
      </c>
      <c r="AB30" s="196"/>
      <c r="AC30" s="716" t="s">
        <v>33</v>
      </c>
      <c r="AD30" s="716"/>
      <c r="AE30" s="717" t="s">
        <v>480</v>
      </c>
      <c r="AF30" s="717"/>
      <c r="AG30" s="717"/>
      <c r="AH30" s="717"/>
      <c r="AI30" s="717"/>
      <c r="AJ30" s="717"/>
      <c r="AK30" s="196"/>
      <c r="AL30"/>
      <c r="AM30"/>
      <c r="AN30"/>
      <c r="AO30"/>
      <c r="AP30"/>
      <c r="AQ30"/>
      <c r="AR30"/>
      <c r="AS30"/>
      <c r="AT30"/>
      <c r="AU30"/>
      <c r="AV30"/>
      <c r="AW30"/>
      <c r="AX30" s="1"/>
      <c r="AY30" s="1"/>
    </row>
    <row r="31" spans="1:51" ht="14.1" customHeight="1" thickBot="1" x14ac:dyDescent="0.2">
      <c r="A31" s="174"/>
      <c r="B31" s="704" t="s">
        <v>387</v>
      </c>
      <c r="C31" s="779">
        <f>AA55</f>
        <v>6</v>
      </c>
      <c r="D31" s="786">
        <f>IF(AA16&lt;14,1,2)</f>
        <v>1</v>
      </c>
      <c r="E31" s="174"/>
      <c r="F31" s="704" t="s">
        <v>388</v>
      </c>
      <c r="G31" s="721">
        <f>V38</f>
        <v>0</v>
      </c>
      <c r="H31" s="798">
        <f>W38</f>
        <v>0</v>
      </c>
      <c r="I31" s="174"/>
      <c r="J31" s="722"/>
      <c r="K31" s="722"/>
      <c r="L31" s="722"/>
      <c r="M31" s="722"/>
      <c r="N31" s="722"/>
      <c r="O31" s="718" t="str">
        <f>X23</f>
        <v>-</v>
      </c>
      <c r="P31" s="718"/>
      <c r="Q31" s="718"/>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719" t="s">
        <v>113</v>
      </c>
      <c r="AD31" s="719"/>
      <c r="AE31" s="720" t="s">
        <v>482</v>
      </c>
      <c r="AF31" s="720"/>
      <c r="AG31" s="720"/>
      <c r="AH31" s="720"/>
      <c r="AI31" s="720"/>
      <c r="AJ31" s="720"/>
      <c r="AK31" s="196"/>
      <c r="AL31"/>
      <c r="AM31"/>
      <c r="AN31"/>
      <c r="AO31"/>
      <c r="AP31"/>
      <c r="AQ31"/>
      <c r="AR31"/>
      <c r="AS31"/>
      <c r="AT31"/>
      <c r="AU31"/>
      <c r="AV31"/>
      <c r="AW31"/>
      <c r="AX31" s="1"/>
      <c r="AY31" s="1"/>
    </row>
    <row r="32" spans="1:51" ht="14.1" customHeight="1" thickBot="1" x14ac:dyDescent="0.2">
      <c r="A32" s="174"/>
      <c r="B32" s="704"/>
      <c r="C32" s="779"/>
      <c r="D32" s="786"/>
      <c r="E32" s="174"/>
      <c r="F32" s="704"/>
      <c r="G32" s="721"/>
      <c r="H32" s="798"/>
      <c r="I32" s="174"/>
      <c r="J32" s="722"/>
      <c r="K32" s="722"/>
      <c r="L32" s="722"/>
      <c r="M32" s="722"/>
      <c r="N32" s="722"/>
      <c r="O32" s="718" t="str">
        <f>Y23</f>
        <v>-</v>
      </c>
      <c r="P32" s="718"/>
      <c r="Q32" s="718"/>
      <c r="R32" s="174"/>
      <c r="S32" s="198"/>
      <c r="T32" s="197"/>
      <c r="U32" s="735" t="s">
        <v>1080</v>
      </c>
      <c r="V32" s="735"/>
      <c r="W32" s="735"/>
      <c r="X32" s="735"/>
      <c r="Y32" s="735"/>
      <c r="Z32" s="735"/>
      <c r="AA32" s="212">
        <f>AA22-AA31</f>
        <v>5</v>
      </c>
      <c r="AB32" s="196"/>
      <c r="AC32" s="719" t="s">
        <v>273</v>
      </c>
      <c r="AD32" s="719"/>
      <c r="AE32" s="720" t="s">
        <v>483</v>
      </c>
      <c r="AF32" s="720"/>
      <c r="AG32" s="720"/>
      <c r="AH32" s="720"/>
      <c r="AI32" s="720"/>
      <c r="AJ32" s="720"/>
      <c r="AK32" s="196"/>
      <c r="AL32"/>
      <c r="AM32"/>
      <c r="AN32"/>
      <c r="AO32"/>
      <c r="AP32"/>
      <c r="AQ32"/>
      <c r="AR32"/>
      <c r="AS32"/>
      <c r="AT32"/>
      <c r="AU32"/>
      <c r="AV32"/>
      <c r="AW32"/>
      <c r="AX32" s="1"/>
      <c r="AY32" s="1"/>
    </row>
    <row r="33" spans="1:255" ht="14.1" customHeight="1" thickBot="1" x14ac:dyDescent="0.2">
      <c r="A33" s="174"/>
      <c r="B33" s="704" t="s">
        <v>484</v>
      </c>
      <c r="C33" s="779">
        <f>AA56</f>
        <v>7</v>
      </c>
      <c r="D33" s="786">
        <f>IF(AA16&lt;14,1,2)</f>
        <v>1</v>
      </c>
      <c r="E33" s="174"/>
      <c r="F33" s="704" t="s">
        <v>391</v>
      </c>
      <c r="G33" s="721">
        <f>V39</f>
        <v>0</v>
      </c>
      <c r="H33" s="798">
        <f>W39</f>
        <v>0</v>
      </c>
      <c r="I33" s="174"/>
      <c r="J33" s="722"/>
      <c r="K33" s="722"/>
      <c r="L33" s="722"/>
      <c r="M33" s="722"/>
      <c r="N33" s="722"/>
      <c r="O33" s="733" t="str">
        <f>Z23</f>
        <v>-</v>
      </c>
      <c r="P33" s="733"/>
      <c r="Q33" s="733"/>
      <c r="R33" s="174"/>
      <c r="S33" s="198"/>
      <c r="T33" s="734" t="s">
        <v>655</v>
      </c>
      <c r="U33" s="734"/>
      <c r="V33" s="734"/>
      <c r="W33" s="734"/>
      <c r="X33" s="734"/>
      <c r="Y33" s="734"/>
      <c r="Z33" s="734"/>
      <c r="AA33" s="734"/>
      <c r="AB33" s="196"/>
      <c r="AC33" s="719" t="s">
        <v>135</v>
      </c>
      <c r="AD33" s="719"/>
      <c r="AE33" s="720" t="s">
        <v>485</v>
      </c>
      <c r="AF33" s="720"/>
      <c r="AG33" s="720"/>
      <c r="AH33" s="720"/>
      <c r="AI33" s="720"/>
      <c r="AJ33" s="720"/>
      <c r="AK33" s="196"/>
      <c r="AL33"/>
      <c r="AM33"/>
      <c r="AN33"/>
      <c r="AO33"/>
      <c r="AP33"/>
      <c r="AQ33"/>
      <c r="AR33"/>
      <c r="AS33"/>
      <c r="AT33"/>
      <c r="AU33"/>
      <c r="AV33"/>
      <c r="AW33"/>
      <c r="AX33" s="1"/>
      <c r="AY33" s="1"/>
    </row>
    <row r="34" spans="1:255" ht="14.1" customHeight="1" thickBot="1" x14ac:dyDescent="0.2">
      <c r="A34" s="174"/>
      <c r="B34" s="704"/>
      <c r="C34" s="779"/>
      <c r="D34" s="786"/>
      <c r="E34" s="174"/>
      <c r="F34" s="704"/>
      <c r="G34" s="721"/>
      <c r="H34" s="798"/>
      <c r="I34" s="174"/>
      <c r="J34" s="787" t="s">
        <v>486</v>
      </c>
      <c r="K34" s="787"/>
      <c r="L34" s="787"/>
      <c r="M34" s="787"/>
      <c r="N34" s="787"/>
      <c r="O34" s="648" t="s">
        <v>487</v>
      </c>
      <c r="P34" s="648"/>
      <c r="Q34" s="648"/>
      <c r="R34" s="174"/>
      <c r="S34" s="198"/>
      <c r="T34" s="734"/>
      <c r="U34" s="734"/>
      <c r="V34" s="734"/>
      <c r="W34" s="734"/>
      <c r="X34" s="734"/>
      <c r="Y34" s="734"/>
      <c r="Z34" s="734"/>
      <c r="AA34" s="734"/>
      <c r="AB34" s="196"/>
      <c r="AC34" s="719" t="s">
        <v>160</v>
      </c>
      <c r="AD34" s="719"/>
      <c r="AE34" s="720" t="s">
        <v>488</v>
      </c>
      <c r="AF34" s="720"/>
      <c r="AG34" s="720"/>
      <c r="AH34" s="720"/>
      <c r="AI34" s="720"/>
      <c r="AJ34" s="720"/>
      <c r="AK34" s="196"/>
      <c r="AL34"/>
      <c r="AM34"/>
      <c r="AN34"/>
      <c r="AO34"/>
      <c r="AP34"/>
      <c r="AQ34"/>
      <c r="AR34"/>
      <c r="AS34"/>
      <c r="AT34"/>
      <c r="AU34"/>
      <c r="AV34"/>
      <c r="AW34"/>
      <c r="AX34" s="1"/>
      <c r="AY34" s="1"/>
    </row>
    <row r="35" spans="1:255" ht="14.1" customHeight="1" thickTop="1" thickBot="1" x14ac:dyDescent="0.2">
      <c r="A35" s="174"/>
      <c r="B35" s="778" t="s">
        <v>489</v>
      </c>
      <c r="C35" s="780">
        <f>AA57</f>
        <v>7</v>
      </c>
      <c r="D35" s="783">
        <f>IF(AA16&lt;14,1,2)</f>
        <v>1</v>
      </c>
      <c r="E35" s="174"/>
      <c r="F35" s="778" t="s">
        <v>394</v>
      </c>
      <c r="G35" s="781">
        <f>V40</f>
        <v>0</v>
      </c>
      <c r="H35" s="782">
        <f>W40</f>
        <v>0</v>
      </c>
      <c r="I35" s="174"/>
      <c r="J35" s="741" t="s">
        <v>18</v>
      </c>
      <c r="K35" s="741"/>
      <c r="L35" s="741"/>
      <c r="M35" s="741"/>
      <c r="N35" s="741"/>
      <c r="O35" s="731" t="s">
        <v>490</v>
      </c>
      <c r="P35" s="731"/>
      <c r="Q35" s="188">
        <f>ROUNDDOWN((AA11/3),0)</f>
        <v>1</v>
      </c>
      <c r="R35" s="174"/>
      <c r="S35" s="198"/>
      <c r="T35" s="742" t="s">
        <v>491</v>
      </c>
      <c r="U35" s="742"/>
      <c r="V35" s="742"/>
      <c r="W35" s="742"/>
      <c r="X35" s="732" t="s">
        <v>492</v>
      </c>
      <c r="Y35" s="732"/>
      <c r="Z35" s="732"/>
      <c r="AA35" s="732"/>
      <c r="AB35" s="196"/>
      <c r="AC35" s="719" t="s">
        <v>182</v>
      </c>
      <c r="AD35" s="719"/>
      <c r="AE35" s="720" t="s">
        <v>493</v>
      </c>
      <c r="AF35" s="720"/>
      <c r="AG35" s="720"/>
      <c r="AH35" s="720"/>
      <c r="AI35" s="720"/>
      <c r="AJ35" s="720"/>
      <c r="AK35" s="196"/>
      <c r="AL35"/>
      <c r="AM35"/>
      <c r="AN35"/>
      <c r="AO35"/>
      <c r="AP35"/>
      <c r="AQ35"/>
      <c r="AR35"/>
      <c r="AS35"/>
      <c r="AT35"/>
      <c r="AU35"/>
      <c r="AV35"/>
      <c r="AW35"/>
      <c r="AX35" s="1"/>
      <c r="AY35" s="1"/>
    </row>
    <row r="36" spans="1:255" ht="14.1" customHeight="1" thickTop="1" thickBot="1" x14ac:dyDescent="0.2">
      <c r="A36" s="174"/>
      <c r="B36" s="778"/>
      <c r="C36" s="780"/>
      <c r="D36" s="783"/>
      <c r="E36" s="174"/>
      <c r="F36" s="778"/>
      <c r="G36" s="781"/>
      <c r="H36" s="782"/>
      <c r="I36" s="174"/>
      <c r="J36" s="741"/>
      <c r="K36" s="741"/>
      <c r="L36" s="741"/>
      <c r="M36" s="741"/>
      <c r="N36" s="741"/>
      <c r="O36" s="739" t="s">
        <v>494</v>
      </c>
      <c r="P36" s="739"/>
      <c r="Q36" s="189">
        <f>ROUNDDOWN((AA13/3),0)</f>
        <v>1</v>
      </c>
      <c r="R36" s="174"/>
      <c r="S36" s="198"/>
      <c r="T36" s="742"/>
      <c r="U36" s="742"/>
      <c r="V36" s="742"/>
      <c r="W36" s="742"/>
      <c r="X36" s="221" t="s">
        <v>495</v>
      </c>
      <c r="Y36" s="222" t="s">
        <v>496</v>
      </c>
      <c r="Z36" s="223" t="s">
        <v>497</v>
      </c>
      <c r="AA36" s="37"/>
      <c r="AB36" s="196"/>
      <c r="AC36" s="719" t="s">
        <v>203</v>
      </c>
      <c r="AD36" s="719"/>
      <c r="AE36" s="720" t="s">
        <v>498</v>
      </c>
      <c r="AF36" s="720"/>
      <c r="AG36" s="720"/>
      <c r="AH36" s="720"/>
      <c r="AI36" s="720"/>
      <c r="AJ36" s="720"/>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40"/>
      <c r="U37" s="740"/>
      <c r="V37" s="227" t="s">
        <v>499</v>
      </c>
      <c r="W37" s="228" t="s">
        <v>500</v>
      </c>
      <c r="X37" s="242">
        <f>Z63-SUM(X38:X40)</f>
        <v>3</v>
      </c>
      <c r="Y37" s="243">
        <f>Z64-SUM(Y38:Y40)</f>
        <v>7</v>
      </c>
      <c r="Z37" s="244">
        <f>Z65-SUM(Z38:Z40)</f>
        <v>7</v>
      </c>
      <c r="AA37" s="231" t="s">
        <v>501</v>
      </c>
      <c r="AB37" s="196"/>
      <c r="AC37" s="719" t="s">
        <v>221</v>
      </c>
      <c r="AD37" s="719"/>
      <c r="AE37" s="720" t="s">
        <v>502</v>
      </c>
      <c r="AF37" s="720"/>
      <c r="AG37" s="720"/>
      <c r="AH37" s="720"/>
      <c r="AI37" s="720"/>
      <c r="AJ37" s="720"/>
      <c r="AK37" s="196"/>
      <c r="AL37"/>
      <c r="AM37"/>
      <c r="AN37"/>
      <c r="AO37"/>
      <c r="AP37"/>
      <c r="AQ37"/>
      <c r="AR37"/>
      <c r="AS37"/>
      <c r="AT37"/>
      <c r="AU37"/>
      <c r="AV37"/>
      <c r="AW37"/>
      <c r="AX37" s="1"/>
      <c r="AY37" s="1"/>
    </row>
    <row r="38" spans="1:255" ht="14.1" customHeight="1" x14ac:dyDescent="0.15">
      <c r="A38" s="174"/>
      <c r="B38" s="692" t="s">
        <v>1320</v>
      </c>
      <c r="C38" s="692"/>
      <c r="D38" s="692"/>
      <c r="E38" s="692"/>
      <c r="F38" s="692"/>
      <c r="G38" s="692"/>
      <c r="H38" s="692"/>
      <c r="I38" s="692"/>
      <c r="J38" s="701" t="s">
        <v>503</v>
      </c>
      <c r="K38" s="701"/>
      <c r="L38" s="701"/>
      <c r="M38" s="701"/>
      <c r="N38" s="701"/>
      <c r="O38" s="701"/>
      <c r="P38" s="701"/>
      <c r="Q38" s="701"/>
      <c r="R38" s="174"/>
      <c r="S38" s="198"/>
      <c r="T38" s="738" t="s">
        <v>504</v>
      </c>
      <c r="U38" s="738"/>
      <c r="V38" s="59"/>
      <c r="W38" s="60"/>
      <c r="X38" s="255"/>
      <c r="Y38" s="207"/>
      <c r="Z38" s="224"/>
      <c r="AA38" s="245">
        <f>ROUNDDOWN((Y38/2),0)+ROUNDDOWN((Z38/2),0)+(X38)</f>
        <v>0</v>
      </c>
      <c r="AB38" s="196"/>
      <c r="AC38" s="719" t="s">
        <v>81</v>
      </c>
      <c r="AD38" s="719"/>
      <c r="AE38" s="720" t="s">
        <v>505</v>
      </c>
      <c r="AF38" s="720"/>
      <c r="AG38" s="720"/>
      <c r="AH38" s="720"/>
      <c r="AI38" s="720"/>
      <c r="AJ38" s="720"/>
      <c r="AK38" s="196"/>
      <c r="AL38"/>
      <c r="AM38"/>
      <c r="AN38"/>
      <c r="AO38"/>
      <c r="AP38"/>
      <c r="AQ38"/>
      <c r="AR38"/>
      <c r="AS38"/>
      <c r="AT38"/>
      <c r="AU38"/>
      <c r="AV38"/>
      <c r="AW38"/>
      <c r="AX38" s="1"/>
      <c r="AY38" s="1"/>
    </row>
    <row r="39" spans="1:255" ht="14.1" customHeight="1" x14ac:dyDescent="0.15">
      <c r="A39" s="174"/>
      <c r="B39" s="736" t="s">
        <v>12</v>
      </c>
      <c r="C39" s="736"/>
      <c r="D39" s="736"/>
      <c r="E39" s="737" t="s">
        <v>1319</v>
      </c>
      <c r="F39" s="737"/>
      <c r="G39" s="737"/>
      <c r="H39" s="737" t="s">
        <v>506</v>
      </c>
      <c r="I39" s="737"/>
      <c r="J39" s="750"/>
      <c r="K39" s="750"/>
      <c r="L39" s="750"/>
      <c r="M39" s="750"/>
      <c r="N39" s="750"/>
      <c r="O39" s="750"/>
      <c r="P39" s="750"/>
      <c r="Q39" s="750"/>
      <c r="R39" s="174"/>
      <c r="S39" s="198"/>
      <c r="T39" s="738" t="s">
        <v>507</v>
      </c>
      <c r="U39" s="738"/>
      <c r="V39" s="59"/>
      <c r="W39" s="60"/>
      <c r="X39" s="226"/>
      <c r="Y39" s="256"/>
      <c r="Z39" s="224"/>
      <c r="AA39" s="245">
        <f>ROUNDDOWN((X39/2),0)+ROUNDDOWN((Z39/2),0)+(Y39)</f>
        <v>0</v>
      </c>
      <c r="AB39" s="196"/>
      <c r="AC39" s="719" t="s">
        <v>236</v>
      </c>
      <c r="AD39" s="719"/>
      <c r="AE39" s="720" t="s">
        <v>508</v>
      </c>
      <c r="AF39" s="720"/>
      <c r="AG39" s="720"/>
      <c r="AH39" s="720"/>
      <c r="AI39" s="720"/>
      <c r="AJ39" s="720"/>
      <c r="AK39" s="197"/>
      <c r="AL39"/>
      <c r="AM39"/>
      <c r="AN39"/>
      <c r="AO39"/>
      <c r="AP39"/>
      <c r="AQ39"/>
      <c r="AR39"/>
      <c r="AS39"/>
      <c r="AT39"/>
      <c r="AU39"/>
      <c r="AV39"/>
      <c r="AW39"/>
      <c r="AX39" s="1"/>
      <c r="AY39" s="1"/>
    </row>
    <row r="40" spans="1:255" ht="14.1" customHeight="1" thickBot="1" x14ac:dyDescent="0.2">
      <c r="A40" s="174"/>
      <c r="B40" s="745" t="s">
        <v>18</v>
      </c>
      <c r="C40" s="745"/>
      <c r="D40" s="745"/>
      <c r="E40" s="746" t="s">
        <v>18</v>
      </c>
      <c r="F40" s="746"/>
      <c r="G40" s="746"/>
      <c r="H40" s="747"/>
      <c r="I40" s="747"/>
      <c r="J40" s="750"/>
      <c r="K40" s="750"/>
      <c r="L40" s="750"/>
      <c r="M40" s="750"/>
      <c r="N40" s="750"/>
      <c r="O40" s="750"/>
      <c r="P40" s="750"/>
      <c r="Q40" s="750"/>
      <c r="R40" s="174"/>
      <c r="S40" s="198"/>
      <c r="T40" s="748" t="s">
        <v>509</v>
      </c>
      <c r="U40" s="748"/>
      <c r="V40" s="61"/>
      <c r="W40" s="62"/>
      <c r="X40" s="225"/>
      <c r="Y40" s="208"/>
      <c r="Z40" s="257"/>
      <c r="AA40" s="246">
        <f>ROUNDDOWN((X40/2),0)+ROUNDDOWN((Y40/2),0)+(Z40)</f>
        <v>0</v>
      </c>
      <c r="AB40" s="196"/>
      <c r="AC40" s="719" t="s">
        <v>252</v>
      </c>
      <c r="AD40" s="719"/>
      <c r="AE40" s="720" t="s">
        <v>510</v>
      </c>
      <c r="AF40" s="720"/>
      <c r="AG40" s="720"/>
      <c r="AH40" s="720"/>
      <c r="AI40" s="720"/>
      <c r="AJ40" s="720"/>
      <c r="AK40" s="197"/>
      <c r="AL40"/>
      <c r="AM40"/>
      <c r="AN40"/>
      <c r="AO40"/>
      <c r="AP40"/>
      <c r="AQ40"/>
      <c r="AR40"/>
      <c r="AS40"/>
      <c r="AT40"/>
      <c r="AU40"/>
      <c r="AV40"/>
      <c r="AW40"/>
      <c r="AX40" s="1"/>
      <c r="AY40" s="1"/>
      <c r="IS40" s="78"/>
      <c r="IT40" s="78"/>
      <c r="IU40" s="78"/>
    </row>
    <row r="41" spans="1:255" ht="14.1" customHeight="1" thickTop="1" thickBot="1" x14ac:dyDescent="0.2">
      <c r="A41" s="174"/>
      <c r="B41" s="745" t="s">
        <v>18</v>
      </c>
      <c r="C41" s="745"/>
      <c r="D41" s="745"/>
      <c r="E41" s="746" t="s">
        <v>18</v>
      </c>
      <c r="F41" s="746"/>
      <c r="G41" s="746"/>
      <c r="H41" s="747"/>
      <c r="I41" s="747"/>
      <c r="J41" s="750"/>
      <c r="K41" s="750"/>
      <c r="L41" s="750"/>
      <c r="M41" s="750"/>
      <c r="N41" s="750"/>
      <c r="O41" s="750"/>
      <c r="P41" s="750"/>
      <c r="Q41" s="750"/>
      <c r="R41" s="174"/>
      <c r="S41" s="196"/>
      <c r="T41" s="196"/>
      <c r="U41" s="198"/>
      <c r="V41" s="264" t="s">
        <v>654</v>
      </c>
      <c r="W41" s="196"/>
      <c r="X41" s="749" t="s">
        <v>511</v>
      </c>
      <c r="Y41" s="749"/>
      <c r="Z41" s="749"/>
      <c r="AA41" s="198"/>
      <c r="AB41" s="197"/>
      <c r="AC41" s="743" t="s">
        <v>209</v>
      </c>
      <c r="AD41" s="743"/>
      <c r="AE41" s="744" t="s">
        <v>512</v>
      </c>
      <c r="AF41" s="744"/>
      <c r="AG41" s="744"/>
      <c r="AH41" s="744"/>
      <c r="AI41" s="744"/>
      <c r="AJ41" s="744"/>
      <c r="AK41" s="197"/>
      <c r="AL41"/>
      <c r="AM41"/>
      <c r="AN41"/>
      <c r="AO41"/>
      <c r="AP41"/>
      <c r="AQ41"/>
      <c r="AR41"/>
      <c r="AS41"/>
      <c r="AT41"/>
      <c r="AU41"/>
      <c r="AV41"/>
      <c r="AW41"/>
      <c r="AX41" s="1"/>
      <c r="AY41" s="1"/>
      <c r="IS41" s="78"/>
      <c r="IT41" s="78"/>
      <c r="IU41" s="78"/>
    </row>
    <row r="42" spans="1:255" ht="14.1" customHeight="1" thickBot="1" x14ac:dyDescent="0.2">
      <c r="A42" s="174"/>
      <c r="B42" s="745" t="s">
        <v>18</v>
      </c>
      <c r="C42" s="745"/>
      <c r="D42" s="745"/>
      <c r="E42" s="746" t="s">
        <v>18</v>
      </c>
      <c r="F42" s="746"/>
      <c r="G42" s="746"/>
      <c r="H42" s="747"/>
      <c r="I42" s="747"/>
      <c r="J42" s="767" t="s">
        <v>513</v>
      </c>
      <c r="K42" s="767"/>
      <c r="L42" s="767"/>
      <c r="M42" s="767"/>
      <c r="N42" s="767"/>
      <c r="O42" s="767"/>
      <c r="P42" s="767"/>
      <c r="Q42" s="767"/>
      <c r="R42" s="174"/>
      <c r="S42" s="196"/>
      <c r="T42" s="775" t="s">
        <v>1063</v>
      </c>
      <c r="U42" s="776"/>
      <c r="V42" s="198"/>
      <c r="W42" s="198"/>
      <c r="X42" s="768" t="s">
        <v>514</v>
      </c>
      <c r="Y42" s="768"/>
      <c r="Z42" s="768"/>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745" t="s">
        <v>18</v>
      </c>
      <c r="C43" s="745"/>
      <c r="D43" s="745"/>
      <c r="E43" s="746" t="s">
        <v>18</v>
      </c>
      <c r="F43" s="746"/>
      <c r="G43" s="746"/>
      <c r="H43" s="747"/>
      <c r="I43" s="747"/>
      <c r="J43" s="761"/>
      <c r="K43" s="761"/>
      <c r="L43" s="761"/>
      <c r="M43" s="761"/>
      <c r="N43" s="761"/>
      <c r="O43" s="761"/>
      <c r="P43" s="761"/>
      <c r="Q43" s="761"/>
      <c r="R43" s="174"/>
      <c r="S43" s="196"/>
      <c r="T43" s="755" t="s">
        <v>1064</v>
      </c>
      <c r="U43" s="756"/>
      <c r="V43" s="198"/>
      <c r="W43" s="198"/>
      <c r="X43" s="221" t="s">
        <v>495</v>
      </c>
      <c r="Y43" s="230" t="s">
        <v>496</v>
      </c>
      <c r="Z43" s="223" t="s">
        <v>497</v>
      </c>
      <c r="AA43" s="198"/>
      <c r="AB43" s="196"/>
      <c r="AC43" s="751" t="s">
        <v>515</v>
      </c>
      <c r="AD43" s="751"/>
      <c r="AE43" s="751"/>
      <c r="AF43" s="751"/>
      <c r="AG43" s="751"/>
      <c r="AH43" s="751"/>
      <c r="AI43" s="751"/>
      <c r="AJ43" s="751"/>
      <c r="AK43" s="196"/>
      <c r="AL43"/>
      <c r="AM43"/>
      <c r="AN43"/>
      <c r="AO43"/>
      <c r="AP43"/>
      <c r="AQ43"/>
      <c r="AR43"/>
      <c r="AS43"/>
      <c r="AT43"/>
      <c r="AU43"/>
      <c r="AV43"/>
      <c r="AW43"/>
      <c r="AX43"/>
      <c r="AY43" s="1"/>
      <c r="IU43" s="78"/>
    </row>
    <row r="44" spans="1:255" ht="14.1" customHeight="1" thickBot="1" x14ac:dyDescent="0.2">
      <c r="A44" s="174"/>
      <c r="B44" s="745" t="s">
        <v>18</v>
      </c>
      <c r="C44" s="745"/>
      <c r="D44" s="745"/>
      <c r="E44" s="746" t="s">
        <v>18</v>
      </c>
      <c r="F44" s="746"/>
      <c r="G44" s="746"/>
      <c r="H44" s="747"/>
      <c r="I44" s="747"/>
      <c r="J44" s="761"/>
      <c r="K44" s="761"/>
      <c r="L44" s="761"/>
      <c r="M44" s="761"/>
      <c r="N44" s="761"/>
      <c r="O44" s="761"/>
      <c r="P44" s="761"/>
      <c r="Q44" s="761"/>
      <c r="R44" s="174"/>
      <c r="S44" s="196"/>
      <c r="T44" s="757"/>
      <c r="U44" s="758"/>
      <c r="V44" s="198"/>
      <c r="W44" s="221" t="s">
        <v>501</v>
      </c>
      <c r="X44" s="247">
        <f>AA38</f>
        <v>0</v>
      </c>
      <c r="Y44" s="248">
        <f>AA39</f>
        <v>0</v>
      </c>
      <c r="Z44" s="249">
        <f>AA40</f>
        <v>0</v>
      </c>
      <c r="AA44" s="198"/>
      <c r="AB44" s="196"/>
      <c r="AC44" s="752" t="s">
        <v>516</v>
      </c>
      <c r="AD44" s="753" t="s">
        <v>517</v>
      </c>
      <c r="AE44" s="753"/>
      <c r="AF44" s="753"/>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745" t="s">
        <v>18</v>
      </c>
      <c r="C45" s="745"/>
      <c r="D45" s="745"/>
      <c r="E45" s="746" t="s">
        <v>18</v>
      </c>
      <c r="F45" s="746"/>
      <c r="G45" s="746"/>
      <c r="H45" s="747"/>
      <c r="I45" s="747"/>
      <c r="J45" s="761"/>
      <c r="K45" s="761"/>
      <c r="L45" s="761"/>
      <c r="M45" s="761"/>
      <c r="N45" s="761"/>
      <c r="O45" s="761"/>
      <c r="P45" s="761"/>
      <c r="Q45" s="761"/>
      <c r="R45" s="174"/>
      <c r="S45" s="196"/>
      <c r="T45" s="759"/>
      <c r="U45" s="760"/>
      <c r="V45" s="196"/>
      <c r="W45" s="229" t="s">
        <v>521</v>
      </c>
      <c r="X45" s="250">
        <f>X44-(V38*3)-W38</f>
        <v>0</v>
      </c>
      <c r="Y45" s="251">
        <f>Y44-(V39*3)-W39</f>
        <v>0</v>
      </c>
      <c r="Z45" s="252">
        <f>Z44-(V40*3)-W40</f>
        <v>0</v>
      </c>
      <c r="AA45" s="196"/>
      <c r="AB45" s="196"/>
      <c r="AC45" s="752"/>
      <c r="AD45" s="753"/>
      <c r="AE45" s="753"/>
      <c r="AF45" s="753"/>
      <c r="AG45" s="753" t="s">
        <v>517</v>
      </c>
      <c r="AH45" s="754" t="s">
        <v>522</v>
      </c>
      <c r="AI45" s="754" t="s">
        <v>523</v>
      </c>
      <c r="AJ45" s="754" t="s">
        <v>524</v>
      </c>
      <c r="AK45" s="196"/>
      <c r="AL45"/>
      <c r="AM45"/>
      <c r="AN45"/>
      <c r="AO45"/>
      <c r="AP45"/>
      <c r="AQ45"/>
      <c r="AR45"/>
      <c r="AS45"/>
      <c r="AT45"/>
      <c r="AU45"/>
      <c r="AV45"/>
      <c r="AW45"/>
      <c r="AX45"/>
      <c r="AY45" s="1"/>
    </row>
    <row r="46" spans="1:255" ht="14.1" customHeight="1" thickBot="1" x14ac:dyDescent="0.2">
      <c r="A46" s="174"/>
      <c r="B46" s="745" t="s">
        <v>18</v>
      </c>
      <c r="C46" s="745"/>
      <c r="D46" s="745"/>
      <c r="E46" s="746" t="s">
        <v>18</v>
      </c>
      <c r="F46" s="746"/>
      <c r="G46" s="746"/>
      <c r="H46" s="747"/>
      <c r="I46" s="747"/>
      <c r="J46" s="761"/>
      <c r="K46" s="761"/>
      <c r="L46" s="761"/>
      <c r="M46" s="761"/>
      <c r="N46" s="761"/>
      <c r="O46" s="761"/>
      <c r="P46" s="761"/>
      <c r="Q46" s="761"/>
      <c r="R46" s="174"/>
      <c r="S46" s="196"/>
      <c r="T46" s="196"/>
      <c r="U46" s="196"/>
      <c r="V46" s="196"/>
      <c r="W46" s="196"/>
      <c r="X46" s="196"/>
      <c r="Y46" s="196"/>
      <c r="Z46" s="196"/>
      <c r="AA46" s="196"/>
      <c r="AB46" s="196"/>
      <c r="AC46" s="752"/>
      <c r="AD46" s="752"/>
      <c r="AE46" s="753"/>
      <c r="AF46" s="753"/>
      <c r="AG46" s="753"/>
      <c r="AH46" s="754"/>
      <c r="AI46" s="754"/>
      <c r="AJ46" s="754"/>
      <c r="AK46" s="196"/>
      <c r="AL46"/>
      <c r="AM46"/>
      <c r="AN46"/>
      <c r="AO46"/>
      <c r="AP46"/>
      <c r="AQ46"/>
      <c r="AR46"/>
      <c r="AS46"/>
      <c r="AT46"/>
      <c r="AU46"/>
      <c r="AV46"/>
      <c r="AW46"/>
      <c r="AX46"/>
      <c r="AY46" s="1"/>
    </row>
    <row r="47" spans="1:255" ht="14.1" customHeight="1" thickBot="1" x14ac:dyDescent="0.2">
      <c r="A47" s="174"/>
      <c r="B47" s="745" t="s">
        <v>18</v>
      </c>
      <c r="C47" s="745"/>
      <c r="D47" s="745"/>
      <c r="E47" s="746" t="s">
        <v>18</v>
      </c>
      <c r="F47" s="746"/>
      <c r="G47" s="746"/>
      <c r="H47" s="747"/>
      <c r="I47" s="747"/>
      <c r="J47" s="761"/>
      <c r="K47" s="761"/>
      <c r="L47" s="761"/>
      <c r="M47" s="761"/>
      <c r="N47" s="761"/>
      <c r="O47" s="761"/>
      <c r="P47" s="761"/>
      <c r="Q47" s="761"/>
      <c r="R47" s="174"/>
      <c r="S47" s="196"/>
      <c r="T47" s="764" t="s">
        <v>451</v>
      </c>
      <c r="U47" s="764"/>
      <c r="V47" s="764"/>
      <c r="W47" s="764"/>
      <c r="X47" s="764"/>
      <c r="Y47" s="764"/>
      <c r="Z47" s="764"/>
      <c r="AA47" s="764"/>
      <c r="AB47" s="196"/>
      <c r="AC47" s="70" t="s">
        <v>444</v>
      </c>
      <c r="AD47" s="753" t="s">
        <v>525</v>
      </c>
      <c r="AE47" s="753"/>
      <c r="AF47" s="753"/>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745" t="s">
        <v>18</v>
      </c>
      <c r="C48" s="745"/>
      <c r="D48" s="745"/>
      <c r="E48" s="746" t="s">
        <v>870</v>
      </c>
      <c r="F48" s="746"/>
      <c r="G48" s="746"/>
      <c r="H48" s="747"/>
      <c r="I48" s="747"/>
      <c r="J48" s="761"/>
      <c r="K48" s="761"/>
      <c r="L48" s="761"/>
      <c r="M48" s="761"/>
      <c r="N48" s="761"/>
      <c r="O48" s="761"/>
      <c r="P48" s="761"/>
      <c r="Q48" s="761"/>
      <c r="R48" s="174"/>
      <c r="S48" s="196"/>
      <c r="T48" s="232"/>
      <c r="U48" s="233" t="s">
        <v>529</v>
      </c>
      <c r="V48" s="765" t="s">
        <v>530</v>
      </c>
      <c r="W48" s="765"/>
      <c r="X48" s="63" t="s">
        <v>531</v>
      </c>
      <c r="Y48" s="233" t="s">
        <v>442</v>
      </c>
      <c r="Z48" s="63" t="s">
        <v>532</v>
      </c>
      <c r="AA48" s="65" t="s">
        <v>453</v>
      </c>
      <c r="AB48" s="196"/>
      <c r="AC48" s="70" t="s">
        <v>445</v>
      </c>
      <c r="AD48" s="753" t="s">
        <v>533</v>
      </c>
      <c r="AE48" s="753"/>
      <c r="AF48" s="753"/>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745" t="s">
        <v>18</v>
      </c>
      <c r="C49" s="745"/>
      <c r="D49" s="745"/>
      <c r="E49" s="746" t="s">
        <v>870</v>
      </c>
      <c r="F49" s="746"/>
      <c r="G49" s="746"/>
      <c r="H49" s="747"/>
      <c r="I49" s="747"/>
      <c r="J49" s="761"/>
      <c r="K49" s="761"/>
      <c r="L49" s="761"/>
      <c r="M49" s="761"/>
      <c r="N49" s="761"/>
      <c r="O49" s="761"/>
      <c r="P49" s="761"/>
      <c r="Q49" s="761"/>
      <c r="R49" s="174"/>
      <c r="S49" s="196"/>
      <c r="T49" s="234" t="s">
        <v>386</v>
      </c>
      <c r="U49" s="203">
        <f>(AA10*2)+(AA11)</f>
        <v>12</v>
      </c>
      <c r="V49" s="762"/>
      <c r="W49" s="762"/>
      <c r="X49" s="64" t="s">
        <v>455</v>
      </c>
      <c r="Y49" s="238" t="s">
        <v>455</v>
      </c>
      <c r="Z49" s="57"/>
      <c r="AA49" s="253">
        <f t="shared" ref="AA49:AA59" si="8">SUM(U49:Z49)</f>
        <v>12</v>
      </c>
      <c r="AB49" s="196"/>
      <c r="AC49" s="70" t="s">
        <v>537</v>
      </c>
      <c r="AD49" s="753" t="s">
        <v>538</v>
      </c>
      <c r="AE49" s="753"/>
      <c r="AF49" s="753"/>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745" t="s">
        <v>18</v>
      </c>
      <c r="C50" s="745"/>
      <c r="D50" s="745"/>
      <c r="E50" s="763" t="s">
        <v>670</v>
      </c>
      <c r="F50" s="763"/>
      <c r="G50" s="763"/>
      <c r="H50" s="747"/>
      <c r="I50" s="747"/>
      <c r="J50" s="761"/>
      <c r="K50" s="761"/>
      <c r="L50" s="761"/>
      <c r="M50" s="761"/>
      <c r="N50" s="761"/>
      <c r="O50" s="761"/>
      <c r="P50" s="761"/>
      <c r="Q50" s="761"/>
      <c r="R50" s="174"/>
      <c r="S50" s="196"/>
      <c r="T50" s="234" t="s">
        <v>389</v>
      </c>
      <c r="U50" s="203">
        <f>AA13+ROUNDDOWN((AA11/2),0)+ROUNDDOWN((AA16/2),0)+10</f>
        <v>18</v>
      </c>
      <c r="V50" s="762"/>
      <c r="W50" s="762"/>
      <c r="X50" s="54">
        <f>IF(H18&lt;18,0,3)</f>
        <v>0</v>
      </c>
      <c r="Y50" s="203" t="str">
        <f>IF(C13="大器",10,"0")</f>
        <v>0</v>
      </c>
      <c r="Z50" s="57"/>
      <c r="AA50" s="253">
        <f t="shared" si="8"/>
        <v>18</v>
      </c>
      <c r="AB50" s="196"/>
      <c r="AC50" s="70" t="s">
        <v>542</v>
      </c>
      <c r="AD50" s="753" t="s">
        <v>543</v>
      </c>
      <c r="AE50" s="753"/>
      <c r="AF50" s="753"/>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745" t="s">
        <v>18</v>
      </c>
      <c r="C51" s="745"/>
      <c r="D51" s="745"/>
      <c r="E51" s="766" t="s">
        <v>243</v>
      </c>
      <c r="F51" s="766"/>
      <c r="G51" s="766"/>
      <c r="H51" s="747"/>
      <c r="I51" s="747"/>
      <c r="J51" s="761"/>
      <c r="K51" s="761"/>
      <c r="L51" s="761"/>
      <c r="M51" s="761"/>
      <c r="N51" s="761"/>
      <c r="O51" s="761"/>
      <c r="P51" s="761"/>
      <c r="Q51" s="761"/>
      <c r="R51" s="174"/>
      <c r="S51" s="196"/>
      <c r="T51" s="235" t="s">
        <v>461</v>
      </c>
      <c r="U51" s="236">
        <f>AA50-ROUNDDOWN((AA55/3),0)</f>
        <v>16</v>
      </c>
      <c r="V51" s="236"/>
      <c r="W51" s="236" t="s">
        <v>455</v>
      </c>
      <c r="X51" s="236" t="s">
        <v>455</v>
      </c>
      <c r="Y51" s="236" t="s">
        <v>455</v>
      </c>
      <c r="Z51" s="71"/>
      <c r="AA51" s="253">
        <f t="shared" si="8"/>
        <v>16</v>
      </c>
      <c r="AB51" s="196"/>
      <c r="AC51" s="70" t="s">
        <v>544</v>
      </c>
      <c r="AD51" s="753" t="s">
        <v>547</v>
      </c>
      <c r="AE51" s="753"/>
      <c r="AF51" s="753"/>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701" t="s">
        <v>551</v>
      </c>
      <c r="C52" s="701"/>
      <c r="D52" s="701"/>
      <c r="E52" s="701"/>
      <c r="F52" s="701"/>
      <c r="G52" s="701"/>
      <c r="H52" s="701"/>
      <c r="I52" s="701"/>
      <c r="J52" s="701"/>
      <c r="K52" s="701"/>
      <c r="L52" s="701"/>
      <c r="M52" s="701"/>
      <c r="N52" s="701"/>
      <c r="O52" s="701"/>
      <c r="P52" s="701"/>
      <c r="Q52" s="701"/>
      <c r="R52" s="174"/>
      <c r="S52" s="196"/>
      <c r="T52" s="234" t="s">
        <v>469</v>
      </c>
      <c r="U52" s="203">
        <f>ROUNDDOWN((AA11/2),0)</f>
        <v>2</v>
      </c>
      <c r="V52" s="236" t="s">
        <v>455</v>
      </c>
      <c r="W52" s="236" t="s">
        <v>455</v>
      </c>
      <c r="X52" s="203">
        <f>IF(H17&lt;18,0,1)</f>
        <v>0</v>
      </c>
      <c r="Y52" s="238" t="s">
        <v>455</v>
      </c>
      <c r="Z52" s="57"/>
      <c r="AA52" s="253">
        <f t="shared" si="8"/>
        <v>2</v>
      </c>
      <c r="AB52" s="196"/>
      <c r="AC52" s="70" t="s">
        <v>552</v>
      </c>
      <c r="AD52" s="753" t="s">
        <v>553</v>
      </c>
      <c r="AE52" s="753"/>
      <c r="AF52" s="753"/>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769" t="s">
        <v>556</v>
      </c>
      <c r="C53" s="769"/>
      <c r="D53" s="769"/>
      <c r="E53" s="769"/>
      <c r="F53" s="769"/>
      <c r="G53" s="769"/>
      <c r="H53" s="769"/>
      <c r="I53" s="769"/>
      <c r="J53" s="769"/>
      <c r="K53" s="769"/>
      <c r="L53" s="769"/>
      <c r="M53" s="769"/>
      <c r="N53" s="769"/>
      <c r="O53" s="769"/>
      <c r="P53" s="769"/>
      <c r="Q53" s="769"/>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769"/>
      <c r="C54" s="769"/>
      <c r="D54" s="769"/>
      <c r="E54" s="769"/>
      <c r="F54" s="769"/>
      <c r="G54" s="769"/>
      <c r="H54" s="769"/>
      <c r="I54" s="769"/>
      <c r="J54" s="769"/>
      <c r="K54" s="769"/>
      <c r="L54" s="769"/>
      <c r="M54" s="769"/>
      <c r="N54" s="769"/>
      <c r="O54" s="769"/>
      <c r="P54" s="769"/>
      <c r="Q54" s="769"/>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769"/>
      <c r="C55" s="769"/>
      <c r="D55" s="769"/>
      <c r="E55" s="769"/>
      <c r="F55" s="769"/>
      <c r="G55" s="769"/>
      <c r="H55" s="769"/>
      <c r="I55" s="769"/>
      <c r="J55" s="769"/>
      <c r="K55" s="769"/>
      <c r="L55" s="769"/>
      <c r="M55" s="769"/>
      <c r="N55" s="769"/>
      <c r="O55" s="769"/>
      <c r="P55" s="769"/>
      <c r="Q55" s="769"/>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761"/>
      <c r="C56" s="761"/>
      <c r="D56" s="761"/>
      <c r="E56" s="761"/>
      <c r="F56" s="761"/>
      <c r="G56" s="761"/>
      <c r="H56" s="761"/>
      <c r="I56" s="761"/>
      <c r="J56" s="761"/>
      <c r="K56" s="761"/>
      <c r="L56" s="761"/>
      <c r="M56" s="761"/>
      <c r="N56" s="761"/>
      <c r="O56" s="761"/>
      <c r="P56" s="761"/>
      <c r="Q56" s="761"/>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761"/>
      <c r="C57" s="761"/>
      <c r="D57" s="761"/>
      <c r="E57" s="761"/>
      <c r="F57" s="761"/>
      <c r="G57" s="761"/>
      <c r="H57" s="761"/>
      <c r="I57" s="761"/>
      <c r="J57" s="761"/>
      <c r="K57" s="761"/>
      <c r="L57" s="761"/>
      <c r="M57" s="761"/>
      <c r="N57" s="761"/>
      <c r="O57" s="761"/>
      <c r="P57" s="761"/>
      <c r="Q57" s="761"/>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761"/>
      <c r="C58" s="761"/>
      <c r="D58" s="761"/>
      <c r="E58" s="761"/>
      <c r="F58" s="761"/>
      <c r="G58" s="761"/>
      <c r="H58" s="761"/>
      <c r="I58" s="761"/>
      <c r="J58" s="761"/>
      <c r="K58" s="761"/>
      <c r="L58" s="761"/>
      <c r="M58" s="761"/>
      <c r="N58" s="761"/>
      <c r="O58" s="761"/>
      <c r="P58" s="761"/>
      <c r="Q58" s="761"/>
      <c r="R58" s="174"/>
      <c r="S58" s="196"/>
      <c r="T58" s="234" t="s">
        <v>396</v>
      </c>
      <c r="U58" s="203">
        <f>ROUNDDOWN((AA13/2),0)+ROUNDDOWN((AA14/2),0)</f>
        <v>4</v>
      </c>
      <c r="V58" s="236" t="s">
        <v>455</v>
      </c>
      <c r="W58" s="236" t="s">
        <v>455</v>
      </c>
      <c r="X58" s="236" t="s">
        <v>455</v>
      </c>
      <c r="Y58" s="238" t="str">
        <f>IF(C13="大器",3,"0")</f>
        <v>0</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761"/>
      <c r="C59" s="761"/>
      <c r="D59" s="761"/>
      <c r="E59" s="761"/>
      <c r="F59" s="761"/>
      <c r="G59" s="761"/>
      <c r="H59" s="761"/>
      <c r="I59" s="761"/>
      <c r="J59" s="761"/>
      <c r="K59" s="761"/>
      <c r="L59" s="761"/>
      <c r="M59" s="761"/>
      <c r="N59" s="761"/>
      <c r="O59" s="761"/>
      <c r="P59" s="761"/>
      <c r="Q59" s="761"/>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761"/>
      <c r="C60" s="761"/>
      <c r="D60" s="761"/>
      <c r="E60" s="761"/>
      <c r="F60" s="761"/>
      <c r="G60" s="761"/>
      <c r="H60" s="761"/>
      <c r="I60" s="761"/>
      <c r="J60" s="761"/>
      <c r="K60" s="761"/>
      <c r="L60" s="761"/>
      <c r="M60" s="761"/>
      <c r="N60" s="761"/>
      <c r="O60" s="761"/>
      <c r="P60" s="761"/>
      <c r="Q60" s="761"/>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761"/>
      <c r="C61" s="761"/>
      <c r="D61" s="761"/>
      <c r="E61" s="761"/>
      <c r="F61" s="761"/>
      <c r="G61" s="761"/>
      <c r="H61" s="761"/>
      <c r="I61" s="761"/>
      <c r="J61" s="761"/>
      <c r="K61" s="761"/>
      <c r="L61" s="761"/>
      <c r="M61" s="761"/>
      <c r="N61" s="761"/>
      <c r="O61" s="761"/>
      <c r="P61" s="761"/>
      <c r="Q61" s="761"/>
      <c r="R61" s="174"/>
      <c r="S61" s="196"/>
      <c r="T61" s="764" t="s">
        <v>558</v>
      </c>
      <c r="U61" s="764"/>
      <c r="V61" s="764"/>
      <c r="W61" s="764"/>
      <c r="X61" s="764"/>
      <c r="Y61" s="764"/>
      <c r="Z61" s="764"/>
      <c r="AA61" s="764"/>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761"/>
      <c r="C62" s="761"/>
      <c r="D62" s="761"/>
      <c r="E62" s="761"/>
      <c r="F62" s="761"/>
      <c r="G62" s="761"/>
      <c r="H62" s="761"/>
      <c r="I62" s="761"/>
      <c r="J62" s="761"/>
      <c r="K62" s="761"/>
      <c r="L62" s="761"/>
      <c r="M62" s="761"/>
      <c r="N62" s="761"/>
      <c r="O62" s="761"/>
      <c r="P62" s="761"/>
      <c r="Q62" s="761"/>
      <c r="R62" s="174"/>
      <c r="S62" s="196"/>
      <c r="T62" s="772"/>
      <c r="U62" s="772"/>
      <c r="V62" s="240" t="s">
        <v>559</v>
      </c>
      <c r="W62" s="203" t="s">
        <v>560</v>
      </c>
      <c r="X62" s="203" t="s">
        <v>561</v>
      </c>
      <c r="Y62" s="203"/>
      <c r="Z62" s="773" t="s">
        <v>492</v>
      </c>
      <c r="AA62" s="773"/>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761"/>
      <c r="C63" s="761"/>
      <c r="D63" s="761"/>
      <c r="E63" s="761"/>
      <c r="F63" s="761"/>
      <c r="G63" s="761"/>
      <c r="H63" s="761"/>
      <c r="I63" s="761"/>
      <c r="J63" s="761"/>
      <c r="K63" s="761"/>
      <c r="L63" s="761"/>
      <c r="M63" s="761"/>
      <c r="N63" s="761"/>
      <c r="O63" s="761"/>
      <c r="P63" s="761"/>
      <c r="Q63" s="761"/>
      <c r="R63" s="174"/>
      <c r="S63" s="196"/>
      <c r="T63" s="772" t="s">
        <v>562</v>
      </c>
      <c r="U63" s="772"/>
      <c r="V63" s="203">
        <f>AA10</f>
        <v>4</v>
      </c>
      <c r="W63" s="236">
        <f>ROUNDDOWN((AA11/2),0)</f>
        <v>2</v>
      </c>
      <c r="X63" s="203"/>
      <c r="Y63" s="203"/>
      <c r="Z63" s="774">
        <f t="shared" ref="Z63:Z64" si="9">ROUNDDOWN((V63+W63)/2,0)</f>
        <v>3</v>
      </c>
      <c r="AA63" s="774"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761"/>
      <c r="C64" s="761"/>
      <c r="D64" s="761"/>
      <c r="E64" s="761"/>
      <c r="F64" s="761"/>
      <c r="G64" s="761"/>
      <c r="H64" s="761"/>
      <c r="I64" s="761"/>
      <c r="J64" s="761"/>
      <c r="K64" s="761"/>
      <c r="L64" s="761"/>
      <c r="M64" s="761"/>
      <c r="N64" s="761"/>
      <c r="O64" s="761"/>
      <c r="P64" s="761"/>
      <c r="Q64" s="761"/>
      <c r="R64" s="174"/>
      <c r="S64" s="196"/>
      <c r="T64" s="772" t="s">
        <v>564</v>
      </c>
      <c r="U64" s="772"/>
      <c r="V64" s="203">
        <f>ROUNDDOWN((AA14/2),0)+ROUNDDOWN((AA15/2),0)</f>
        <v>4</v>
      </c>
      <c r="W64" s="203">
        <v>10</v>
      </c>
      <c r="X64" s="203"/>
      <c r="Y64" s="203"/>
      <c r="Z64" s="774">
        <f t="shared" si="9"/>
        <v>7</v>
      </c>
      <c r="AA64" s="774"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761"/>
      <c r="C65" s="761"/>
      <c r="D65" s="761"/>
      <c r="E65" s="761"/>
      <c r="F65" s="761"/>
      <c r="G65" s="761"/>
      <c r="H65" s="761"/>
      <c r="I65" s="761"/>
      <c r="J65" s="761"/>
      <c r="K65" s="761"/>
      <c r="L65" s="761"/>
      <c r="M65" s="761"/>
      <c r="N65" s="761"/>
      <c r="O65" s="761"/>
      <c r="P65" s="761"/>
      <c r="Q65" s="761"/>
      <c r="R65" s="174"/>
      <c r="S65" s="196"/>
      <c r="T65" s="770" t="s">
        <v>565</v>
      </c>
      <c r="U65" s="770"/>
      <c r="V65" s="237">
        <f>AA58</f>
        <v>4</v>
      </c>
      <c r="W65" s="237">
        <f>ROUNDDOWN((AA55/2),0)</f>
        <v>3</v>
      </c>
      <c r="X65" s="237">
        <v>4</v>
      </c>
      <c r="Y65" s="237"/>
      <c r="Z65" s="771">
        <f>ROUNDDOWN((V65+W65)/2,0)+X65</f>
        <v>7</v>
      </c>
      <c r="AA65" s="771"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761"/>
      <c r="C66" s="761"/>
      <c r="D66" s="761"/>
      <c r="E66" s="761"/>
      <c r="F66" s="761"/>
      <c r="G66" s="761"/>
      <c r="H66" s="761"/>
      <c r="I66" s="761"/>
      <c r="J66" s="761"/>
      <c r="K66" s="761"/>
      <c r="L66" s="761"/>
      <c r="M66" s="761"/>
      <c r="N66" s="761"/>
      <c r="O66" s="761"/>
      <c r="P66" s="761"/>
      <c r="Q66" s="761"/>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E14:AF14"/>
    <mergeCell ref="AG14:AH14"/>
    <mergeCell ref="B16:D16"/>
    <mergeCell ref="F16:H16"/>
    <mergeCell ref="F17:G17"/>
    <mergeCell ref="AC17:AJ17"/>
    <mergeCell ref="D17:D18"/>
    <mergeCell ref="B17:C18"/>
    <mergeCell ref="F13:G14"/>
    <mergeCell ref="O14:P14"/>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50"/>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allowBlank="1" showInputMessage="1" showErrorMessage="1" sqref="C13:D14" xr:uid="{AB27E901-E4A5-4012-886E-E68D68DF69B7}">
      <formula1>IF($I$3="蟹",SPE_蟹,ＳＰＥ)</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45" t="s">
        <v>656</v>
      </c>
      <c r="C2" s="846"/>
      <c r="D2" s="846"/>
      <c r="E2" s="846"/>
      <c r="F2" s="846"/>
      <c r="G2" s="846"/>
      <c r="H2" s="846"/>
      <c r="I2" s="846"/>
      <c r="J2" s="847"/>
      <c r="K2" s="268"/>
      <c r="L2" s="197"/>
      <c r="M2" s="734" t="s">
        <v>657</v>
      </c>
      <c r="N2" s="734"/>
      <c r="O2" s="734"/>
      <c r="P2" s="734"/>
      <c r="Q2" s="734"/>
      <c r="R2" s="734"/>
      <c r="S2" s="734"/>
      <c r="T2" s="734"/>
      <c r="U2" s="734"/>
      <c r="V2" s="197"/>
    </row>
    <row r="3" spans="1:22" ht="14.1" customHeight="1" thickBot="1" x14ac:dyDescent="0.2">
      <c r="A3" s="268"/>
      <c r="B3" s="848"/>
      <c r="C3" s="849"/>
      <c r="D3" s="849"/>
      <c r="E3" s="849"/>
      <c r="F3" s="849"/>
      <c r="G3" s="849"/>
      <c r="H3" s="849"/>
      <c r="I3" s="849"/>
      <c r="J3" s="850"/>
      <c r="K3" s="268"/>
      <c r="L3" s="197"/>
      <c r="M3" s="734"/>
      <c r="N3" s="734"/>
      <c r="O3" s="734"/>
      <c r="P3" s="734"/>
      <c r="Q3" s="734"/>
      <c r="R3" s="734"/>
      <c r="S3" s="734"/>
      <c r="T3" s="734"/>
      <c r="U3" s="734"/>
      <c r="V3" s="197"/>
    </row>
    <row r="4" spans="1:22" ht="27.6" customHeight="1" thickBot="1" x14ac:dyDescent="0.2">
      <c r="A4" s="268"/>
      <c r="B4" s="854" t="s">
        <v>1287</v>
      </c>
      <c r="C4" s="855"/>
      <c r="D4" s="626">
        <f>キャラシート!AA59</f>
        <v>2</v>
      </c>
      <c r="E4" s="856" t="s">
        <v>566</v>
      </c>
      <c r="F4" s="855"/>
      <c r="G4" s="626">
        <f>ROUNDDOWN((キャラシート!H25)/2,0)</f>
        <v>2</v>
      </c>
      <c r="H4" s="856" t="s">
        <v>567</v>
      </c>
      <c r="I4" s="855"/>
      <c r="J4" s="627">
        <f>ROUNDDOWN((キャラシート!H25)/3,0)</f>
        <v>1</v>
      </c>
      <c r="K4" s="268"/>
      <c r="L4" s="197"/>
      <c r="M4" s="734"/>
      <c r="N4" s="734"/>
      <c r="O4" s="734"/>
      <c r="P4" s="734"/>
      <c r="Q4" s="734"/>
      <c r="R4" s="734"/>
      <c r="S4" s="734"/>
      <c r="T4" s="734"/>
      <c r="U4" s="734"/>
      <c r="V4" s="197"/>
    </row>
    <row r="5" spans="1:22" ht="15" thickBot="1" x14ac:dyDescent="0.2">
      <c r="A5" s="269"/>
      <c r="B5" s="857" t="s">
        <v>1241</v>
      </c>
      <c r="C5" s="858"/>
      <c r="D5" s="628">
        <f>-IFERROR(SUMPRODUCT(N(VALUE(RIGHT(INDEX(キャラシート!B40:B51,ROW(1:12)),1)))),0)</f>
        <v>0</v>
      </c>
      <c r="E5" s="858" t="s">
        <v>1285</v>
      </c>
      <c r="F5" s="858"/>
      <c r="G5" s="628">
        <f>SUMIF(H:H, "性質", J:J)+SUMIF(H:H, "晩成", J:J)</f>
        <v>0</v>
      </c>
      <c r="H5" s="858" t="s">
        <v>1286</v>
      </c>
      <c r="I5" s="858"/>
      <c r="J5" s="629">
        <f>IF(キャラシート!I3="蟹",SUMIF(H:H, "喚装", J:J),0)</f>
        <v>0</v>
      </c>
      <c r="K5" s="268"/>
      <c r="L5" s="197"/>
      <c r="M5" s="734"/>
      <c r="N5" s="734"/>
      <c r="O5" s="734"/>
      <c r="P5" s="734"/>
      <c r="Q5" s="734"/>
      <c r="R5" s="734"/>
      <c r="S5" s="734"/>
      <c r="T5" s="734"/>
      <c r="U5" s="734"/>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1" t="s">
        <v>398</v>
      </c>
      <c r="C8" s="802"/>
      <c r="D8" s="802"/>
      <c r="E8" s="802"/>
      <c r="F8" s="803"/>
      <c r="G8" s="265" t="s">
        <v>568</v>
      </c>
      <c r="H8" s="435" t="s">
        <v>225</v>
      </c>
      <c r="I8" s="435" t="s">
        <v>569</v>
      </c>
      <c r="J8" s="266" t="s">
        <v>570</v>
      </c>
      <c r="K8" s="269"/>
      <c r="L8" s="197"/>
      <c r="M8" s="804" t="s">
        <v>398</v>
      </c>
      <c r="N8" s="804"/>
      <c r="O8" s="804"/>
      <c r="P8" s="804"/>
      <c r="Q8" s="804"/>
      <c r="R8" s="805" t="s">
        <v>571</v>
      </c>
      <c r="S8" s="805"/>
      <c r="T8" s="265" t="s">
        <v>568</v>
      </c>
      <c r="U8" s="270" t="s">
        <v>569</v>
      </c>
      <c r="V8" s="197"/>
    </row>
    <row r="9" spans="1:22" ht="14.1" customHeight="1" x14ac:dyDescent="0.15">
      <c r="A9" s="268"/>
      <c r="B9" s="839"/>
      <c r="C9" s="840"/>
      <c r="D9" s="840"/>
      <c r="E9" s="840"/>
      <c r="F9" s="841"/>
      <c r="G9" s="819" t="s">
        <v>18</v>
      </c>
      <c r="H9" s="821" t="s">
        <v>18</v>
      </c>
      <c r="I9" s="836">
        <f>IF(キャラシート!$I$3="蟹",計算用!C12,計算用!C6)</f>
        <v>0</v>
      </c>
      <c r="J9" s="852">
        <f>IF(キャラシート!$I$3="蟹",計算用!D12,計算用!D6)</f>
        <v>0</v>
      </c>
      <c r="K9" s="268"/>
      <c r="L9" s="197"/>
      <c r="M9" s="829"/>
      <c r="N9" s="829"/>
      <c r="O9" s="829"/>
      <c r="P9" s="829"/>
      <c r="Q9" s="829"/>
      <c r="R9" s="827" t="s">
        <v>18</v>
      </c>
      <c r="S9" s="827"/>
      <c r="T9" s="838" t="s">
        <v>18</v>
      </c>
      <c r="U9" s="851"/>
      <c r="V9" s="197"/>
    </row>
    <row r="10" spans="1:22" ht="14.1" customHeight="1" x14ac:dyDescent="0.15">
      <c r="A10" s="269"/>
      <c r="B10" s="842"/>
      <c r="C10" s="843"/>
      <c r="D10" s="843"/>
      <c r="E10" s="843"/>
      <c r="F10" s="844"/>
      <c r="G10" s="820"/>
      <c r="H10" s="822"/>
      <c r="I10" s="837"/>
      <c r="J10" s="853"/>
      <c r="K10" s="269"/>
      <c r="L10" s="197"/>
      <c r="M10" s="829"/>
      <c r="N10" s="829"/>
      <c r="O10" s="829"/>
      <c r="P10" s="829"/>
      <c r="Q10" s="829"/>
      <c r="R10" s="827"/>
      <c r="S10" s="827"/>
      <c r="T10" s="838"/>
      <c r="U10" s="851"/>
      <c r="V10" s="197"/>
    </row>
    <row r="11" spans="1:22" ht="14.1" customHeight="1" x14ac:dyDescent="0.15">
      <c r="A11" s="268"/>
      <c r="B11" s="806" t="s">
        <v>9</v>
      </c>
      <c r="C11" s="807"/>
      <c r="D11" s="808"/>
      <c r="E11" s="809" t="s">
        <v>10</v>
      </c>
      <c r="F11" s="807"/>
      <c r="G11" s="808"/>
      <c r="H11" s="809" t="s">
        <v>11</v>
      </c>
      <c r="I11" s="807"/>
      <c r="J11" s="810"/>
      <c r="K11" s="268"/>
      <c r="L11" s="197"/>
      <c r="M11" s="829"/>
      <c r="N11" s="829"/>
      <c r="O11" s="829"/>
      <c r="P11" s="829"/>
      <c r="Q11" s="829"/>
      <c r="R11" s="827"/>
      <c r="S11" s="827"/>
      <c r="T11" s="838"/>
      <c r="U11" s="851"/>
      <c r="V11" s="197"/>
    </row>
    <row r="12" spans="1:22" ht="14.1" customHeight="1" x14ac:dyDescent="0.15">
      <c r="A12" s="269"/>
      <c r="B12" s="823" t="s">
        <v>18</v>
      </c>
      <c r="C12" s="825" t="s">
        <v>18</v>
      </c>
      <c r="D12" s="825" t="s">
        <v>18</v>
      </c>
      <c r="E12" s="436" t="s">
        <v>18</v>
      </c>
      <c r="F12" s="436" t="s">
        <v>18</v>
      </c>
      <c r="G12" s="436" t="s">
        <v>18</v>
      </c>
      <c r="H12" s="436" t="s">
        <v>18</v>
      </c>
      <c r="I12" s="436" t="s">
        <v>18</v>
      </c>
      <c r="J12" s="267" t="s">
        <v>18</v>
      </c>
      <c r="K12" s="269"/>
      <c r="L12" s="197"/>
      <c r="M12" s="811" t="s">
        <v>572</v>
      </c>
      <c r="N12" s="811"/>
      <c r="O12" s="811"/>
      <c r="P12" s="811"/>
      <c r="Q12" s="811"/>
      <c r="R12" s="811"/>
      <c r="S12" s="811"/>
      <c r="T12" s="811"/>
      <c r="U12" s="811"/>
      <c r="V12" s="197"/>
    </row>
    <row r="13" spans="1:22" ht="14.1" customHeight="1" x14ac:dyDescent="0.15">
      <c r="A13" s="268"/>
      <c r="B13" s="824"/>
      <c r="C13" s="826"/>
      <c r="D13" s="826"/>
      <c r="E13" s="436" t="s">
        <v>18</v>
      </c>
      <c r="F13" s="436" t="s">
        <v>18</v>
      </c>
      <c r="G13" s="436" t="s">
        <v>18</v>
      </c>
      <c r="H13" s="436" t="s">
        <v>18</v>
      </c>
      <c r="I13" s="436" t="s">
        <v>18</v>
      </c>
      <c r="J13" s="267" t="s">
        <v>18</v>
      </c>
      <c r="K13" s="268"/>
      <c r="L13" s="197"/>
      <c r="M13" s="828"/>
      <c r="N13" s="828"/>
      <c r="O13" s="828"/>
      <c r="P13" s="828"/>
      <c r="Q13" s="828"/>
      <c r="R13" s="828"/>
      <c r="S13" s="828"/>
      <c r="T13" s="828"/>
      <c r="U13" s="828"/>
      <c r="V13" s="197"/>
    </row>
    <row r="14" spans="1:22" ht="14.1" customHeight="1" x14ac:dyDescent="0.15">
      <c r="A14" s="269"/>
      <c r="B14" s="812" t="s">
        <v>572</v>
      </c>
      <c r="C14" s="813"/>
      <c r="D14" s="813"/>
      <c r="E14" s="813"/>
      <c r="F14" s="813"/>
      <c r="G14" s="813"/>
      <c r="H14" s="813"/>
      <c r="I14" s="813"/>
      <c r="J14" s="814"/>
      <c r="K14" s="269"/>
      <c r="L14" s="197"/>
      <c r="M14" s="828"/>
      <c r="N14" s="828"/>
      <c r="O14" s="828"/>
      <c r="P14" s="828"/>
      <c r="Q14" s="828"/>
      <c r="R14" s="828"/>
      <c r="S14" s="828"/>
      <c r="T14" s="828"/>
      <c r="U14" s="828"/>
      <c r="V14" s="197"/>
    </row>
    <row r="15" spans="1:22" ht="14.1" customHeight="1" x14ac:dyDescent="0.15">
      <c r="A15" s="268"/>
      <c r="B15" s="830"/>
      <c r="C15" s="831"/>
      <c r="D15" s="831"/>
      <c r="E15" s="831"/>
      <c r="F15" s="831"/>
      <c r="G15" s="831"/>
      <c r="H15" s="831"/>
      <c r="I15" s="831"/>
      <c r="J15" s="832"/>
      <c r="K15" s="268"/>
      <c r="L15" s="197"/>
      <c r="M15" s="828"/>
      <c r="N15" s="828"/>
      <c r="O15" s="828"/>
      <c r="P15" s="828"/>
      <c r="Q15" s="828"/>
      <c r="R15" s="828"/>
      <c r="S15" s="828"/>
      <c r="T15" s="828"/>
      <c r="U15" s="828"/>
      <c r="V15" s="197"/>
    </row>
    <row r="16" spans="1:22" ht="14.1" customHeight="1" x14ac:dyDescent="0.15">
      <c r="A16" s="269"/>
      <c r="B16" s="833"/>
      <c r="C16" s="834"/>
      <c r="D16" s="834"/>
      <c r="E16" s="834"/>
      <c r="F16" s="834"/>
      <c r="G16" s="834"/>
      <c r="H16" s="834"/>
      <c r="I16" s="834"/>
      <c r="J16" s="835"/>
      <c r="K16" s="269"/>
      <c r="L16" s="197"/>
      <c r="M16" s="828"/>
      <c r="N16" s="828"/>
      <c r="O16" s="828"/>
      <c r="P16" s="828"/>
      <c r="Q16" s="828"/>
      <c r="R16" s="828"/>
      <c r="S16" s="828"/>
      <c r="T16" s="828"/>
      <c r="U16" s="828"/>
      <c r="V16" s="197"/>
    </row>
    <row r="17" spans="1:22" ht="14.1" customHeight="1" thickBot="1" x14ac:dyDescent="0.2">
      <c r="A17" s="269"/>
      <c r="B17" s="815" t="s">
        <v>573</v>
      </c>
      <c r="C17" s="816"/>
      <c r="D17" s="816"/>
      <c r="E17" s="816"/>
      <c r="F17" s="816"/>
      <c r="G17" s="816"/>
      <c r="H17" s="816"/>
      <c r="I17" s="816"/>
      <c r="J17" s="817"/>
      <c r="K17" s="268"/>
      <c r="L17" s="197"/>
      <c r="M17" s="818" t="s">
        <v>574</v>
      </c>
      <c r="N17" s="818"/>
      <c r="O17" s="818"/>
      <c r="P17" s="818"/>
      <c r="Q17" s="818"/>
      <c r="R17" s="818"/>
      <c r="S17" s="818"/>
      <c r="T17" s="818"/>
      <c r="U17" s="818"/>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1" t="s">
        <v>398</v>
      </c>
      <c r="C19" s="802"/>
      <c r="D19" s="802"/>
      <c r="E19" s="802"/>
      <c r="F19" s="803"/>
      <c r="G19" s="265" t="s">
        <v>568</v>
      </c>
      <c r="H19" s="435" t="s">
        <v>225</v>
      </c>
      <c r="I19" s="435" t="s">
        <v>569</v>
      </c>
      <c r="J19" s="266" t="s">
        <v>570</v>
      </c>
      <c r="K19" s="269"/>
      <c r="L19" s="197"/>
      <c r="M19" s="804" t="s">
        <v>398</v>
      </c>
      <c r="N19" s="804"/>
      <c r="O19" s="804"/>
      <c r="P19" s="804"/>
      <c r="Q19" s="804"/>
      <c r="R19" s="805" t="s">
        <v>571</v>
      </c>
      <c r="S19" s="805"/>
      <c r="T19" s="265" t="s">
        <v>568</v>
      </c>
      <c r="U19" s="270" t="s">
        <v>569</v>
      </c>
      <c r="V19" s="197"/>
    </row>
    <row r="20" spans="1:22" ht="14.1" customHeight="1" x14ac:dyDescent="0.15">
      <c r="A20" s="268"/>
      <c r="B20" s="839"/>
      <c r="C20" s="840"/>
      <c r="D20" s="840"/>
      <c r="E20" s="840"/>
      <c r="F20" s="841"/>
      <c r="G20" s="819" t="s">
        <v>18</v>
      </c>
      <c r="H20" s="821" t="s">
        <v>18</v>
      </c>
      <c r="I20" s="836">
        <f>IF(キャラシート!$I$3="蟹",計算用!C24,計算用!C18)</f>
        <v>0</v>
      </c>
      <c r="J20" s="852">
        <f>IF(キャラシート!$I$3="蟹",計算用!D24,計算用!D18)</f>
        <v>0</v>
      </c>
      <c r="K20" s="268"/>
      <c r="L20" s="197"/>
      <c r="M20" s="829"/>
      <c r="N20" s="829"/>
      <c r="O20" s="829"/>
      <c r="P20" s="829"/>
      <c r="Q20" s="829"/>
      <c r="R20" s="827" t="s">
        <v>18</v>
      </c>
      <c r="S20" s="827"/>
      <c r="T20" s="838" t="s">
        <v>18</v>
      </c>
      <c r="U20" s="851"/>
      <c r="V20" s="197"/>
    </row>
    <row r="21" spans="1:22" ht="14.1" customHeight="1" x14ac:dyDescent="0.15">
      <c r="A21" s="269"/>
      <c r="B21" s="842"/>
      <c r="C21" s="843"/>
      <c r="D21" s="843"/>
      <c r="E21" s="843"/>
      <c r="F21" s="844"/>
      <c r="G21" s="820"/>
      <c r="H21" s="822"/>
      <c r="I21" s="837"/>
      <c r="J21" s="853"/>
      <c r="K21" s="269"/>
      <c r="L21" s="197"/>
      <c r="M21" s="829"/>
      <c r="N21" s="829"/>
      <c r="O21" s="829"/>
      <c r="P21" s="829"/>
      <c r="Q21" s="829"/>
      <c r="R21" s="827"/>
      <c r="S21" s="827"/>
      <c r="T21" s="838"/>
      <c r="U21" s="851"/>
      <c r="V21" s="197"/>
    </row>
    <row r="22" spans="1:22" ht="14.1" customHeight="1" x14ac:dyDescent="0.15">
      <c r="A22" s="268"/>
      <c r="B22" s="806" t="s">
        <v>9</v>
      </c>
      <c r="C22" s="807"/>
      <c r="D22" s="808"/>
      <c r="E22" s="809" t="s">
        <v>10</v>
      </c>
      <c r="F22" s="807"/>
      <c r="G22" s="808"/>
      <c r="H22" s="809" t="s">
        <v>11</v>
      </c>
      <c r="I22" s="807"/>
      <c r="J22" s="810"/>
      <c r="K22" s="268"/>
      <c r="L22" s="197"/>
      <c r="M22" s="829"/>
      <c r="N22" s="829"/>
      <c r="O22" s="829"/>
      <c r="P22" s="829"/>
      <c r="Q22" s="829"/>
      <c r="R22" s="827"/>
      <c r="S22" s="827"/>
      <c r="T22" s="838"/>
      <c r="U22" s="851"/>
      <c r="V22" s="197"/>
    </row>
    <row r="23" spans="1:22" ht="14.1" customHeight="1" x14ac:dyDescent="0.15">
      <c r="A23" s="269"/>
      <c r="B23" s="823" t="s">
        <v>18</v>
      </c>
      <c r="C23" s="825" t="s">
        <v>18</v>
      </c>
      <c r="D23" s="825" t="s">
        <v>18</v>
      </c>
      <c r="E23" s="436" t="s">
        <v>18</v>
      </c>
      <c r="F23" s="436" t="s">
        <v>18</v>
      </c>
      <c r="G23" s="436" t="s">
        <v>18</v>
      </c>
      <c r="H23" s="436" t="s">
        <v>18</v>
      </c>
      <c r="I23" s="436" t="s">
        <v>18</v>
      </c>
      <c r="J23" s="267" t="s">
        <v>18</v>
      </c>
      <c r="K23" s="269"/>
      <c r="L23" s="197"/>
      <c r="M23" s="811" t="s">
        <v>572</v>
      </c>
      <c r="N23" s="811"/>
      <c r="O23" s="811"/>
      <c r="P23" s="811"/>
      <c r="Q23" s="811"/>
      <c r="R23" s="811"/>
      <c r="S23" s="811"/>
      <c r="T23" s="811"/>
      <c r="U23" s="811"/>
      <c r="V23" s="197"/>
    </row>
    <row r="24" spans="1:22" ht="14.1" customHeight="1" x14ac:dyDescent="0.15">
      <c r="A24" s="268"/>
      <c r="B24" s="824"/>
      <c r="C24" s="826"/>
      <c r="D24" s="826"/>
      <c r="E24" s="436" t="s">
        <v>18</v>
      </c>
      <c r="F24" s="436" t="s">
        <v>18</v>
      </c>
      <c r="G24" s="436" t="s">
        <v>18</v>
      </c>
      <c r="H24" s="436" t="s">
        <v>18</v>
      </c>
      <c r="I24" s="436" t="s">
        <v>18</v>
      </c>
      <c r="J24" s="267" t="s">
        <v>18</v>
      </c>
      <c r="K24" s="268"/>
      <c r="L24" s="197"/>
      <c r="M24" s="828"/>
      <c r="N24" s="828"/>
      <c r="O24" s="828"/>
      <c r="P24" s="828"/>
      <c r="Q24" s="828"/>
      <c r="R24" s="828"/>
      <c r="S24" s="828"/>
      <c r="T24" s="828"/>
      <c r="U24" s="828"/>
      <c r="V24" s="197"/>
    </row>
    <row r="25" spans="1:22" ht="14.1" customHeight="1" x14ac:dyDescent="0.15">
      <c r="A25" s="269"/>
      <c r="B25" s="812" t="s">
        <v>572</v>
      </c>
      <c r="C25" s="813"/>
      <c r="D25" s="813"/>
      <c r="E25" s="813"/>
      <c r="F25" s="813"/>
      <c r="G25" s="813"/>
      <c r="H25" s="813"/>
      <c r="I25" s="813"/>
      <c r="J25" s="814"/>
      <c r="K25" s="269"/>
      <c r="L25" s="197"/>
      <c r="M25" s="828"/>
      <c r="N25" s="828"/>
      <c r="O25" s="828"/>
      <c r="P25" s="828"/>
      <c r="Q25" s="828"/>
      <c r="R25" s="828"/>
      <c r="S25" s="828"/>
      <c r="T25" s="828"/>
      <c r="U25" s="828"/>
      <c r="V25" s="197"/>
    </row>
    <row r="26" spans="1:22" ht="14.1" customHeight="1" x14ac:dyDescent="0.15">
      <c r="A26" s="268"/>
      <c r="B26" s="830"/>
      <c r="C26" s="831"/>
      <c r="D26" s="831"/>
      <c r="E26" s="831"/>
      <c r="F26" s="831"/>
      <c r="G26" s="831"/>
      <c r="H26" s="831"/>
      <c r="I26" s="831"/>
      <c r="J26" s="832"/>
      <c r="K26" s="268"/>
      <c r="L26" s="197"/>
      <c r="M26" s="828"/>
      <c r="N26" s="828"/>
      <c r="O26" s="828"/>
      <c r="P26" s="828"/>
      <c r="Q26" s="828"/>
      <c r="R26" s="828"/>
      <c r="S26" s="828"/>
      <c r="T26" s="828"/>
      <c r="U26" s="828"/>
      <c r="V26" s="197"/>
    </row>
    <row r="27" spans="1:22" ht="14.1" customHeight="1" x14ac:dyDescent="0.15">
      <c r="A27" s="269"/>
      <c r="B27" s="833"/>
      <c r="C27" s="834"/>
      <c r="D27" s="834"/>
      <c r="E27" s="834"/>
      <c r="F27" s="834"/>
      <c r="G27" s="834"/>
      <c r="H27" s="834"/>
      <c r="I27" s="834"/>
      <c r="J27" s="835"/>
      <c r="K27" s="269"/>
      <c r="L27" s="197"/>
      <c r="M27" s="828"/>
      <c r="N27" s="828"/>
      <c r="O27" s="828"/>
      <c r="P27" s="828"/>
      <c r="Q27" s="828"/>
      <c r="R27" s="828"/>
      <c r="S27" s="828"/>
      <c r="T27" s="828"/>
      <c r="U27" s="828"/>
      <c r="V27" s="197"/>
    </row>
    <row r="28" spans="1:22" ht="14.1" customHeight="1" thickBot="1" x14ac:dyDescent="0.2">
      <c r="A28" s="268"/>
      <c r="B28" s="815" t="s">
        <v>573</v>
      </c>
      <c r="C28" s="816"/>
      <c r="D28" s="816"/>
      <c r="E28" s="816"/>
      <c r="F28" s="816"/>
      <c r="G28" s="816"/>
      <c r="H28" s="816"/>
      <c r="I28" s="816"/>
      <c r="J28" s="817"/>
      <c r="K28" s="268"/>
      <c r="L28" s="197"/>
      <c r="M28" s="818" t="s">
        <v>574</v>
      </c>
      <c r="N28" s="818"/>
      <c r="O28" s="818"/>
      <c r="P28" s="818"/>
      <c r="Q28" s="818"/>
      <c r="R28" s="818"/>
      <c r="S28" s="818"/>
      <c r="T28" s="818"/>
      <c r="U28" s="818"/>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1" t="s">
        <v>398</v>
      </c>
      <c r="C30" s="802"/>
      <c r="D30" s="802"/>
      <c r="E30" s="802"/>
      <c r="F30" s="803"/>
      <c r="G30" s="265" t="s">
        <v>568</v>
      </c>
      <c r="H30" s="435" t="s">
        <v>225</v>
      </c>
      <c r="I30" s="435" t="s">
        <v>569</v>
      </c>
      <c r="J30" s="266" t="s">
        <v>570</v>
      </c>
      <c r="K30" s="269"/>
      <c r="L30" s="197"/>
      <c r="M30" s="804" t="s">
        <v>398</v>
      </c>
      <c r="N30" s="804"/>
      <c r="O30" s="804"/>
      <c r="P30" s="804"/>
      <c r="Q30" s="804"/>
      <c r="R30" s="805" t="s">
        <v>571</v>
      </c>
      <c r="S30" s="805"/>
      <c r="T30" s="265" t="s">
        <v>568</v>
      </c>
      <c r="U30" s="270" t="s">
        <v>569</v>
      </c>
      <c r="V30" s="197"/>
    </row>
    <row r="31" spans="1:22" ht="14.1" customHeight="1" x14ac:dyDescent="0.15">
      <c r="A31" s="269"/>
      <c r="B31" s="839"/>
      <c r="C31" s="840"/>
      <c r="D31" s="840"/>
      <c r="E31" s="840"/>
      <c r="F31" s="841"/>
      <c r="G31" s="819" t="s">
        <v>18</v>
      </c>
      <c r="H31" s="821" t="s">
        <v>18</v>
      </c>
      <c r="I31" s="836">
        <f>IF(キャラシート!$I$3="蟹",計算用!C36,計算用!C30)</f>
        <v>0</v>
      </c>
      <c r="J31" s="852">
        <f>IF(キャラシート!$I$3="蟹",計算用!D36,計算用!D30)</f>
        <v>0</v>
      </c>
      <c r="K31" s="268"/>
      <c r="L31" s="197"/>
      <c r="M31" s="829"/>
      <c r="N31" s="829"/>
      <c r="O31" s="829"/>
      <c r="P31" s="829"/>
      <c r="Q31" s="829"/>
      <c r="R31" s="827" t="s">
        <v>18</v>
      </c>
      <c r="S31" s="827"/>
      <c r="T31" s="838" t="s">
        <v>18</v>
      </c>
      <c r="U31" s="851"/>
      <c r="V31" s="197"/>
    </row>
    <row r="32" spans="1:22" ht="14.1" customHeight="1" x14ac:dyDescent="0.15">
      <c r="A32" s="268"/>
      <c r="B32" s="842"/>
      <c r="C32" s="843"/>
      <c r="D32" s="843"/>
      <c r="E32" s="843"/>
      <c r="F32" s="844"/>
      <c r="G32" s="820"/>
      <c r="H32" s="822"/>
      <c r="I32" s="837"/>
      <c r="J32" s="853"/>
      <c r="K32" s="269"/>
      <c r="L32" s="197"/>
      <c r="M32" s="829"/>
      <c r="N32" s="829"/>
      <c r="O32" s="829"/>
      <c r="P32" s="829"/>
      <c r="Q32" s="829"/>
      <c r="R32" s="827"/>
      <c r="S32" s="827"/>
      <c r="T32" s="838"/>
      <c r="U32" s="851"/>
      <c r="V32" s="197"/>
    </row>
    <row r="33" spans="1:22" ht="14.1" customHeight="1" x14ac:dyDescent="0.15">
      <c r="A33" s="269"/>
      <c r="B33" s="806" t="s">
        <v>9</v>
      </c>
      <c r="C33" s="807"/>
      <c r="D33" s="808"/>
      <c r="E33" s="809" t="s">
        <v>10</v>
      </c>
      <c r="F33" s="807"/>
      <c r="G33" s="808"/>
      <c r="H33" s="809" t="s">
        <v>11</v>
      </c>
      <c r="I33" s="807"/>
      <c r="J33" s="810"/>
      <c r="K33" s="268"/>
      <c r="L33" s="197"/>
      <c r="M33" s="829"/>
      <c r="N33" s="829"/>
      <c r="O33" s="829"/>
      <c r="P33" s="829"/>
      <c r="Q33" s="829"/>
      <c r="R33" s="827"/>
      <c r="S33" s="827"/>
      <c r="T33" s="838"/>
      <c r="U33" s="851"/>
      <c r="V33" s="197"/>
    </row>
    <row r="34" spans="1:22" ht="14.1" customHeight="1" x14ac:dyDescent="0.15">
      <c r="A34" s="268"/>
      <c r="B34" s="823" t="s">
        <v>18</v>
      </c>
      <c r="C34" s="825" t="s">
        <v>18</v>
      </c>
      <c r="D34" s="825" t="s">
        <v>18</v>
      </c>
      <c r="E34" s="436" t="s">
        <v>18</v>
      </c>
      <c r="F34" s="436" t="s">
        <v>18</v>
      </c>
      <c r="G34" s="436" t="s">
        <v>18</v>
      </c>
      <c r="H34" s="436" t="s">
        <v>18</v>
      </c>
      <c r="I34" s="436" t="s">
        <v>18</v>
      </c>
      <c r="J34" s="267" t="s">
        <v>18</v>
      </c>
      <c r="K34" s="269"/>
      <c r="L34" s="197"/>
      <c r="M34" s="811" t="s">
        <v>572</v>
      </c>
      <c r="N34" s="811"/>
      <c r="O34" s="811"/>
      <c r="P34" s="811"/>
      <c r="Q34" s="811"/>
      <c r="R34" s="811"/>
      <c r="S34" s="811"/>
      <c r="T34" s="811"/>
      <c r="U34" s="811"/>
      <c r="V34" s="197"/>
    </row>
    <row r="35" spans="1:22" ht="14.1" customHeight="1" x14ac:dyDescent="0.15">
      <c r="A35" s="269"/>
      <c r="B35" s="824"/>
      <c r="C35" s="826"/>
      <c r="D35" s="826"/>
      <c r="E35" s="436" t="s">
        <v>18</v>
      </c>
      <c r="F35" s="436" t="s">
        <v>18</v>
      </c>
      <c r="G35" s="436" t="s">
        <v>18</v>
      </c>
      <c r="H35" s="436" t="s">
        <v>18</v>
      </c>
      <c r="I35" s="436" t="s">
        <v>18</v>
      </c>
      <c r="J35" s="267" t="s">
        <v>18</v>
      </c>
      <c r="K35" s="268"/>
      <c r="L35" s="197"/>
      <c r="M35" s="828"/>
      <c r="N35" s="828"/>
      <c r="O35" s="828"/>
      <c r="P35" s="828"/>
      <c r="Q35" s="828"/>
      <c r="R35" s="828"/>
      <c r="S35" s="828"/>
      <c r="T35" s="828"/>
      <c r="U35" s="828"/>
      <c r="V35" s="197"/>
    </row>
    <row r="36" spans="1:22" ht="14.1" customHeight="1" x14ac:dyDescent="0.15">
      <c r="A36" s="268"/>
      <c r="B36" s="812" t="s">
        <v>572</v>
      </c>
      <c r="C36" s="813"/>
      <c r="D36" s="813"/>
      <c r="E36" s="813"/>
      <c r="F36" s="813"/>
      <c r="G36" s="813"/>
      <c r="H36" s="813"/>
      <c r="I36" s="813"/>
      <c r="J36" s="814"/>
      <c r="K36" s="269"/>
      <c r="L36" s="197"/>
      <c r="M36" s="828"/>
      <c r="N36" s="828"/>
      <c r="O36" s="828"/>
      <c r="P36" s="828"/>
      <c r="Q36" s="828"/>
      <c r="R36" s="828"/>
      <c r="S36" s="828"/>
      <c r="T36" s="828"/>
      <c r="U36" s="828"/>
      <c r="V36" s="197"/>
    </row>
    <row r="37" spans="1:22" ht="14.1" customHeight="1" x14ac:dyDescent="0.15">
      <c r="A37" s="269"/>
      <c r="B37" s="830"/>
      <c r="C37" s="831"/>
      <c r="D37" s="831"/>
      <c r="E37" s="831"/>
      <c r="F37" s="831"/>
      <c r="G37" s="831"/>
      <c r="H37" s="831"/>
      <c r="I37" s="831"/>
      <c r="J37" s="832"/>
      <c r="K37" s="268"/>
      <c r="L37" s="197"/>
      <c r="M37" s="828"/>
      <c r="N37" s="828"/>
      <c r="O37" s="828"/>
      <c r="P37" s="828"/>
      <c r="Q37" s="828"/>
      <c r="R37" s="828"/>
      <c r="S37" s="828"/>
      <c r="T37" s="828"/>
      <c r="U37" s="828"/>
      <c r="V37" s="197"/>
    </row>
    <row r="38" spans="1:22" ht="14.1" customHeight="1" x14ac:dyDescent="0.15">
      <c r="A38" s="268"/>
      <c r="B38" s="833"/>
      <c r="C38" s="834"/>
      <c r="D38" s="834"/>
      <c r="E38" s="834"/>
      <c r="F38" s="834"/>
      <c r="G38" s="834"/>
      <c r="H38" s="834"/>
      <c r="I38" s="834"/>
      <c r="J38" s="835"/>
      <c r="K38" s="269"/>
      <c r="L38" s="197"/>
      <c r="M38" s="828"/>
      <c r="N38" s="828"/>
      <c r="O38" s="828"/>
      <c r="P38" s="828"/>
      <c r="Q38" s="828"/>
      <c r="R38" s="828"/>
      <c r="S38" s="828"/>
      <c r="T38" s="828"/>
      <c r="U38" s="828"/>
      <c r="V38" s="197"/>
    </row>
    <row r="39" spans="1:22" ht="14.1" customHeight="1" thickBot="1" x14ac:dyDescent="0.2">
      <c r="A39" s="269"/>
      <c r="B39" s="815" t="s">
        <v>573</v>
      </c>
      <c r="C39" s="816"/>
      <c r="D39" s="816"/>
      <c r="E39" s="816"/>
      <c r="F39" s="816"/>
      <c r="G39" s="816"/>
      <c r="H39" s="816"/>
      <c r="I39" s="816"/>
      <c r="J39" s="817"/>
      <c r="K39" s="268"/>
      <c r="L39" s="197"/>
      <c r="M39" s="818" t="s">
        <v>574</v>
      </c>
      <c r="N39" s="818"/>
      <c r="O39" s="818"/>
      <c r="P39" s="818"/>
      <c r="Q39" s="818"/>
      <c r="R39" s="818"/>
      <c r="S39" s="818"/>
      <c r="T39" s="818"/>
      <c r="U39" s="818"/>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1" t="s">
        <v>398</v>
      </c>
      <c r="C41" s="802"/>
      <c r="D41" s="802"/>
      <c r="E41" s="802"/>
      <c r="F41" s="803"/>
      <c r="G41" s="265" t="s">
        <v>568</v>
      </c>
      <c r="H41" s="435" t="s">
        <v>225</v>
      </c>
      <c r="I41" s="435" t="s">
        <v>569</v>
      </c>
      <c r="J41" s="266" t="s">
        <v>570</v>
      </c>
      <c r="K41" s="269"/>
      <c r="L41" s="197"/>
      <c r="M41" s="804" t="s">
        <v>398</v>
      </c>
      <c r="N41" s="804"/>
      <c r="O41" s="804"/>
      <c r="P41" s="804"/>
      <c r="Q41" s="804"/>
      <c r="R41" s="805" t="s">
        <v>571</v>
      </c>
      <c r="S41" s="805"/>
      <c r="T41" s="265" t="s">
        <v>568</v>
      </c>
      <c r="U41" s="270" t="s">
        <v>569</v>
      </c>
      <c r="V41" s="197"/>
    </row>
    <row r="42" spans="1:22" ht="14.1" customHeight="1" x14ac:dyDescent="0.15">
      <c r="A42" s="268"/>
      <c r="B42" s="839"/>
      <c r="C42" s="840"/>
      <c r="D42" s="840"/>
      <c r="E42" s="840"/>
      <c r="F42" s="841"/>
      <c r="G42" s="819" t="s">
        <v>18</v>
      </c>
      <c r="H42" s="821" t="s">
        <v>18</v>
      </c>
      <c r="I42" s="836">
        <f>IF(キャラシート!$I$3="蟹",計算用!C48,計算用!C42)</f>
        <v>0</v>
      </c>
      <c r="J42" s="852">
        <f>IF(キャラシート!$I$3="蟹",計算用!D48,計算用!D42)</f>
        <v>0</v>
      </c>
      <c r="K42" s="268"/>
      <c r="L42" s="197"/>
      <c r="M42" s="829"/>
      <c r="N42" s="829"/>
      <c r="O42" s="829"/>
      <c r="P42" s="829"/>
      <c r="Q42" s="829"/>
      <c r="R42" s="827" t="s">
        <v>18</v>
      </c>
      <c r="S42" s="827"/>
      <c r="T42" s="838" t="s">
        <v>18</v>
      </c>
      <c r="U42" s="851"/>
      <c r="V42" s="197"/>
    </row>
    <row r="43" spans="1:22" ht="14.1" customHeight="1" x14ac:dyDescent="0.15">
      <c r="A43" s="269"/>
      <c r="B43" s="842"/>
      <c r="C43" s="843"/>
      <c r="D43" s="843"/>
      <c r="E43" s="843"/>
      <c r="F43" s="844"/>
      <c r="G43" s="820"/>
      <c r="H43" s="822"/>
      <c r="I43" s="837"/>
      <c r="J43" s="853"/>
      <c r="K43" s="269"/>
      <c r="L43" s="197"/>
      <c r="M43" s="829"/>
      <c r="N43" s="829"/>
      <c r="O43" s="829"/>
      <c r="P43" s="829"/>
      <c r="Q43" s="829"/>
      <c r="R43" s="827"/>
      <c r="S43" s="827"/>
      <c r="T43" s="838"/>
      <c r="U43" s="851"/>
      <c r="V43" s="197"/>
    </row>
    <row r="44" spans="1:22" ht="14.1" customHeight="1" x14ac:dyDescent="0.15">
      <c r="A44" s="268"/>
      <c r="B44" s="806" t="s">
        <v>9</v>
      </c>
      <c r="C44" s="807"/>
      <c r="D44" s="808"/>
      <c r="E44" s="809" t="s">
        <v>10</v>
      </c>
      <c r="F44" s="807"/>
      <c r="G44" s="808"/>
      <c r="H44" s="809" t="s">
        <v>11</v>
      </c>
      <c r="I44" s="807"/>
      <c r="J44" s="810"/>
      <c r="K44" s="268"/>
      <c r="L44" s="197"/>
      <c r="M44" s="829"/>
      <c r="N44" s="829"/>
      <c r="O44" s="829"/>
      <c r="P44" s="829"/>
      <c r="Q44" s="829"/>
      <c r="R44" s="827"/>
      <c r="S44" s="827"/>
      <c r="T44" s="838"/>
      <c r="U44" s="851"/>
      <c r="V44" s="197"/>
    </row>
    <row r="45" spans="1:22" ht="14.1" customHeight="1" x14ac:dyDescent="0.15">
      <c r="A45" s="269"/>
      <c r="B45" s="823" t="s">
        <v>18</v>
      </c>
      <c r="C45" s="825" t="s">
        <v>18</v>
      </c>
      <c r="D45" s="825" t="s">
        <v>18</v>
      </c>
      <c r="E45" s="436" t="s">
        <v>18</v>
      </c>
      <c r="F45" s="436" t="s">
        <v>18</v>
      </c>
      <c r="G45" s="436" t="s">
        <v>18</v>
      </c>
      <c r="H45" s="436" t="s">
        <v>18</v>
      </c>
      <c r="I45" s="436" t="s">
        <v>18</v>
      </c>
      <c r="J45" s="267" t="s">
        <v>18</v>
      </c>
      <c r="K45" s="269"/>
      <c r="L45" s="197"/>
      <c r="M45" s="811" t="s">
        <v>572</v>
      </c>
      <c r="N45" s="811"/>
      <c r="O45" s="811"/>
      <c r="P45" s="811"/>
      <c r="Q45" s="811"/>
      <c r="R45" s="811"/>
      <c r="S45" s="811"/>
      <c r="T45" s="811"/>
      <c r="U45" s="811"/>
      <c r="V45" s="197"/>
    </row>
    <row r="46" spans="1:22" ht="14.1" customHeight="1" x14ac:dyDescent="0.15">
      <c r="A46" s="268"/>
      <c r="B46" s="824"/>
      <c r="C46" s="826"/>
      <c r="D46" s="826"/>
      <c r="E46" s="436" t="s">
        <v>18</v>
      </c>
      <c r="F46" s="436" t="s">
        <v>18</v>
      </c>
      <c r="G46" s="436" t="s">
        <v>18</v>
      </c>
      <c r="H46" s="436" t="s">
        <v>18</v>
      </c>
      <c r="I46" s="436" t="s">
        <v>18</v>
      </c>
      <c r="J46" s="267" t="s">
        <v>18</v>
      </c>
      <c r="K46" s="268"/>
      <c r="L46" s="197"/>
      <c r="M46" s="828"/>
      <c r="N46" s="828"/>
      <c r="O46" s="828"/>
      <c r="P46" s="828"/>
      <c r="Q46" s="828"/>
      <c r="R46" s="828"/>
      <c r="S46" s="828"/>
      <c r="T46" s="828"/>
      <c r="U46" s="828"/>
      <c r="V46" s="197"/>
    </row>
    <row r="47" spans="1:22" ht="14.1" customHeight="1" x14ac:dyDescent="0.15">
      <c r="A47" s="269"/>
      <c r="B47" s="812" t="s">
        <v>572</v>
      </c>
      <c r="C47" s="813"/>
      <c r="D47" s="813"/>
      <c r="E47" s="813"/>
      <c r="F47" s="813"/>
      <c r="G47" s="813"/>
      <c r="H47" s="813"/>
      <c r="I47" s="813"/>
      <c r="J47" s="814"/>
      <c r="K47" s="269"/>
      <c r="L47" s="197"/>
      <c r="M47" s="828"/>
      <c r="N47" s="828"/>
      <c r="O47" s="828"/>
      <c r="P47" s="828"/>
      <c r="Q47" s="828"/>
      <c r="R47" s="828"/>
      <c r="S47" s="828"/>
      <c r="T47" s="828"/>
      <c r="U47" s="828"/>
      <c r="V47" s="197"/>
    </row>
    <row r="48" spans="1:22" ht="14.1" customHeight="1" x14ac:dyDescent="0.15">
      <c r="A48" s="268"/>
      <c r="B48" s="830"/>
      <c r="C48" s="831"/>
      <c r="D48" s="831"/>
      <c r="E48" s="831"/>
      <c r="F48" s="831"/>
      <c r="G48" s="831"/>
      <c r="H48" s="831"/>
      <c r="I48" s="831"/>
      <c r="J48" s="832"/>
      <c r="K48" s="268"/>
      <c r="L48" s="197"/>
      <c r="M48" s="828"/>
      <c r="N48" s="828"/>
      <c r="O48" s="828"/>
      <c r="P48" s="828"/>
      <c r="Q48" s="828"/>
      <c r="R48" s="828"/>
      <c r="S48" s="828"/>
      <c r="T48" s="828"/>
      <c r="U48" s="828"/>
      <c r="V48" s="197"/>
    </row>
    <row r="49" spans="1:22" ht="14.1" customHeight="1" x14ac:dyDescent="0.15">
      <c r="A49" s="269"/>
      <c r="B49" s="833"/>
      <c r="C49" s="834"/>
      <c r="D49" s="834"/>
      <c r="E49" s="834"/>
      <c r="F49" s="834"/>
      <c r="G49" s="834"/>
      <c r="H49" s="834"/>
      <c r="I49" s="834"/>
      <c r="J49" s="835"/>
      <c r="K49" s="269"/>
      <c r="L49" s="197"/>
      <c r="M49" s="828"/>
      <c r="N49" s="828"/>
      <c r="O49" s="828"/>
      <c r="P49" s="828"/>
      <c r="Q49" s="828"/>
      <c r="R49" s="828"/>
      <c r="S49" s="828"/>
      <c r="T49" s="828"/>
      <c r="U49" s="828"/>
      <c r="V49" s="197"/>
    </row>
    <row r="50" spans="1:22" ht="14.1" customHeight="1" thickBot="1" x14ac:dyDescent="0.2">
      <c r="A50" s="268"/>
      <c r="B50" s="815" t="s">
        <v>573</v>
      </c>
      <c r="C50" s="816"/>
      <c r="D50" s="816"/>
      <c r="E50" s="816"/>
      <c r="F50" s="816"/>
      <c r="G50" s="816"/>
      <c r="H50" s="816"/>
      <c r="I50" s="816"/>
      <c r="J50" s="817"/>
      <c r="K50" s="268"/>
      <c r="L50" s="197"/>
      <c r="M50" s="818" t="s">
        <v>574</v>
      </c>
      <c r="N50" s="818"/>
      <c r="O50" s="818"/>
      <c r="P50" s="818"/>
      <c r="Q50" s="818"/>
      <c r="R50" s="818"/>
      <c r="S50" s="818"/>
      <c r="T50" s="818"/>
      <c r="U50" s="818"/>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1" t="s">
        <v>398</v>
      </c>
      <c r="C52" s="802"/>
      <c r="D52" s="802"/>
      <c r="E52" s="802"/>
      <c r="F52" s="803"/>
      <c r="G52" s="265" t="s">
        <v>568</v>
      </c>
      <c r="H52" s="435" t="s">
        <v>225</v>
      </c>
      <c r="I52" s="435" t="s">
        <v>569</v>
      </c>
      <c r="J52" s="266" t="s">
        <v>570</v>
      </c>
      <c r="K52" s="269"/>
      <c r="L52" s="197"/>
      <c r="M52" s="804" t="s">
        <v>398</v>
      </c>
      <c r="N52" s="804"/>
      <c r="O52" s="804"/>
      <c r="P52" s="804"/>
      <c r="Q52" s="804"/>
      <c r="R52" s="805" t="s">
        <v>571</v>
      </c>
      <c r="S52" s="805"/>
      <c r="T52" s="265" t="s">
        <v>568</v>
      </c>
      <c r="U52" s="270" t="s">
        <v>569</v>
      </c>
      <c r="V52" s="197"/>
    </row>
    <row r="53" spans="1:22" ht="14.1" customHeight="1" x14ac:dyDescent="0.15">
      <c r="A53" s="269"/>
      <c r="B53" s="839"/>
      <c r="C53" s="840"/>
      <c r="D53" s="840"/>
      <c r="E53" s="840"/>
      <c r="F53" s="841"/>
      <c r="G53" s="819" t="s">
        <v>18</v>
      </c>
      <c r="H53" s="821" t="s">
        <v>18</v>
      </c>
      <c r="I53" s="836">
        <f>IF(キャラシート!$I$3="蟹",計算用!C60,計算用!C54)</f>
        <v>0</v>
      </c>
      <c r="J53" s="852">
        <f>IF(キャラシート!$I$3="蟹",計算用!D60,計算用!D54)</f>
        <v>0</v>
      </c>
      <c r="K53" s="268"/>
      <c r="L53" s="197"/>
      <c r="M53" s="829"/>
      <c r="N53" s="829"/>
      <c r="O53" s="829"/>
      <c r="P53" s="829"/>
      <c r="Q53" s="829"/>
      <c r="R53" s="827" t="s">
        <v>18</v>
      </c>
      <c r="S53" s="827"/>
      <c r="T53" s="838" t="s">
        <v>18</v>
      </c>
      <c r="U53" s="851"/>
      <c r="V53" s="197"/>
    </row>
    <row r="54" spans="1:22" ht="14.1" customHeight="1" x14ac:dyDescent="0.15">
      <c r="A54" s="268"/>
      <c r="B54" s="842"/>
      <c r="C54" s="843"/>
      <c r="D54" s="843"/>
      <c r="E54" s="843"/>
      <c r="F54" s="844"/>
      <c r="G54" s="820"/>
      <c r="H54" s="822"/>
      <c r="I54" s="837"/>
      <c r="J54" s="853"/>
      <c r="K54" s="269"/>
      <c r="L54" s="197"/>
      <c r="M54" s="829"/>
      <c r="N54" s="829"/>
      <c r="O54" s="829"/>
      <c r="P54" s="829"/>
      <c r="Q54" s="829"/>
      <c r="R54" s="827"/>
      <c r="S54" s="827"/>
      <c r="T54" s="838"/>
      <c r="U54" s="851"/>
      <c r="V54" s="197"/>
    </row>
    <row r="55" spans="1:22" ht="14.1" customHeight="1" x14ac:dyDescent="0.15">
      <c r="A55" s="269"/>
      <c r="B55" s="806" t="s">
        <v>9</v>
      </c>
      <c r="C55" s="807"/>
      <c r="D55" s="808"/>
      <c r="E55" s="809" t="s">
        <v>10</v>
      </c>
      <c r="F55" s="807"/>
      <c r="G55" s="808"/>
      <c r="H55" s="809" t="s">
        <v>11</v>
      </c>
      <c r="I55" s="807"/>
      <c r="J55" s="810"/>
      <c r="K55" s="268"/>
      <c r="L55" s="197"/>
      <c r="M55" s="829"/>
      <c r="N55" s="829"/>
      <c r="O55" s="829"/>
      <c r="P55" s="829"/>
      <c r="Q55" s="829"/>
      <c r="R55" s="827"/>
      <c r="S55" s="827"/>
      <c r="T55" s="838"/>
      <c r="U55" s="851"/>
      <c r="V55" s="197"/>
    </row>
    <row r="56" spans="1:22" ht="14.1" customHeight="1" x14ac:dyDescent="0.15">
      <c r="A56" s="268"/>
      <c r="B56" s="823" t="s">
        <v>18</v>
      </c>
      <c r="C56" s="825" t="s">
        <v>18</v>
      </c>
      <c r="D56" s="825" t="s">
        <v>18</v>
      </c>
      <c r="E56" s="436" t="s">
        <v>18</v>
      </c>
      <c r="F56" s="436" t="s">
        <v>18</v>
      </c>
      <c r="G56" s="436" t="s">
        <v>18</v>
      </c>
      <c r="H56" s="436" t="s">
        <v>18</v>
      </c>
      <c r="I56" s="436" t="s">
        <v>18</v>
      </c>
      <c r="J56" s="267" t="s">
        <v>18</v>
      </c>
      <c r="K56" s="269"/>
      <c r="L56" s="197"/>
      <c r="M56" s="811" t="s">
        <v>572</v>
      </c>
      <c r="N56" s="811"/>
      <c r="O56" s="811"/>
      <c r="P56" s="811"/>
      <c r="Q56" s="811"/>
      <c r="R56" s="811"/>
      <c r="S56" s="811"/>
      <c r="T56" s="811"/>
      <c r="U56" s="811"/>
      <c r="V56" s="197"/>
    </row>
    <row r="57" spans="1:22" ht="14.1" customHeight="1" x14ac:dyDescent="0.15">
      <c r="A57" s="269"/>
      <c r="B57" s="824"/>
      <c r="C57" s="826"/>
      <c r="D57" s="826"/>
      <c r="E57" s="436" t="s">
        <v>18</v>
      </c>
      <c r="F57" s="436" t="s">
        <v>18</v>
      </c>
      <c r="G57" s="436" t="s">
        <v>18</v>
      </c>
      <c r="H57" s="436" t="s">
        <v>18</v>
      </c>
      <c r="I57" s="436" t="s">
        <v>18</v>
      </c>
      <c r="J57" s="267" t="s">
        <v>18</v>
      </c>
      <c r="K57" s="268"/>
      <c r="L57" s="197"/>
      <c r="M57" s="828"/>
      <c r="N57" s="828"/>
      <c r="O57" s="828"/>
      <c r="P57" s="828"/>
      <c r="Q57" s="828"/>
      <c r="R57" s="828"/>
      <c r="S57" s="828"/>
      <c r="T57" s="828"/>
      <c r="U57" s="828"/>
      <c r="V57" s="197"/>
    </row>
    <row r="58" spans="1:22" ht="14.1" customHeight="1" x14ac:dyDescent="0.15">
      <c r="A58" s="268"/>
      <c r="B58" s="812" t="s">
        <v>572</v>
      </c>
      <c r="C58" s="813"/>
      <c r="D58" s="813"/>
      <c r="E58" s="813"/>
      <c r="F58" s="813"/>
      <c r="G58" s="813"/>
      <c r="H58" s="813"/>
      <c r="I58" s="813"/>
      <c r="J58" s="814"/>
      <c r="K58" s="269"/>
      <c r="L58" s="197"/>
      <c r="M58" s="828"/>
      <c r="N58" s="828"/>
      <c r="O58" s="828"/>
      <c r="P58" s="828"/>
      <c r="Q58" s="828"/>
      <c r="R58" s="828"/>
      <c r="S58" s="828"/>
      <c r="T58" s="828"/>
      <c r="U58" s="828"/>
      <c r="V58" s="197"/>
    </row>
    <row r="59" spans="1:22" ht="14.1" customHeight="1" x14ac:dyDescent="0.15">
      <c r="A59" s="269"/>
      <c r="B59" s="830"/>
      <c r="C59" s="831"/>
      <c r="D59" s="831"/>
      <c r="E59" s="831"/>
      <c r="F59" s="831"/>
      <c r="G59" s="831"/>
      <c r="H59" s="831"/>
      <c r="I59" s="831"/>
      <c r="J59" s="832"/>
      <c r="K59" s="268"/>
      <c r="L59" s="197"/>
      <c r="M59" s="828"/>
      <c r="N59" s="828"/>
      <c r="O59" s="828"/>
      <c r="P59" s="828"/>
      <c r="Q59" s="828"/>
      <c r="R59" s="828"/>
      <c r="S59" s="828"/>
      <c r="T59" s="828"/>
      <c r="U59" s="828"/>
      <c r="V59" s="197"/>
    </row>
    <row r="60" spans="1:22" ht="14.1" customHeight="1" x14ac:dyDescent="0.15">
      <c r="A60" s="268"/>
      <c r="B60" s="833"/>
      <c r="C60" s="834"/>
      <c r="D60" s="834"/>
      <c r="E60" s="834"/>
      <c r="F60" s="834"/>
      <c r="G60" s="834"/>
      <c r="H60" s="834"/>
      <c r="I60" s="834"/>
      <c r="J60" s="835"/>
      <c r="K60" s="269"/>
      <c r="L60" s="197"/>
      <c r="M60" s="828"/>
      <c r="N60" s="828"/>
      <c r="O60" s="828"/>
      <c r="P60" s="828"/>
      <c r="Q60" s="828"/>
      <c r="R60" s="828"/>
      <c r="S60" s="828"/>
      <c r="T60" s="828"/>
      <c r="U60" s="828"/>
      <c r="V60" s="197"/>
    </row>
    <row r="61" spans="1:22" ht="14.1" customHeight="1" thickBot="1" x14ac:dyDescent="0.2">
      <c r="A61" s="269"/>
      <c r="B61" s="815" t="s">
        <v>573</v>
      </c>
      <c r="C61" s="816"/>
      <c r="D61" s="816"/>
      <c r="E61" s="816"/>
      <c r="F61" s="816"/>
      <c r="G61" s="816"/>
      <c r="H61" s="816"/>
      <c r="I61" s="816"/>
      <c r="J61" s="817"/>
      <c r="K61" s="268"/>
      <c r="L61" s="197"/>
      <c r="M61" s="818" t="s">
        <v>574</v>
      </c>
      <c r="N61" s="818"/>
      <c r="O61" s="818"/>
      <c r="P61" s="818"/>
      <c r="Q61" s="818"/>
      <c r="R61" s="818"/>
      <c r="S61" s="818"/>
      <c r="T61" s="818"/>
      <c r="U61" s="818"/>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1" t="s">
        <v>398</v>
      </c>
      <c r="C63" s="802"/>
      <c r="D63" s="802"/>
      <c r="E63" s="802"/>
      <c r="F63" s="803"/>
      <c r="G63" s="265" t="s">
        <v>568</v>
      </c>
      <c r="H63" s="435" t="s">
        <v>225</v>
      </c>
      <c r="I63" s="435" t="s">
        <v>569</v>
      </c>
      <c r="J63" s="266" t="s">
        <v>570</v>
      </c>
      <c r="K63" s="269"/>
      <c r="L63" s="197"/>
      <c r="M63" s="804" t="s">
        <v>398</v>
      </c>
      <c r="N63" s="804"/>
      <c r="O63" s="804"/>
      <c r="P63" s="804"/>
      <c r="Q63" s="804"/>
      <c r="R63" s="805" t="s">
        <v>571</v>
      </c>
      <c r="S63" s="805"/>
      <c r="T63" s="265" t="s">
        <v>568</v>
      </c>
      <c r="U63" s="270" t="s">
        <v>569</v>
      </c>
      <c r="V63" s="197"/>
    </row>
    <row r="64" spans="1:22" ht="14.1" customHeight="1" x14ac:dyDescent="0.15">
      <c r="A64" s="268"/>
      <c r="B64" s="839"/>
      <c r="C64" s="840"/>
      <c r="D64" s="840"/>
      <c r="E64" s="840"/>
      <c r="F64" s="841"/>
      <c r="G64" s="819" t="s">
        <v>18</v>
      </c>
      <c r="H64" s="821" t="s">
        <v>18</v>
      </c>
      <c r="I64" s="836">
        <f>IF(キャラシート!$I$3="蟹",計算用!C72,計算用!C66)</f>
        <v>0</v>
      </c>
      <c r="J64" s="852">
        <f>IF(キャラシート!$I$3="蟹",計算用!D72,計算用!D66)</f>
        <v>0</v>
      </c>
      <c r="K64" s="268"/>
      <c r="L64" s="197"/>
      <c r="M64" s="829"/>
      <c r="N64" s="829"/>
      <c r="O64" s="829"/>
      <c r="P64" s="829"/>
      <c r="Q64" s="829"/>
      <c r="R64" s="827" t="s">
        <v>18</v>
      </c>
      <c r="S64" s="827"/>
      <c r="T64" s="838" t="s">
        <v>18</v>
      </c>
      <c r="U64" s="851"/>
      <c r="V64" s="197"/>
    </row>
    <row r="65" spans="1:22" ht="14.1" customHeight="1" x14ac:dyDescent="0.15">
      <c r="A65" s="269"/>
      <c r="B65" s="842"/>
      <c r="C65" s="843"/>
      <c r="D65" s="843"/>
      <c r="E65" s="843"/>
      <c r="F65" s="844"/>
      <c r="G65" s="820"/>
      <c r="H65" s="822"/>
      <c r="I65" s="837"/>
      <c r="J65" s="853"/>
      <c r="K65" s="269"/>
      <c r="L65" s="197"/>
      <c r="M65" s="829"/>
      <c r="N65" s="829"/>
      <c r="O65" s="829"/>
      <c r="P65" s="829"/>
      <c r="Q65" s="829"/>
      <c r="R65" s="827"/>
      <c r="S65" s="827"/>
      <c r="T65" s="838"/>
      <c r="U65" s="851"/>
      <c r="V65" s="197"/>
    </row>
    <row r="66" spans="1:22" ht="14.1" customHeight="1" x14ac:dyDescent="0.15">
      <c r="A66" s="268"/>
      <c r="B66" s="806" t="s">
        <v>9</v>
      </c>
      <c r="C66" s="807"/>
      <c r="D66" s="808"/>
      <c r="E66" s="809" t="s">
        <v>10</v>
      </c>
      <c r="F66" s="807"/>
      <c r="G66" s="808"/>
      <c r="H66" s="809" t="s">
        <v>11</v>
      </c>
      <c r="I66" s="807"/>
      <c r="J66" s="810"/>
      <c r="K66" s="268"/>
      <c r="L66" s="197"/>
      <c r="M66" s="829"/>
      <c r="N66" s="829"/>
      <c r="O66" s="829"/>
      <c r="P66" s="829"/>
      <c r="Q66" s="829"/>
      <c r="R66" s="827"/>
      <c r="S66" s="827"/>
      <c r="T66" s="838"/>
      <c r="U66" s="851"/>
      <c r="V66" s="197"/>
    </row>
    <row r="67" spans="1:22" ht="14.1" customHeight="1" x14ac:dyDescent="0.15">
      <c r="A67" s="269"/>
      <c r="B67" s="823" t="s">
        <v>18</v>
      </c>
      <c r="C67" s="825" t="s">
        <v>18</v>
      </c>
      <c r="D67" s="825" t="s">
        <v>18</v>
      </c>
      <c r="E67" s="436" t="s">
        <v>18</v>
      </c>
      <c r="F67" s="436" t="s">
        <v>18</v>
      </c>
      <c r="G67" s="436" t="s">
        <v>18</v>
      </c>
      <c r="H67" s="436" t="s">
        <v>18</v>
      </c>
      <c r="I67" s="436" t="s">
        <v>18</v>
      </c>
      <c r="J67" s="267" t="s">
        <v>18</v>
      </c>
      <c r="K67" s="269"/>
      <c r="L67" s="197"/>
      <c r="M67" s="811" t="s">
        <v>572</v>
      </c>
      <c r="N67" s="811"/>
      <c r="O67" s="811"/>
      <c r="P67" s="811"/>
      <c r="Q67" s="811"/>
      <c r="R67" s="811"/>
      <c r="S67" s="811"/>
      <c r="T67" s="811"/>
      <c r="U67" s="811"/>
      <c r="V67" s="197"/>
    </row>
    <row r="68" spans="1:22" ht="14.1" customHeight="1" x14ac:dyDescent="0.15">
      <c r="A68" s="268"/>
      <c r="B68" s="824"/>
      <c r="C68" s="826"/>
      <c r="D68" s="826"/>
      <c r="E68" s="436" t="s">
        <v>18</v>
      </c>
      <c r="F68" s="436" t="s">
        <v>18</v>
      </c>
      <c r="G68" s="436" t="s">
        <v>18</v>
      </c>
      <c r="H68" s="436" t="s">
        <v>18</v>
      </c>
      <c r="I68" s="436" t="s">
        <v>18</v>
      </c>
      <c r="J68" s="267" t="s">
        <v>18</v>
      </c>
      <c r="K68" s="268"/>
      <c r="L68" s="197"/>
      <c r="M68" s="828"/>
      <c r="N68" s="828"/>
      <c r="O68" s="828"/>
      <c r="P68" s="828"/>
      <c r="Q68" s="828"/>
      <c r="R68" s="828"/>
      <c r="S68" s="828"/>
      <c r="T68" s="828"/>
      <c r="U68" s="828"/>
      <c r="V68" s="197"/>
    </row>
    <row r="69" spans="1:22" ht="14.1" customHeight="1" x14ac:dyDescent="0.15">
      <c r="A69" s="269"/>
      <c r="B69" s="812" t="s">
        <v>572</v>
      </c>
      <c r="C69" s="813"/>
      <c r="D69" s="813"/>
      <c r="E69" s="813"/>
      <c r="F69" s="813"/>
      <c r="G69" s="813"/>
      <c r="H69" s="813"/>
      <c r="I69" s="813"/>
      <c r="J69" s="814"/>
      <c r="K69" s="269"/>
      <c r="L69" s="197"/>
      <c r="M69" s="828"/>
      <c r="N69" s="828"/>
      <c r="O69" s="828"/>
      <c r="P69" s="828"/>
      <c r="Q69" s="828"/>
      <c r="R69" s="828"/>
      <c r="S69" s="828"/>
      <c r="T69" s="828"/>
      <c r="U69" s="828"/>
      <c r="V69" s="197"/>
    </row>
    <row r="70" spans="1:22" ht="14.1" customHeight="1" x14ac:dyDescent="0.15">
      <c r="A70" s="268"/>
      <c r="B70" s="830"/>
      <c r="C70" s="831"/>
      <c r="D70" s="831"/>
      <c r="E70" s="831"/>
      <c r="F70" s="831"/>
      <c r="G70" s="831"/>
      <c r="H70" s="831"/>
      <c r="I70" s="831"/>
      <c r="J70" s="832"/>
      <c r="K70" s="268"/>
      <c r="L70" s="197"/>
      <c r="M70" s="828"/>
      <c r="N70" s="828"/>
      <c r="O70" s="828"/>
      <c r="P70" s="828"/>
      <c r="Q70" s="828"/>
      <c r="R70" s="828"/>
      <c r="S70" s="828"/>
      <c r="T70" s="828"/>
      <c r="U70" s="828"/>
      <c r="V70" s="197"/>
    </row>
    <row r="71" spans="1:22" ht="14.1" customHeight="1" x14ac:dyDescent="0.15">
      <c r="A71" s="269"/>
      <c r="B71" s="833"/>
      <c r="C71" s="834"/>
      <c r="D71" s="834"/>
      <c r="E71" s="834"/>
      <c r="F71" s="834"/>
      <c r="G71" s="834"/>
      <c r="H71" s="834"/>
      <c r="I71" s="834"/>
      <c r="J71" s="835"/>
      <c r="K71" s="269"/>
      <c r="L71" s="197"/>
      <c r="M71" s="828"/>
      <c r="N71" s="828"/>
      <c r="O71" s="828"/>
      <c r="P71" s="828"/>
      <c r="Q71" s="828"/>
      <c r="R71" s="828"/>
      <c r="S71" s="828"/>
      <c r="T71" s="828"/>
      <c r="U71" s="828"/>
      <c r="V71" s="197"/>
    </row>
    <row r="72" spans="1:22" ht="14.1" customHeight="1" thickBot="1" x14ac:dyDescent="0.2">
      <c r="A72" s="268"/>
      <c r="B72" s="815" t="s">
        <v>573</v>
      </c>
      <c r="C72" s="816"/>
      <c r="D72" s="816"/>
      <c r="E72" s="816"/>
      <c r="F72" s="816"/>
      <c r="G72" s="816"/>
      <c r="H72" s="816"/>
      <c r="I72" s="816"/>
      <c r="J72" s="817"/>
      <c r="K72" s="268"/>
      <c r="L72" s="197"/>
      <c r="M72" s="818" t="s">
        <v>574</v>
      </c>
      <c r="N72" s="818"/>
      <c r="O72" s="818"/>
      <c r="P72" s="818"/>
      <c r="Q72" s="818"/>
      <c r="R72" s="818"/>
      <c r="S72" s="818"/>
      <c r="T72" s="818"/>
      <c r="U72" s="818"/>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1" t="s">
        <v>398</v>
      </c>
      <c r="C74" s="802"/>
      <c r="D74" s="802"/>
      <c r="E74" s="802"/>
      <c r="F74" s="803"/>
      <c r="G74" s="265" t="s">
        <v>568</v>
      </c>
      <c r="H74" s="435" t="s">
        <v>225</v>
      </c>
      <c r="I74" s="435" t="s">
        <v>569</v>
      </c>
      <c r="J74" s="266" t="s">
        <v>570</v>
      </c>
      <c r="K74" s="269"/>
      <c r="L74" s="197"/>
      <c r="M74" s="804" t="s">
        <v>398</v>
      </c>
      <c r="N74" s="804"/>
      <c r="O74" s="804"/>
      <c r="P74" s="804"/>
      <c r="Q74" s="804"/>
      <c r="R74" s="805" t="s">
        <v>571</v>
      </c>
      <c r="S74" s="805"/>
      <c r="T74" s="265" t="s">
        <v>568</v>
      </c>
      <c r="U74" s="270" t="s">
        <v>569</v>
      </c>
      <c r="V74" s="197"/>
    </row>
    <row r="75" spans="1:22" ht="14.1" customHeight="1" x14ac:dyDescent="0.15">
      <c r="A75" s="269"/>
      <c r="B75" s="839"/>
      <c r="C75" s="840"/>
      <c r="D75" s="840"/>
      <c r="E75" s="840"/>
      <c r="F75" s="841"/>
      <c r="G75" s="819" t="s">
        <v>18</v>
      </c>
      <c r="H75" s="821" t="s">
        <v>18</v>
      </c>
      <c r="I75" s="836">
        <f>IF(キャラシート!$I$3="蟹",計算用!C84,計算用!C78)</f>
        <v>0</v>
      </c>
      <c r="J75" s="852">
        <f>IF(キャラシート!$I$3="蟹",計算用!D84,計算用!D78)</f>
        <v>0</v>
      </c>
      <c r="K75" s="268"/>
      <c r="L75" s="197"/>
      <c r="M75" s="829"/>
      <c r="N75" s="829"/>
      <c r="O75" s="829"/>
      <c r="P75" s="829"/>
      <c r="Q75" s="829"/>
      <c r="R75" s="827" t="s">
        <v>18</v>
      </c>
      <c r="S75" s="827"/>
      <c r="T75" s="838" t="s">
        <v>18</v>
      </c>
      <c r="U75" s="851"/>
      <c r="V75" s="197"/>
    </row>
    <row r="76" spans="1:22" ht="14.1" customHeight="1" x14ac:dyDescent="0.15">
      <c r="A76" s="268"/>
      <c r="B76" s="842"/>
      <c r="C76" s="843"/>
      <c r="D76" s="843"/>
      <c r="E76" s="843"/>
      <c r="F76" s="844"/>
      <c r="G76" s="820"/>
      <c r="H76" s="822"/>
      <c r="I76" s="837"/>
      <c r="J76" s="853"/>
      <c r="K76" s="269"/>
      <c r="L76" s="197"/>
      <c r="M76" s="829"/>
      <c r="N76" s="829"/>
      <c r="O76" s="829"/>
      <c r="P76" s="829"/>
      <c r="Q76" s="829"/>
      <c r="R76" s="827"/>
      <c r="S76" s="827"/>
      <c r="T76" s="838"/>
      <c r="U76" s="851"/>
      <c r="V76" s="197"/>
    </row>
    <row r="77" spans="1:22" ht="14.1" customHeight="1" x14ac:dyDescent="0.15">
      <c r="A77" s="269"/>
      <c r="B77" s="806" t="s">
        <v>9</v>
      </c>
      <c r="C77" s="807"/>
      <c r="D77" s="808"/>
      <c r="E77" s="809" t="s">
        <v>10</v>
      </c>
      <c r="F77" s="807"/>
      <c r="G77" s="808"/>
      <c r="H77" s="809" t="s">
        <v>11</v>
      </c>
      <c r="I77" s="807"/>
      <c r="J77" s="810"/>
      <c r="K77" s="268"/>
      <c r="L77" s="197"/>
      <c r="M77" s="829"/>
      <c r="N77" s="829"/>
      <c r="O77" s="829"/>
      <c r="P77" s="829"/>
      <c r="Q77" s="829"/>
      <c r="R77" s="827"/>
      <c r="S77" s="827"/>
      <c r="T77" s="838"/>
      <c r="U77" s="851"/>
      <c r="V77" s="197"/>
    </row>
    <row r="78" spans="1:22" ht="14.1" customHeight="1" x14ac:dyDescent="0.15">
      <c r="A78" s="268"/>
      <c r="B78" s="823" t="s">
        <v>18</v>
      </c>
      <c r="C78" s="825" t="s">
        <v>18</v>
      </c>
      <c r="D78" s="825" t="s">
        <v>18</v>
      </c>
      <c r="E78" s="436" t="s">
        <v>18</v>
      </c>
      <c r="F78" s="436" t="s">
        <v>18</v>
      </c>
      <c r="G78" s="436" t="s">
        <v>18</v>
      </c>
      <c r="H78" s="436" t="s">
        <v>18</v>
      </c>
      <c r="I78" s="436" t="s">
        <v>18</v>
      </c>
      <c r="J78" s="267" t="s">
        <v>18</v>
      </c>
      <c r="K78" s="269"/>
      <c r="L78" s="197"/>
      <c r="M78" s="811" t="s">
        <v>572</v>
      </c>
      <c r="N78" s="811"/>
      <c r="O78" s="811"/>
      <c r="P78" s="811"/>
      <c r="Q78" s="811"/>
      <c r="R78" s="811"/>
      <c r="S78" s="811"/>
      <c r="T78" s="811"/>
      <c r="U78" s="811"/>
      <c r="V78" s="197"/>
    </row>
    <row r="79" spans="1:22" ht="14.1" customHeight="1" x14ac:dyDescent="0.15">
      <c r="A79" s="269"/>
      <c r="B79" s="824"/>
      <c r="C79" s="826"/>
      <c r="D79" s="826"/>
      <c r="E79" s="436" t="s">
        <v>18</v>
      </c>
      <c r="F79" s="436" t="s">
        <v>18</v>
      </c>
      <c r="G79" s="436" t="s">
        <v>18</v>
      </c>
      <c r="H79" s="436" t="s">
        <v>18</v>
      </c>
      <c r="I79" s="436" t="s">
        <v>18</v>
      </c>
      <c r="J79" s="267" t="s">
        <v>18</v>
      </c>
      <c r="K79" s="268"/>
      <c r="L79" s="197"/>
      <c r="M79" s="828"/>
      <c r="N79" s="828"/>
      <c r="O79" s="828"/>
      <c r="P79" s="828"/>
      <c r="Q79" s="828"/>
      <c r="R79" s="828"/>
      <c r="S79" s="828"/>
      <c r="T79" s="828"/>
      <c r="U79" s="828"/>
      <c r="V79" s="197"/>
    </row>
    <row r="80" spans="1:22" ht="14.1" customHeight="1" x14ac:dyDescent="0.15">
      <c r="A80" s="268"/>
      <c r="B80" s="812" t="s">
        <v>572</v>
      </c>
      <c r="C80" s="813"/>
      <c r="D80" s="813"/>
      <c r="E80" s="813"/>
      <c r="F80" s="813"/>
      <c r="G80" s="813"/>
      <c r="H80" s="813"/>
      <c r="I80" s="813"/>
      <c r="J80" s="814"/>
      <c r="K80" s="269"/>
      <c r="L80" s="197"/>
      <c r="M80" s="828"/>
      <c r="N80" s="828"/>
      <c r="O80" s="828"/>
      <c r="P80" s="828"/>
      <c r="Q80" s="828"/>
      <c r="R80" s="828"/>
      <c r="S80" s="828"/>
      <c r="T80" s="828"/>
      <c r="U80" s="828"/>
      <c r="V80" s="197"/>
    </row>
    <row r="81" spans="1:22" ht="14.1" customHeight="1" x14ac:dyDescent="0.15">
      <c r="A81" s="269"/>
      <c r="B81" s="830"/>
      <c r="C81" s="831"/>
      <c r="D81" s="831"/>
      <c r="E81" s="831"/>
      <c r="F81" s="831"/>
      <c r="G81" s="831"/>
      <c r="H81" s="831"/>
      <c r="I81" s="831"/>
      <c r="J81" s="832"/>
      <c r="K81" s="268"/>
      <c r="L81" s="197"/>
      <c r="M81" s="828"/>
      <c r="N81" s="828"/>
      <c r="O81" s="828"/>
      <c r="P81" s="828"/>
      <c r="Q81" s="828"/>
      <c r="R81" s="828"/>
      <c r="S81" s="828"/>
      <c r="T81" s="828"/>
      <c r="U81" s="828"/>
      <c r="V81" s="197"/>
    </row>
    <row r="82" spans="1:22" ht="14.1" customHeight="1" x14ac:dyDescent="0.15">
      <c r="A82" s="268"/>
      <c r="B82" s="833"/>
      <c r="C82" s="834"/>
      <c r="D82" s="834"/>
      <c r="E82" s="834"/>
      <c r="F82" s="834"/>
      <c r="G82" s="834"/>
      <c r="H82" s="834"/>
      <c r="I82" s="834"/>
      <c r="J82" s="835"/>
      <c r="K82" s="269"/>
      <c r="L82" s="197"/>
      <c r="M82" s="828"/>
      <c r="N82" s="828"/>
      <c r="O82" s="828"/>
      <c r="P82" s="828"/>
      <c r="Q82" s="828"/>
      <c r="R82" s="828"/>
      <c r="S82" s="828"/>
      <c r="T82" s="828"/>
      <c r="U82" s="828"/>
      <c r="V82" s="197"/>
    </row>
    <row r="83" spans="1:22" ht="14.1" customHeight="1" thickBot="1" x14ac:dyDescent="0.2">
      <c r="A83" s="269"/>
      <c r="B83" s="815" t="s">
        <v>573</v>
      </c>
      <c r="C83" s="816"/>
      <c r="D83" s="816"/>
      <c r="E83" s="816"/>
      <c r="F83" s="816"/>
      <c r="G83" s="816"/>
      <c r="H83" s="816"/>
      <c r="I83" s="816"/>
      <c r="J83" s="817"/>
      <c r="K83" s="268"/>
      <c r="L83" s="197"/>
      <c r="M83" s="818" t="s">
        <v>574</v>
      </c>
      <c r="N83" s="818"/>
      <c r="O83" s="818"/>
      <c r="P83" s="818"/>
      <c r="Q83" s="818"/>
      <c r="R83" s="818"/>
      <c r="S83" s="818"/>
      <c r="T83" s="818"/>
      <c r="U83" s="818"/>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1" t="s">
        <v>398</v>
      </c>
      <c r="C85" s="802"/>
      <c r="D85" s="802"/>
      <c r="E85" s="802"/>
      <c r="F85" s="803"/>
      <c r="G85" s="265" t="s">
        <v>568</v>
      </c>
      <c r="H85" s="435" t="s">
        <v>225</v>
      </c>
      <c r="I85" s="435" t="s">
        <v>569</v>
      </c>
      <c r="J85" s="266" t="s">
        <v>570</v>
      </c>
      <c r="K85" s="269"/>
      <c r="L85" s="197"/>
      <c r="M85" s="804" t="s">
        <v>398</v>
      </c>
      <c r="N85" s="804"/>
      <c r="O85" s="804"/>
      <c r="P85" s="804"/>
      <c r="Q85" s="804"/>
      <c r="R85" s="805" t="s">
        <v>571</v>
      </c>
      <c r="S85" s="805"/>
      <c r="T85" s="265" t="s">
        <v>568</v>
      </c>
      <c r="U85" s="270" t="s">
        <v>569</v>
      </c>
      <c r="V85" s="197"/>
    </row>
    <row r="86" spans="1:22" ht="14.1" customHeight="1" x14ac:dyDescent="0.15">
      <c r="A86" s="268"/>
      <c r="B86" s="839"/>
      <c r="C86" s="840"/>
      <c r="D86" s="840"/>
      <c r="E86" s="840"/>
      <c r="F86" s="841"/>
      <c r="G86" s="819" t="s">
        <v>18</v>
      </c>
      <c r="H86" s="821" t="s">
        <v>18</v>
      </c>
      <c r="I86" s="836">
        <f>IF(キャラシート!$I$3="蟹",計算用!C96,計算用!C90)</f>
        <v>0</v>
      </c>
      <c r="J86" s="852">
        <f>IF(キャラシート!$I$3="蟹",計算用!D96,計算用!D90)</f>
        <v>0</v>
      </c>
      <c r="K86" s="268"/>
      <c r="L86" s="197"/>
      <c r="M86" s="829"/>
      <c r="N86" s="829"/>
      <c r="O86" s="829"/>
      <c r="P86" s="829"/>
      <c r="Q86" s="829"/>
      <c r="R86" s="827" t="s">
        <v>18</v>
      </c>
      <c r="S86" s="827"/>
      <c r="T86" s="838" t="s">
        <v>18</v>
      </c>
      <c r="U86" s="851"/>
      <c r="V86" s="197"/>
    </row>
    <row r="87" spans="1:22" ht="14.1" customHeight="1" x14ac:dyDescent="0.15">
      <c r="A87" s="269"/>
      <c r="B87" s="842"/>
      <c r="C87" s="843"/>
      <c r="D87" s="843"/>
      <c r="E87" s="843"/>
      <c r="F87" s="844"/>
      <c r="G87" s="820"/>
      <c r="H87" s="822"/>
      <c r="I87" s="837"/>
      <c r="J87" s="853"/>
      <c r="K87" s="269"/>
      <c r="L87" s="197"/>
      <c r="M87" s="829"/>
      <c r="N87" s="829"/>
      <c r="O87" s="829"/>
      <c r="P87" s="829"/>
      <c r="Q87" s="829"/>
      <c r="R87" s="827"/>
      <c r="S87" s="827"/>
      <c r="T87" s="838"/>
      <c r="U87" s="851"/>
      <c r="V87" s="197"/>
    </row>
    <row r="88" spans="1:22" ht="14.1" customHeight="1" x14ac:dyDescent="0.15">
      <c r="A88" s="268"/>
      <c r="B88" s="806" t="s">
        <v>9</v>
      </c>
      <c r="C88" s="807"/>
      <c r="D88" s="808"/>
      <c r="E88" s="809" t="s">
        <v>10</v>
      </c>
      <c r="F88" s="807"/>
      <c r="G88" s="808"/>
      <c r="H88" s="809" t="s">
        <v>11</v>
      </c>
      <c r="I88" s="807"/>
      <c r="J88" s="810"/>
      <c r="K88" s="268"/>
      <c r="L88" s="197"/>
      <c r="M88" s="829"/>
      <c r="N88" s="829"/>
      <c r="O88" s="829"/>
      <c r="P88" s="829"/>
      <c r="Q88" s="829"/>
      <c r="R88" s="827"/>
      <c r="S88" s="827"/>
      <c r="T88" s="838"/>
      <c r="U88" s="851"/>
      <c r="V88" s="197"/>
    </row>
    <row r="89" spans="1:22" ht="14.1" customHeight="1" x14ac:dyDescent="0.15">
      <c r="A89" s="269"/>
      <c r="B89" s="823" t="s">
        <v>18</v>
      </c>
      <c r="C89" s="825" t="s">
        <v>18</v>
      </c>
      <c r="D89" s="825" t="s">
        <v>18</v>
      </c>
      <c r="E89" s="436" t="s">
        <v>18</v>
      </c>
      <c r="F89" s="436" t="s">
        <v>18</v>
      </c>
      <c r="G89" s="436" t="s">
        <v>18</v>
      </c>
      <c r="H89" s="436" t="s">
        <v>18</v>
      </c>
      <c r="I89" s="436" t="s">
        <v>18</v>
      </c>
      <c r="J89" s="267" t="s">
        <v>18</v>
      </c>
      <c r="K89" s="269"/>
      <c r="L89" s="197"/>
      <c r="M89" s="811" t="s">
        <v>572</v>
      </c>
      <c r="N89" s="811"/>
      <c r="O89" s="811"/>
      <c r="P89" s="811"/>
      <c r="Q89" s="811"/>
      <c r="R89" s="811"/>
      <c r="S89" s="811"/>
      <c r="T89" s="811"/>
      <c r="U89" s="811"/>
      <c r="V89" s="197"/>
    </row>
    <row r="90" spans="1:22" ht="14.1" customHeight="1" x14ac:dyDescent="0.15">
      <c r="A90" s="268"/>
      <c r="B90" s="824"/>
      <c r="C90" s="826"/>
      <c r="D90" s="826"/>
      <c r="E90" s="436" t="s">
        <v>18</v>
      </c>
      <c r="F90" s="436" t="s">
        <v>18</v>
      </c>
      <c r="G90" s="436" t="s">
        <v>18</v>
      </c>
      <c r="H90" s="436" t="s">
        <v>18</v>
      </c>
      <c r="I90" s="436" t="s">
        <v>18</v>
      </c>
      <c r="J90" s="267" t="s">
        <v>18</v>
      </c>
      <c r="K90" s="268"/>
      <c r="L90" s="197"/>
      <c r="M90" s="828"/>
      <c r="N90" s="828"/>
      <c r="O90" s="828"/>
      <c r="P90" s="828"/>
      <c r="Q90" s="828"/>
      <c r="R90" s="828"/>
      <c r="S90" s="828"/>
      <c r="T90" s="828"/>
      <c r="U90" s="828"/>
      <c r="V90" s="197"/>
    </row>
    <row r="91" spans="1:22" ht="14.1" customHeight="1" x14ac:dyDescent="0.15">
      <c r="A91" s="269"/>
      <c r="B91" s="812" t="s">
        <v>572</v>
      </c>
      <c r="C91" s="813"/>
      <c r="D91" s="813"/>
      <c r="E91" s="813"/>
      <c r="F91" s="813"/>
      <c r="G91" s="813"/>
      <c r="H91" s="813"/>
      <c r="I91" s="813"/>
      <c r="J91" s="814"/>
      <c r="K91" s="269"/>
      <c r="L91" s="197"/>
      <c r="M91" s="828"/>
      <c r="N91" s="828"/>
      <c r="O91" s="828"/>
      <c r="P91" s="828"/>
      <c r="Q91" s="828"/>
      <c r="R91" s="828"/>
      <c r="S91" s="828"/>
      <c r="T91" s="828"/>
      <c r="U91" s="828"/>
      <c r="V91" s="197"/>
    </row>
    <row r="92" spans="1:22" ht="14.1" customHeight="1" x14ac:dyDescent="0.15">
      <c r="A92" s="268"/>
      <c r="B92" s="830"/>
      <c r="C92" s="831"/>
      <c r="D92" s="831"/>
      <c r="E92" s="831"/>
      <c r="F92" s="831"/>
      <c r="G92" s="831"/>
      <c r="H92" s="831"/>
      <c r="I92" s="831"/>
      <c r="J92" s="832"/>
      <c r="K92" s="268"/>
      <c r="L92" s="197"/>
      <c r="M92" s="828"/>
      <c r="N92" s="828"/>
      <c r="O92" s="828"/>
      <c r="P92" s="828"/>
      <c r="Q92" s="828"/>
      <c r="R92" s="828"/>
      <c r="S92" s="828"/>
      <c r="T92" s="828"/>
      <c r="U92" s="828"/>
      <c r="V92" s="197"/>
    </row>
    <row r="93" spans="1:22" ht="14.1" customHeight="1" x14ac:dyDescent="0.15">
      <c r="A93" s="269"/>
      <c r="B93" s="833"/>
      <c r="C93" s="834"/>
      <c r="D93" s="834"/>
      <c r="E93" s="834"/>
      <c r="F93" s="834"/>
      <c r="G93" s="834"/>
      <c r="H93" s="834"/>
      <c r="I93" s="834"/>
      <c r="J93" s="835"/>
      <c r="K93" s="269"/>
      <c r="L93" s="197"/>
      <c r="M93" s="828"/>
      <c r="N93" s="828"/>
      <c r="O93" s="828"/>
      <c r="P93" s="828"/>
      <c r="Q93" s="828"/>
      <c r="R93" s="828"/>
      <c r="S93" s="828"/>
      <c r="T93" s="828"/>
      <c r="U93" s="828"/>
      <c r="V93" s="197"/>
    </row>
    <row r="94" spans="1:22" ht="14.1" customHeight="1" thickBot="1" x14ac:dyDescent="0.2">
      <c r="A94" s="268"/>
      <c r="B94" s="815" t="s">
        <v>573</v>
      </c>
      <c r="C94" s="816"/>
      <c r="D94" s="816"/>
      <c r="E94" s="816"/>
      <c r="F94" s="816"/>
      <c r="G94" s="816"/>
      <c r="H94" s="816"/>
      <c r="I94" s="816"/>
      <c r="J94" s="817"/>
      <c r="K94" s="268"/>
      <c r="L94" s="197"/>
      <c r="M94" s="818" t="s">
        <v>574</v>
      </c>
      <c r="N94" s="818"/>
      <c r="O94" s="818"/>
      <c r="P94" s="818"/>
      <c r="Q94" s="818"/>
      <c r="R94" s="818"/>
      <c r="S94" s="818"/>
      <c r="T94" s="818"/>
      <c r="U94" s="818"/>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38" customWidth="1"/>
    <col min="13" max="13" width="10.6640625" style="438" customWidth="1"/>
    <col min="14" max="15" width="8.88671875" style="438" customWidth="1"/>
    <col min="16" max="16" width="9.88671875" style="438" customWidth="1"/>
    <col min="17" max="17" width="8.88671875" style="438" customWidth="1"/>
    <col min="18" max="18" width="8.88671875" customWidth="1"/>
    <col min="19" max="22" width="8.88671875" style="438" customWidth="1"/>
  </cols>
  <sheetData>
    <row r="1" spans="2:46" x14ac:dyDescent="0.2">
      <c r="B1" t="s">
        <v>675</v>
      </c>
      <c r="AD1" s="431" t="s">
        <v>676</v>
      </c>
      <c r="AF1" s="438"/>
      <c r="AG1" s="438"/>
      <c r="AH1" s="438"/>
      <c r="AI1" s="438"/>
      <c r="AJ1" s="438" t="s">
        <v>677</v>
      </c>
      <c r="AK1" s="438"/>
      <c r="AL1" s="438"/>
      <c r="AN1" s="438"/>
      <c r="AO1" s="438"/>
      <c r="AP1" s="438" t="s">
        <v>678</v>
      </c>
      <c r="AQ1" s="438"/>
    </row>
    <row r="2" spans="2:46" ht="16.2" x14ac:dyDescent="0.2">
      <c r="B2" s="439" t="s">
        <v>679</v>
      </c>
      <c r="C2" s="440" t="s">
        <v>569</v>
      </c>
      <c r="D2" s="440" t="s">
        <v>397</v>
      </c>
      <c r="E2" s="441" t="s">
        <v>680</v>
      </c>
      <c r="F2" s="440" t="s">
        <v>681</v>
      </c>
      <c r="G2" s="442"/>
      <c r="H2" s="859" t="s">
        <v>682</v>
      </c>
      <c r="I2" s="859"/>
      <c r="J2" s="859"/>
      <c r="K2" s="443"/>
      <c r="L2" s="443"/>
      <c r="M2" s="443"/>
      <c r="N2" s="443"/>
      <c r="O2" s="443"/>
      <c r="P2" s="443"/>
      <c r="Q2" s="443"/>
      <c r="S2" s="859" t="s">
        <v>683</v>
      </c>
      <c r="T2" s="859"/>
      <c r="U2" s="859"/>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5">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44">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41">
        <f>COUNTIFS(応用技!E12:G13,"強化*")</f>
        <v>0</v>
      </c>
      <c r="F10" s="441">
        <f>COUNTIFS(応用技!E12:G13,"減衰*")+COUNTIFS(応用技!E12:G13,"瞬減*")</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44">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41">
        <f>COUNTIFS(クリーチャー!S12:U13,"強化*")</f>
        <v>0</v>
      </c>
      <c r="AH10" s="441">
        <f>COUNTIFS(クリーチャー!S12:U13,"減衰*")</f>
        <v>0</v>
      </c>
      <c r="AI10" s="438"/>
      <c r="AJ10" s="440" t="s">
        <v>10</v>
      </c>
      <c r="AK10" s="444"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44">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41">
        <f>COUNTIFS(クリーチャー_2!S12:U13,"強化*")</f>
        <v>0</v>
      </c>
      <c r="AN10" s="441">
        <f>COUNTIFS(クリーチャー_2!S12:U13,"減衰*")</f>
        <v>0</v>
      </c>
      <c r="AO10" s="438"/>
      <c r="AP10" s="440" t="s">
        <v>10</v>
      </c>
      <c r="AQ10" s="444"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44">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5">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66">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65">
        <f>COUNTIFS(応用技!E23:G24,"強化*")</f>
        <v>0</v>
      </c>
      <c r="F22" s="465">
        <f>COUNTIFS(応用技!E23:G24,"減衰*")+COUNTIFS(応用技!E23:G24,"瞬減*")</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66">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65">
        <f>COUNTIFS(クリーチャー!S23:U24,"強化*")</f>
        <v>0</v>
      </c>
      <c r="AH22" s="465">
        <f>COUNTIFS(クリーチャー!S23:U24,"減衰*")</f>
        <v>0</v>
      </c>
      <c r="AI22" s="438"/>
      <c r="AJ22" s="464" t="s">
        <v>10</v>
      </c>
      <c r="AK22" s="466"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66">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65">
        <f>COUNTIFS(クリーチャー_2!S23:U24,"強化*")</f>
        <v>0</v>
      </c>
      <c r="AN22" s="465">
        <f>COUNTIFS(クリーチャー_2!S23:U24,"減衰*")</f>
        <v>0</v>
      </c>
      <c r="AO22" s="438"/>
      <c r="AP22" s="464" t="s">
        <v>10</v>
      </c>
      <c r="AQ22" s="466"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66">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44">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41">
        <f>COUNTIFS(応用技!E34:G35,"強化*")</f>
        <v>0</v>
      </c>
      <c r="F34" s="441">
        <f>COUNTIFS(応用技!E34:G35,"減衰*")+COUNTIFS(応用技!E34:G35,"瞬減*")</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44">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41">
        <f>COUNTIFS(クリーチャー!S34:U35,"強化*")</f>
        <v>0</v>
      </c>
      <c r="AH34" s="441">
        <f>COUNTIFS(クリーチャー!S34:U35,"減衰*")</f>
        <v>0</v>
      </c>
      <c r="AI34" s="438"/>
      <c r="AJ34" s="440" t="s">
        <v>10</v>
      </c>
      <c r="AK34" s="444"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44">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41">
        <f>COUNTIFS(クリーチャー_2!S34:U35,"強化*")</f>
        <v>0</v>
      </c>
      <c r="AN34" s="441">
        <f>COUNTIFS(クリーチャー_2!S34:U35,"減衰*")</f>
        <v>0</v>
      </c>
      <c r="AO34" s="438"/>
      <c r="AP34" s="440" t="s">
        <v>10</v>
      </c>
      <c r="AQ34" s="444"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44">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2">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66">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65">
        <f>COUNTIFS(応用技!E45:G46,"強化*")</f>
        <v>0</v>
      </c>
      <c r="F46" s="465">
        <f>COUNTIFS(応用技!E45:G46,"減衰*")+COUNTIFS(応用技!E45:G46,"瞬減*")</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66">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65">
        <f>COUNTIFS(クリーチャー!S45:U46,"強化*")</f>
        <v>0</v>
      </c>
      <c r="AH46" s="465">
        <f>COUNTIFS(クリーチャー!S45:U46,"減衰*")</f>
        <v>0</v>
      </c>
      <c r="AI46" s="438"/>
      <c r="AJ46" s="464" t="s">
        <v>10</v>
      </c>
      <c r="AK46" s="466"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66">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65">
        <f>COUNTIFS(クリーチャー_2!S45:U46,"強化*")</f>
        <v>0</v>
      </c>
      <c r="AN46" s="465">
        <f>COUNTIFS(クリーチャー_2!S45:U46,"減衰*")</f>
        <v>0</v>
      </c>
      <c r="AO46" s="438"/>
      <c r="AP46" s="464" t="s">
        <v>10</v>
      </c>
      <c r="AQ46" s="466"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66">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1329</v>
      </c>
      <c r="N48" s="458">
        <v>7</v>
      </c>
      <c r="O48" s="458">
        <v>2</v>
      </c>
      <c r="P48" s="459"/>
      <c r="Q48" s="443"/>
      <c r="S48" s="443"/>
      <c r="T48" s="443"/>
      <c r="U48" s="443"/>
      <c r="V48" s="443"/>
      <c r="W48" s="445"/>
      <c r="X48" s="457" t="s">
        <v>1329</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1330</v>
      </c>
      <c r="N49" s="461">
        <v>9</v>
      </c>
      <c r="O49" s="461">
        <v>2</v>
      </c>
      <c r="P49" s="462"/>
      <c r="Q49" s="443"/>
      <c r="S49" s="443"/>
      <c r="T49" s="443"/>
      <c r="U49" s="443"/>
      <c r="V49" s="443"/>
      <c r="W49" s="445"/>
      <c r="X49" s="460" t="s">
        <v>1330</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1226" t="s">
        <v>1331</v>
      </c>
      <c r="Y50" s="458">
        <v>0</v>
      </c>
      <c r="Z50" s="458">
        <v>1</v>
      </c>
      <c r="AA50" s="459" t="s">
        <v>691</v>
      </c>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1226" t="s">
        <v>1332</v>
      </c>
      <c r="Y51" s="458">
        <v>0</v>
      </c>
      <c r="Z51" s="458">
        <v>1</v>
      </c>
      <c r="AA51" s="459" t="s">
        <v>691</v>
      </c>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1226" t="s">
        <v>1333</v>
      </c>
      <c r="Y52" s="458">
        <v>0</v>
      </c>
      <c r="Z52" s="458">
        <v>1</v>
      </c>
      <c r="AA52" s="459" t="s">
        <v>691</v>
      </c>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1226" t="s">
        <v>1334</v>
      </c>
      <c r="Y53" s="458">
        <v>0</v>
      </c>
      <c r="Z53" s="458">
        <v>1</v>
      </c>
      <c r="AA53" s="459" t="s">
        <v>691</v>
      </c>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1226" t="s">
        <v>1335</v>
      </c>
      <c r="Y54" s="458">
        <v>0</v>
      </c>
      <c r="Z54" s="458">
        <v>1</v>
      </c>
      <c r="AA54" s="459" t="s">
        <v>691</v>
      </c>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1226" t="s">
        <v>1336</v>
      </c>
      <c r="Y55" s="458">
        <v>0</v>
      </c>
      <c r="Z55" s="458">
        <v>1</v>
      </c>
      <c r="AA55" s="459" t="s">
        <v>691</v>
      </c>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1226" t="s">
        <v>1337</v>
      </c>
      <c r="Y56" s="458">
        <v>0</v>
      </c>
      <c r="Z56" s="458">
        <v>1</v>
      </c>
      <c r="AA56" s="459" t="s">
        <v>691</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1226" t="s">
        <v>1338</v>
      </c>
      <c r="Y57" s="458">
        <v>0</v>
      </c>
      <c r="Z57" s="458">
        <v>1</v>
      </c>
      <c r="AA57" s="459" t="s">
        <v>691</v>
      </c>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44">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41">
        <f>COUNTIFS(応用技!E56:G57,"強化*")</f>
        <v>0</v>
      </c>
      <c r="F58" s="441">
        <f>COUNTIFS(応用技!E56:G57,"減衰*")+COUNTIFS(応用技!E56:G57,"瞬減*")</f>
        <v>0</v>
      </c>
      <c r="S58" s="443"/>
      <c r="T58" s="443"/>
      <c r="U58" s="443"/>
      <c r="V58" s="443"/>
      <c r="W58" s="445"/>
      <c r="X58" s="457" t="s">
        <v>955</v>
      </c>
      <c r="Y58" s="458">
        <v>2</v>
      </c>
      <c r="Z58" s="458">
        <v>1</v>
      </c>
      <c r="AA58" s="459"/>
      <c r="AB58" s="445"/>
      <c r="AD58" s="440" t="s">
        <v>10</v>
      </c>
      <c r="AE58" s="444"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44">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41">
        <f>COUNTIFS(クリーチャー!S56:U57,"強化*")</f>
        <v>0</v>
      </c>
      <c r="AH58" s="441">
        <f>COUNTIFS(クリーチャー!S56:U57,"減衰*")</f>
        <v>0</v>
      </c>
      <c r="AI58" s="438"/>
      <c r="AJ58" s="440" t="s">
        <v>10</v>
      </c>
      <c r="AK58" s="444"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44">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41">
        <f>COUNTIFS(クリーチャー_2!S56:U57,"強化*")</f>
        <v>0</v>
      </c>
      <c r="AN58" s="441">
        <f>COUNTIFS(クリーチャー_2!S56:U57,"減衰*")</f>
        <v>0</v>
      </c>
      <c r="AO58" s="438"/>
      <c r="AP58" s="440" t="s">
        <v>10</v>
      </c>
      <c r="AQ58" s="444"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44">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4" t="s">
        <v>1076</v>
      </c>
      <c r="Y59" s="458">
        <v>2</v>
      </c>
      <c r="Z59" s="458">
        <v>1</v>
      </c>
      <c r="AA59" s="616"/>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x14ac:dyDescent="0.15">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614" t="s">
        <v>1072</v>
      </c>
      <c r="Y60" s="615">
        <v>0</v>
      </c>
      <c r="Z60" s="615">
        <v>-1</v>
      </c>
      <c r="AA60" s="616"/>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614" t="s">
        <v>1073</v>
      </c>
      <c r="Y61" s="615">
        <v>0</v>
      </c>
      <c r="Z61" s="615">
        <v>-1</v>
      </c>
      <c r="AA61" s="616"/>
      <c r="AB61" s="445"/>
    </row>
    <row r="62" spans="2:46" x14ac:dyDescent="0.15">
      <c r="B62" s="463" t="s">
        <v>702</v>
      </c>
      <c r="C62" s="464" t="s">
        <v>569</v>
      </c>
      <c r="D62" s="464" t="s">
        <v>397</v>
      </c>
      <c r="E62" s="465" t="s">
        <v>680</v>
      </c>
      <c r="F62" s="464" t="s">
        <v>681</v>
      </c>
      <c r="X62" s="614" t="s">
        <v>1074</v>
      </c>
      <c r="Y62" s="615">
        <v>0</v>
      </c>
      <c r="Z62" s="615">
        <v>-1</v>
      </c>
      <c r="AA62" s="616"/>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c r="X63" s="457" t="s">
        <v>1075</v>
      </c>
      <c r="Y63" s="458">
        <v>0</v>
      </c>
      <c r="Z63" s="458">
        <v>-1</v>
      </c>
      <c r="AA63" s="468"/>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c r="X64" s="617" t="s">
        <v>1079</v>
      </c>
      <c r="Y64" s="618">
        <v>0</v>
      </c>
      <c r="Z64" s="618">
        <v>-2</v>
      </c>
      <c r="AA64" s="619" t="s">
        <v>1077</v>
      </c>
    </row>
    <row r="65" spans="2:27"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c r="X65" s="617" t="s">
        <v>1321</v>
      </c>
      <c r="Y65" s="618">
        <v>2</v>
      </c>
      <c r="Z65" s="618">
        <v>1</v>
      </c>
      <c r="AA65" s="619"/>
    </row>
    <row r="66" spans="2:27" x14ac:dyDescent="0.15">
      <c r="B66" s="464" t="s">
        <v>687</v>
      </c>
      <c r="C66" s="466">
        <f t="array" ref="C66">_xlfn.IFS(COUNTIF(応用技!E67:G68,"創造")&gt;=1,SUM(C63:C65)+1&amp;"～"&amp;SUM(C63:C65)+10,COUNTIF(応用技!E67:G68,"限定*")&gt;=1,"※",COUNTIF(応用技!E67:G68,"影響無効")&gt;=1,"※",TRUE(),SUM(C63:C65))</f>
        <v>0</v>
      </c>
      <c r="D66" s="466">
        <f>SUM(D63:D65)</f>
        <v>0</v>
      </c>
      <c r="E66" s="465"/>
      <c r="F66" s="465"/>
      <c r="X66" s="617" t="s">
        <v>1322</v>
      </c>
      <c r="Y66" s="618">
        <v>2</v>
      </c>
      <c r="Z66" s="618">
        <v>1</v>
      </c>
      <c r="AA66" s="619"/>
    </row>
    <row r="67" spans="2:27" x14ac:dyDescent="0.15">
      <c r="B67" s="445"/>
      <c r="C67" s="445"/>
      <c r="D67" s="445"/>
      <c r="E67" s="445"/>
      <c r="F67" s="445"/>
      <c r="X67" s="617" t="s">
        <v>1323</v>
      </c>
      <c r="Y67" s="618">
        <v>2</v>
      </c>
      <c r="Z67" s="618">
        <v>1</v>
      </c>
      <c r="AA67" s="619"/>
    </row>
    <row r="68" spans="2:27" ht="15" thickBot="1" x14ac:dyDescent="0.2">
      <c r="B68" s="463" t="s">
        <v>703</v>
      </c>
      <c r="C68" s="464" t="s">
        <v>569</v>
      </c>
      <c r="D68" s="464" t="s">
        <v>397</v>
      </c>
      <c r="E68" s="465" t="s">
        <v>680</v>
      </c>
      <c r="F68" s="464" t="s">
        <v>681</v>
      </c>
      <c r="X68" s="460" t="s">
        <v>1324</v>
      </c>
      <c r="Y68" s="461">
        <v>2</v>
      </c>
      <c r="Z68" s="461">
        <v>1</v>
      </c>
      <c r="AA68" s="469"/>
    </row>
    <row r="69" spans="2:27"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c r="X69" s="445"/>
      <c r="Y69" s="445"/>
      <c r="Z69" s="445"/>
      <c r="AA69" s="445"/>
    </row>
    <row r="70" spans="2:27" x14ac:dyDescent="0.15">
      <c r="B70" s="464" t="s">
        <v>10</v>
      </c>
      <c r="C70" s="466"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66">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65">
        <f>COUNTIFS(応用技!E67:G68,"強化*")</f>
        <v>0</v>
      </c>
      <c r="F70" s="465">
        <f>COUNTIFS(応用技!E67:G68,"減衰*")+COUNTIFS(応用技!E67:G68,"瞬減*")</f>
        <v>0</v>
      </c>
    </row>
    <row r="71" spans="2:27"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27"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27" x14ac:dyDescent="0.15">
      <c r="B74" s="439" t="s">
        <v>704</v>
      </c>
      <c r="C74" s="440" t="s">
        <v>569</v>
      </c>
      <c r="D74" s="440" t="s">
        <v>397</v>
      </c>
      <c r="E74" s="441" t="s">
        <v>680</v>
      </c>
      <c r="F74" s="440" t="s">
        <v>681</v>
      </c>
    </row>
    <row r="75" spans="2:27"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27"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27"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27"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27"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44">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41">
        <f>COUNTIFS(応用技!E78:G79,"強化*")</f>
        <v>0</v>
      </c>
      <c r="F82" s="441">
        <f>COUNTIFS(応用技!E78:G79,"減衰*")+COUNTIFS(応用技!E78:G79,"瞬減*")</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66">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65">
        <f>COUNTIFS(応用技!E89:G90,"強化*")</f>
        <v>0</v>
      </c>
      <c r="F94" s="465">
        <f>COUNTIFS(応用技!E89:G90,"減衰*")+COUNTIFS(応用技!E89:G90,"瞬減*")</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5" t="s">
        <v>575</v>
      </c>
      <c r="C2" s="895"/>
      <c r="D2" s="896"/>
      <c r="E2" s="896"/>
      <c r="F2" s="896"/>
      <c r="G2" s="896"/>
      <c r="H2" s="896"/>
      <c r="I2" s="897" t="s">
        <v>399</v>
      </c>
      <c r="J2" s="897"/>
      <c r="K2" s="898" t="s">
        <v>18</v>
      </c>
      <c r="L2" s="898"/>
      <c r="M2" s="898"/>
      <c r="N2" s="293"/>
      <c r="O2" s="268"/>
      <c r="P2" s="899" t="s">
        <v>658</v>
      </c>
      <c r="Q2" s="899"/>
      <c r="R2" s="899"/>
      <c r="S2" s="899"/>
      <c r="T2" s="899"/>
      <c r="U2" s="899"/>
      <c r="V2" s="899"/>
      <c r="W2" s="899"/>
      <c r="X2" s="899"/>
      <c r="Y2" s="268"/>
      <c r="Z2"/>
      <c r="AA2"/>
      <c r="AB2"/>
      <c r="AC2"/>
      <c r="AD2"/>
    </row>
    <row r="3" spans="1:30" ht="14.1" customHeight="1" thickBot="1" x14ac:dyDescent="0.2">
      <c r="A3" s="275"/>
      <c r="B3" s="895"/>
      <c r="C3" s="895"/>
      <c r="D3" s="896"/>
      <c r="E3" s="896"/>
      <c r="F3" s="896"/>
      <c r="G3" s="896"/>
      <c r="H3" s="896"/>
      <c r="I3" s="897"/>
      <c r="J3" s="897"/>
      <c r="K3" s="898"/>
      <c r="L3" s="898"/>
      <c r="M3" s="898"/>
      <c r="N3" s="293"/>
      <c r="O3" s="268"/>
      <c r="P3" s="899"/>
      <c r="Q3" s="899"/>
      <c r="R3" s="899"/>
      <c r="S3" s="899"/>
      <c r="T3" s="899"/>
      <c r="U3" s="899"/>
      <c r="V3" s="899"/>
      <c r="W3" s="899"/>
      <c r="X3" s="899"/>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0" t="s">
        <v>475</v>
      </c>
      <c r="Q4" s="900"/>
      <c r="R4" s="903">
        <f>F23</f>
        <v>2</v>
      </c>
      <c r="S4" s="901" t="s">
        <v>566</v>
      </c>
      <c r="T4" s="901"/>
      <c r="U4" s="903">
        <f>ROUNDDOWN((C23)/2,0)</f>
        <v>2</v>
      </c>
      <c r="V4" s="901" t="s">
        <v>567</v>
      </c>
      <c r="W4" s="901"/>
      <c r="X4" s="902">
        <f>ROUNDDOWN((C23)/3,0)</f>
        <v>1</v>
      </c>
      <c r="Y4" s="268"/>
      <c r="Z4"/>
      <c r="AA4"/>
      <c r="AB4"/>
      <c r="AC4"/>
      <c r="AD4"/>
    </row>
    <row r="5" spans="1:30" ht="14.1" customHeight="1" thickBot="1" x14ac:dyDescent="0.2">
      <c r="A5" s="275"/>
      <c r="B5" s="895" t="s">
        <v>576</v>
      </c>
      <c r="C5" s="895"/>
      <c r="D5" s="904">
        <v>0</v>
      </c>
      <c r="E5" s="293"/>
      <c r="F5" s="895" t="s">
        <v>577</v>
      </c>
      <c r="G5" s="895"/>
      <c r="H5" s="905">
        <f>C23</f>
        <v>4</v>
      </c>
      <c r="I5" s="905">
        <f>IF(L2="探索型",ROUNDDOWN(D23/3,0)+D23,D23)</f>
        <v>0</v>
      </c>
      <c r="J5" s="897" t="s">
        <v>578</v>
      </c>
      <c r="K5" s="897"/>
      <c r="L5" s="906" t="s">
        <v>18</v>
      </c>
      <c r="M5" s="906"/>
      <c r="N5" s="293"/>
      <c r="O5" s="269"/>
      <c r="P5" s="900"/>
      <c r="Q5" s="900"/>
      <c r="R5" s="903"/>
      <c r="S5" s="901"/>
      <c r="T5" s="901"/>
      <c r="U5" s="903"/>
      <c r="V5" s="901"/>
      <c r="W5" s="901"/>
      <c r="X5" s="902"/>
      <c r="Y5" s="268"/>
      <c r="Z5"/>
      <c r="AA5"/>
      <c r="AB5"/>
      <c r="AC5"/>
      <c r="AD5"/>
    </row>
    <row r="6" spans="1:30" ht="14.1" customHeight="1" thickBot="1" x14ac:dyDescent="0.2">
      <c r="A6" s="275"/>
      <c r="B6" s="895"/>
      <c r="C6" s="895"/>
      <c r="D6" s="904"/>
      <c r="E6" s="293"/>
      <c r="F6" s="895"/>
      <c r="G6" s="895"/>
      <c r="H6" s="905"/>
      <c r="I6" s="905"/>
      <c r="J6" s="897"/>
      <c r="K6" s="897"/>
      <c r="L6" s="906"/>
      <c r="M6" s="906"/>
      <c r="N6" s="293"/>
      <c r="O6" s="269"/>
      <c r="P6" s="907" t="s">
        <v>1286</v>
      </c>
      <c r="Q6" s="908"/>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3" t="s">
        <v>451</v>
      </c>
      <c r="C8" s="893"/>
      <c r="D8" s="893"/>
      <c r="E8" s="275"/>
      <c r="F8" s="892" t="s">
        <v>579</v>
      </c>
      <c r="G8" s="892"/>
      <c r="H8" s="293"/>
      <c r="I8" s="894" t="s">
        <v>580</v>
      </c>
      <c r="J8" s="894"/>
      <c r="K8" s="894"/>
      <c r="L8" s="894"/>
      <c r="M8" s="894"/>
      <c r="N8" s="293"/>
      <c r="O8" s="268"/>
      <c r="P8" s="869" t="s">
        <v>398</v>
      </c>
      <c r="Q8" s="870"/>
      <c r="R8" s="870"/>
      <c r="S8" s="870"/>
      <c r="T8" s="870"/>
      <c r="U8" s="483" t="s">
        <v>568</v>
      </c>
      <c r="V8" s="484" t="s">
        <v>225</v>
      </c>
      <c r="W8" s="484" t="s">
        <v>569</v>
      </c>
      <c r="X8" s="485" t="s">
        <v>570</v>
      </c>
      <c r="Y8" s="269"/>
      <c r="Z8"/>
      <c r="AA8"/>
      <c r="AB8"/>
      <c r="AC8"/>
      <c r="AD8"/>
    </row>
    <row r="9" spans="1:30" ht="14.1" customHeight="1" thickBot="1" x14ac:dyDescent="0.2">
      <c r="A9" s="275"/>
      <c r="B9" s="284"/>
      <c r="C9" s="287"/>
      <c r="D9" s="288" t="s">
        <v>581</v>
      </c>
      <c r="E9" s="275"/>
      <c r="F9" s="892"/>
      <c r="G9" s="892"/>
      <c r="H9" s="293"/>
      <c r="I9" s="871"/>
      <c r="J9" s="871"/>
      <c r="K9" s="871"/>
      <c r="L9" s="871"/>
      <c r="M9" s="871"/>
      <c r="N9" s="293"/>
      <c r="O9" s="268"/>
      <c r="P9" s="872"/>
      <c r="Q9" s="873"/>
      <c r="R9" s="873"/>
      <c r="S9" s="873"/>
      <c r="T9" s="873"/>
      <c r="U9" s="838" t="s">
        <v>18</v>
      </c>
      <c r="V9" s="880" t="s">
        <v>18</v>
      </c>
      <c r="W9" s="881">
        <f>IF(キャラシート!$I$3="蟹",計算用!AE12,計算用!AE6)</f>
        <v>0</v>
      </c>
      <c r="X9" s="889">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871"/>
      <c r="J10" s="871"/>
      <c r="K10" s="871"/>
      <c r="L10" s="871"/>
      <c r="M10" s="871"/>
      <c r="N10" s="293"/>
      <c r="O10" s="269"/>
      <c r="P10" s="872"/>
      <c r="Q10" s="873"/>
      <c r="R10" s="873"/>
      <c r="S10" s="873"/>
      <c r="T10" s="873"/>
      <c r="U10" s="838"/>
      <c r="V10" s="880"/>
      <c r="W10" s="881"/>
      <c r="X10" s="890"/>
      <c r="Y10" s="269"/>
      <c r="Z10"/>
      <c r="AA10"/>
      <c r="AB10"/>
      <c r="AC10"/>
      <c r="AD10"/>
    </row>
    <row r="11" spans="1:30" ht="14.1" customHeight="1" thickBot="1" x14ac:dyDescent="0.2">
      <c r="A11" s="275"/>
      <c r="B11" s="285" t="s">
        <v>557</v>
      </c>
      <c r="C11" s="282">
        <f>D5</f>
        <v>0</v>
      </c>
      <c r="D11" s="50"/>
      <c r="E11" s="275"/>
      <c r="F11" s="271"/>
      <c r="G11" s="267"/>
      <c r="H11" s="293"/>
      <c r="I11" s="871"/>
      <c r="J11" s="871"/>
      <c r="K11" s="871"/>
      <c r="L11" s="871"/>
      <c r="M11" s="871"/>
      <c r="N11" s="293"/>
      <c r="O11" s="268"/>
      <c r="P11" s="884" t="s">
        <v>9</v>
      </c>
      <c r="Q11" s="885"/>
      <c r="R11" s="885"/>
      <c r="S11" s="876" t="s">
        <v>10</v>
      </c>
      <c r="T11" s="876"/>
      <c r="U11" s="876"/>
      <c r="V11" s="877" t="s">
        <v>11</v>
      </c>
      <c r="W11" s="877"/>
      <c r="X11" s="878"/>
      <c r="Y11" s="268"/>
      <c r="Z11"/>
      <c r="AA11"/>
      <c r="AB11"/>
      <c r="AC11"/>
      <c r="AD11"/>
    </row>
    <row r="12" spans="1:30" ht="14.1" customHeight="1" thickBot="1" x14ac:dyDescent="0.2">
      <c r="A12" s="275"/>
      <c r="B12" s="285" t="s">
        <v>484</v>
      </c>
      <c r="C12" s="282">
        <f>D5</f>
        <v>0</v>
      </c>
      <c r="D12" s="50"/>
      <c r="E12" s="275"/>
      <c r="F12" s="271"/>
      <c r="G12" s="267"/>
      <c r="H12" s="293"/>
      <c r="I12" s="871"/>
      <c r="J12" s="871"/>
      <c r="K12" s="871"/>
      <c r="L12" s="871"/>
      <c r="M12" s="871"/>
      <c r="N12" s="293"/>
      <c r="O12" s="269"/>
      <c r="P12" s="882" t="s">
        <v>18</v>
      </c>
      <c r="Q12" s="886" t="s">
        <v>18</v>
      </c>
      <c r="R12" s="886"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1"/>
      <c r="J13" s="871"/>
      <c r="K13" s="871"/>
      <c r="L13" s="871"/>
      <c r="M13" s="871"/>
      <c r="N13" s="293"/>
      <c r="O13" s="268"/>
      <c r="P13" s="882"/>
      <c r="Q13" s="886"/>
      <c r="R13" s="886"/>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871"/>
      <c r="J14" s="871"/>
      <c r="K14" s="871"/>
      <c r="L14" s="871"/>
      <c r="M14" s="871"/>
      <c r="N14" s="293"/>
      <c r="O14" s="269"/>
      <c r="P14" s="864" t="s">
        <v>572</v>
      </c>
      <c r="Q14" s="811"/>
      <c r="R14" s="811"/>
      <c r="S14" s="811"/>
      <c r="T14" s="811"/>
      <c r="U14" s="811"/>
      <c r="V14" s="811"/>
      <c r="W14" s="811"/>
      <c r="X14" s="865"/>
      <c r="Y14" s="269"/>
      <c r="Z14"/>
      <c r="AA14" s="432"/>
      <c r="AB14"/>
      <c r="AC14"/>
      <c r="AD14"/>
    </row>
    <row r="15" spans="1:30" ht="14.1" customHeight="1" thickBot="1" x14ac:dyDescent="0.2">
      <c r="A15" s="275"/>
      <c r="B15" s="285" t="s">
        <v>474</v>
      </c>
      <c r="C15" s="282">
        <f>IF(K2="攻撃型",ROUNDDOWN(C23/3,0),0)</f>
        <v>0</v>
      </c>
      <c r="D15" s="50"/>
      <c r="E15" s="275"/>
      <c r="F15" s="271"/>
      <c r="G15" s="267"/>
      <c r="H15" s="293"/>
      <c r="I15" s="871"/>
      <c r="J15" s="871"/>
      <c r="K15" s="871"/>
      <c r="L15" s="871"/>
      <c r="M15" s="871"/>
      <c r="N15" s="293"/>
      <c r="O15" s="268"/>
      <c r="P15" s="887"/>
      <c r="Q15" s="828"/>
      <c r="R15" s="828"/>
      <c r="S15" s="828"/>
      <c r="T15" s="828"/>
      <c r="U15" s="828"/>
      <c r="V15" s="828"/>
      <c r="W15" s="828"/>
      <c r="X15" s="888"/>
      <c r="Y15" s="268"/>
      <c r="Z15"/>
      <c r="AA15"/>
      <c r="AB15"/>
      <c r="AC15"/>
      <c r="AD15"/>
    </row>
    <row r="16" spans="1:30" ht="14.1" customHeight="1" thickBot="1" x14ac:dyDescent="0.2">
      <c r="A16" s="275"/>
      <c r="B16" s="286" t="s">
        <v>395</v>
      </c>
      <c r="C16" s="280">
        <f>D5</f>
        <v>0</v>
      </c>
      <c r="D16" s="51"/>
      <c r="E16" s="275"/>
      <c r="F16" s="273"/>
      <c r="G16" s="274"/>
      <c r="H16" s="293"/>
      <c r="I16" s="871"/>
      <c r="J16" s="871"/>
      <c r="K16" s="871"/>
      <c r="L16" s="871"/>
      <c r="M16" s="871"/>
      <c r="N16" s="293"/>
      <c r="O16" s="269"/>
      <c r="P16" s="887"/>
      <c r="Q16" s="828"/>
      <c r="R16" s="828"/>
      <c r="S16" s="828"/>
      <c r="T16" s="828"/>
      <c r="U16" s="828"/>
      <c r="V16" s="828"/>
      <c r="W16" s="828"/>
      <c r="X16" s="888"/>
      <c r="Y16" s="269"/>
      <c r="Z16"/>
      <c r="AA16"/>
      <c r="AB16"/>
      <c r="AC16"/>
      <c r="AD16"/>
    </row>
    <row r="17" spans="1:30" ht="14.1" customHeight="1" thickBot="1" x14ac:dyDescent="0.2">
      <c r="A17" s="275"/>
      <c r="B17" s="275"/>
      <c r="C17" s="275"/>
      <c r="D17" s="275"/>
      <c r="E17" s="292"/>
      <c r="F17" s="292"/>
      <c r="G17" s="292"/>
      <c r="H17" s="275"/>
      <c r="I17" s="871"/>
      <c r="J17" s="871"/>
      <c r="K17" s="871"/>
      <c r="L17" s="871"/>
      <c r="M17" s="871"/>
      <c r="N17" s="293"/>
      <c r="O17" s="269"/>
      <c r="P17" s="866" t="s">
        <v>573</v>
      </c>
      <c r="Q17" s="867"/>
      <c r="R17" s="867"/>
      <c r="S17" s="867"/>
      <c r="T17" s="867"/>
      <c r="U17" s="867"/>
      <c r="V17" s="867"/>
      <c r="W17" s="867"/>
      <c r="X17" s="868"/>
      <c r="Y17" s="268"/>
      <c r="Z17"/>
      <c r="AA17"/>
      <c r="AB17"/>
      <c r="AC17"/>
      <c r="AD17"/>
    </row>
    <row r="18" spans="1:30" ht="14.1" customHeight="1" thickBot="1" x14ac:dyDescent="0.2">
      <c r="A18" s="275"/>
      <c r="B18" s="875" t="s">
        <v>385</v>
      </c>
      <c r="C18" s="875"/>
      <c r="D18" s="272" t="s">
        <v>583</v>
      </c>
      <c r="E18" s="275"/>
      <c r="F18" s="481" t="s">
        <v>584</v>
      </c>
      <c r="G18" s="482" t="s">
        <v>793</v>
      </c>
      <c r="H18" s="293"/>
      <c r="I18" s="871"/>
      <c r="J18" s="871"/>
      <c r="K18" s="871"/>
      <c r="L18" s="871"/>
      <c r="M18" s="871"/>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1"/>
      <c r="J19" s="871"/>
      <c r="K19" s="871"/>
      <c r="L19" s="871"/>
      <c r="M19" s="871"/>
      <c r="N19" s="293"/>
      <c r="O19" s="269"/>
      <c r="P19" s="869" t="s">
        <v>398</v>
      </c>
      <c r="Q19" s="870"/>
      <c r="R19" s="870"/>
      <c r="S19" s="870"/>
      <c r="T19" s="870"/>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1"/>
      <c r="J20" s="871"/>
      <c r="K20" s="871"/>
      <c r="L20" s="871"/>
      <c r="M20" s="871"/>
      <c r="N20" s="293"/>
      <c r="O20" s="268"/>
      <c r="P20" s="872"/>
      <c r="Q20" s="873"/>
      <c r="R20" s="873"/>
      <c r="S20" s="873"/>
      <c r="T20" s="873"/>
      <c r="U20" s="838" t="s">
        <v>18</v>
      </c>
      <c r="V20" s="880" t="s">
        <v>18</v>
      </c>
      <c r="W20" s="881">
        <f>IF(キャラシート!$I$3="蟹",計算用!AE24,計算用!AE18)</f>
        <v>0</v>
      </c>
      <c r="X20" s="891">
        <f>IF(キャラシート!$I$3="蟹",計算用!AF24,計算用!AF18)</f>
        <v>0</v>
      </c>
      <c r="Y20" s="268"/>
      <c r="Z20"/>
      <c r="AA20"/>
      <c r="AB20"/>
      <c r="AC20"/>
      <c r="AD20"/>
    </row>
    <row r="21" spans="1:30" ht="14.1" customHeight="1" thickBot="1" x14ac:dyDescent="0.2">
      <c r="A21" s="292"/>
      <c r="B21" s="879" t="s">
        <v>503</v>
      </c>
      <c r="C21" s="874"/>
      <c r="D21" s="874"/>
      <c r="E21" s="874"/>
      <c r="F21" s="874"/>
      <c r="G21" s="874"/>
      <c r="H21" s="293"/>
      <c r="I21" s="871"/>
      <c r="J21" s="871"/>
      <c r="K21" s="871"/>
      <c r="L21" s="871"/>
      <c r="M21" s="871"/>
      <c r="N21" s="293"/>
      <c r="O21" s="269"/>
      <c r="P21" s="872"/>
      <c r="Q21" s="873"/>
      <c r="R21" s="873"/>
      <c r="S21" s="873"/>
      <c r="T21" s="873"/>
      <c r="U21" s="838"/>
      <c r="V21" s="880"/>
      <c r="W21" s="881"/>
      <c r="X21" s="891"/>
      <c r="Y21" s="269"/>
      <c r="Z21"/>
      <c r="AA21"/>
      <c r="AB21"/>
      <c r="AC21"/>
      <c r="AD21"/>
    </row>
    <row r="22" spans="1:30" ht="14.1" customHeight="1" thickBot="1" x14ac:dyDescent="0.2">
      <c r="A22" s="292"/>
      <c r="B22" s="879"/>
      <c r="C22" s="874"/>
      <c r="D22" s="874"/>
      <c r="E22" s="874"/>
      <c r="F22" s="874"/>
      <c r="G22" s="874"/>
      <c r="H22" s="293"/>
      <c r="I22" s="871"/>
      <c r="J22" s="871"/>
      <c r="K22" s="871"/>
      <c r="L22" s="871"/>
      <c r="M22" s="871"/>
      <c r="N22" s="293"/>
      <c r="O22" s="268"/>
      <c r="P22" s="884" t="s">
        <v>9</v>
      </c>
      <c r="Q22" s="885"/>
      <c r="R22" s="885"/>
      <c r="S22" s="876" t="s">
        <v>10</v>
      </c>
      <c r="T22" s="876"/>
      <c r="U22" s="876"/>
      <c r="V22" s="877" t="s">
        <v>11</v>
      </c>
      <c r="W22" s="877"/>
      <c r="X22" s="878"/>
      <c r="Y22" s="268"/>
      <c r="Z22"/>
      <c r="AA22"/>
      <c r="AB22"/>
      <c r="AC22"/>
      <c r="AD22"/>
    </row>
    <row r="23" spans="1:30" ht="14.1" customHeight="1" thickBot="1" x14ac:dyDescent="0.2">
      <c r="A23" s="292"/>
      <c r="B23" s="289" t="s">
        <v>396</v>
      </c>
      <c r="C23" s="861">
        <f>キャラシート!H25-キャラシート!Y58</f>
        <v>4</v>
      </c>
      <c r="D23" s="861"/>
      <c r="E23" s="290" t="s">
        <v>475</v>
      </c>
      <c r="F23" s="862">
        <f>キャラシート!H27</f>
        <v>2</v>
      </c>
      <c r="G23" s="862"/>
      <c r="H23" s="293"/>
      <c r="I23" s="871"/>
      <c r="J23" s="871"/>
      <c r="K23" s="871"/>
      <c r="L23" s="871"/>
      <c r="M23" s="871"/>
      <c r="N23" s="293"/>
      <c r="O23" s="269"/>
      <c r="P23" s="882" t="s">
        <v>18</v>
      </c>
      <c r="Q23" s="886" t="s">
        <v>18</v>
      </c>
      <c r="R23" s="886"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3" t="s">
        <v>513</v>
      </c>
      <c r="C24" s="863"/>
      <c r="D24" s="863"/>
      <c r="E24" s="863"/>
      <c r="F24" s="863"/>
      <c r="G24" s="863"/>
      <c r="H24" s="293"/>
      <c r="I24" s="871"/>
      <c r="J24" s="871"/>
      <c r="K24" s="871"/>
      <c r="L24" s="871"/>
      <c r="M24" s="871"/>
      <c r="N24" s="293"/>
      <c r="O24" s="268"/>
      <c r="P24" s="882"/>
      <c r="Q24" s="886"/>
      <c r="R24" s="886"/>
      <c r="S24" s="436" t="s">
        <v>18</v>
      </c>
      <c r="T24" s="436" t="s">
        <v>18</v>
      </c>
      <c r="U24" s="436" t="s">
        <v>18</v>
      </c>
      <c r="V24" s="436" t="s">
        <v>18</v>
      </c>
      <c r="W24" s="436" t="s">
        <v>18</v>
      </c>
      <c r="X24" s="437" t="s">
        <v>18</v>
      </c>
      <c r="Y24" s="268"/>
      <c r="Z24"/>
      <c r="AA24"/>
      <c r="AB24"/>
      <c r="AC24"/>
      <c r="AD24"/>
    </row>
    <row r="25" spans="1:30" ht="14.1" customHeight="1" thickBot="1" x14ac:dyDescent="0.2">
      <c r="A25" s="292"/>
      <c r="B25" s="860"/>
      <c r="C25" s="860"/>
      <c r="D25" s="860"/>
      <c r="E25" s="860"/>
      <c r="F25" s="860"/>
      <c r="G25" s="860"/>
      <c r="H25" s="293"/>
      <c r="I25" s="871"/>
      <c r="J25" s="871"/>
      <c r="K25" s="871"/>
      <c r="L25" s="871"/>
      <c r="M25" s="871"/>
      <c r="N25" s="293"/>
      <c r="O25" s="269"/>
      <c r="P25" s="864" t="s">
        <v>572</v>
      </c>
      <c r="Q25" s="811"/>
      <c r="R25" s="811"/>
      <c r="S25" s="811"/>
      <c r="T25" s="811"/>
      <c r="U25" s="811"/>
      <c r="V25" s="811"/>
      <c r="W25" s="811"/>
      <c r="X25" s="865"/>
      <c r="Y25" s="269"/>
      <c r="Z25"/>
      <c r="AA25"/>
      <c r="AB25"/>
      <c r="AC25"/>
      <c r="AD25"/>
    </row>
    <row r="26" spans="1:30" ht="14.1" customHeight="1" thickBot="1" x14ac:dyDescent="0.2">
      <c r="A26" s="292"/>
      <c r="B26" s="860"/>
      <c r="C26" s="860"/>
      <c r="D26" s="860"/>
      <c r="E26" s="860"/>
      <c r="F26" s="860"/>
      <c r="G26" s="860"/>
      <c r="H26" s="293"/>
      <c r="I26" s="871"/>
      <c r="J26" s="871"/>
      <c r="K26" s="871"/>
      <c r="L26" s="871"/>
      <c r="M26" s="871"/>
      <c r="N26" s="293"/>
      <c r="O26" s="268"/>
      <c r="P26" s="887"/>
      <c r="Q26" s="828"/>
      <c r="R26" s="828"/>
      <c r="S26" s="828"/>
      <c r="T26" s="828"/>
      <c r="U26" s="828"/>
      <c r="V26" s="828"/>
      <c r="W26" s="828"/>
      <c r="X26" s="888"/>
      <c r="Y26" s="268"/>
      <c r="Z26"/>
      <c r="AA26"/>
      <c r="AB26"/>
      <c r="AC26"/>
      <c r="AD26"/>
    </row>
    <row r="27" spans="1:30" ht="14.1" customHeight="1" thickBot="1" x14ac:dyDescent="0.2">
      <c r="A27" s="292"/>
      <c r="B27" s="860"/>
      <c r="C27" s="860"/>
      <c r="D27" s="860"/>
      <c r="E27" s="860"/>
      <c r="F27" s="860"/>
      <c r="G27" s="860"/>
      <c r="H27" s="293"/>
      <c r="I27" s="871"/>
      <c r="J27" s="871"/>
      <c r="K27" s="871"/>
      <c r="L27" s="871"/>
      <c r="M27" s="871"/>
      <c r="N27" s="293"/>
      <c r="O27" s="269"/>
      <c r="P27" s="887"/>
      <c r="Q27" s="828"/>
      <c r="R27" s="828"/>
      <c r="S27" s="828"/>
      <c r="T27" s="828"/>
      <c r="U27" s="828"/>
      <c r="V27" s="828"/>
      <c r="W27" s="828"/>
      <c r="X27" s="888"/>
      <c r="Y27" s="269"/>
      <c r="Z27"/>
      <c r="AA27"/>
      <c r="AB27"/>
      <c r="AC27"/>
      <c r="AD27"/>
    </row>
    <row r="28" spans="1:30" ht="14.1" customHeight="1" thickBot="1" x14ac:dyDescent="0.2">
      <c r="A28" s="292"/>
      <c r="B28" s="860"/>
      <c r="C28" s="860"/>
      <c r="D28" s="860"/>
      <c r="E28" s="860"/>
      <c r="F28" s="860"/>
      <c r="G28" s="860"/>
      <c r="H28" s="293"/>
      <c r="I28" s="871"/>
      <c r="J28" s="871"/>
      <c r="K28" s="871"/>
      <c r="L28" s="871"/>
      <c r="M28" s="871"/>
      <c r="N28" s="293"/>
      <c r="O28" s="268"/>
      <c r="P28" s="866" t="s">
        <v>573</v>
      </c>
      <c r="Q28" s="867"/>
      <c r="R28" s="867"/>
      <c r="S28" s="867"/>
      <c r="T28" s="867"/>
      <c r="U28" s="867"/>
      <c r="V28" s="867"/>
      <c r="W28" s="867"/>
      <c r="X28" s="868"/>
      <c r="Y28" s="268"/>
      <c r="Z28"/>
      <c r="AA28"/>
      <c r="AB28"/>
      <c r="AC28"/>
      <c r="AD28"/>
    </row>
    <row r="29" spans="1:30" ht="14.1" customHeight="1" thickBot="1" x14ac:dyDescent="0.2">
      <c r="A29" s="292"/>
      <c r="B29" s="860"/>
      <c r="C29" s="860"/>
      <c r="D29" s="860"/>
      <c r="E29" s="860"/>
      <c r="F29" s="860"/>
      <c r="G29" s="860"/>
      <c r="H29" s="293"/>
      <c r="I29" s="871"/>
      <c r="J29" s="871"/>
      <c r="K29" s="871"/>
      <c r="L29" s="871"/>
      <c r="M29" s="871"/>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69" t="s">
        <v>398</v>
      </c>
      <c r="Q30" s="870"/>
      <c r="R30" s="870"/>
      <c r="S30" s="870"/>
      <c r="T30" s="870"/>
      <c r="U30" s="483" t="s">
        <v>568</v>
      </c>
      <c r="V30" s="484" t="s">
        <v>225</v>
      </c>
      <c r="W30" s="484" t="s">
        <v>569</v>
      </c>
      <c r="X30" s="485" t="s">
        <v>570</v>
      </c>
      <c r="Y30" s="269"/>
      <c r="Z30"/>
      <c r="AA30"/>
      <c r="AB30"/>
      <c r="AC30"/>
      <c r="AD30"/>
    </row>
    <row r="31" spans="1:30" ht="14.1" customHeight="1" x14ac:dyDescent="0.15">
      <c r="A31" s="292"/>
      <c r="B31" s="883" t="s">
        <v>585</v>
      </c>
      <c r="C31" s="883"/>
      <c r="D31" s="883"/>
      <c r="E31" s="883"/>
      <c r="F31" s="883"/>
      <c r="G31" s="883"/>
      <c r="H31" s="883"/>
      <c r="I31" s="883"/>
      <c r="J31" s="883"/>
      <c r="K31" s="883"/>
      <c r="L31" s="883"/>
      <c r="M31" s="883"/>
      <c r="N31" s="293"/>
      <c r="O31" s="269"/>
      <c r="P31" s="872"/>
      <c r="Q31" s="873"/>
      <c r="R31" s="873"/>
      <c r="S31" s="873"/>
      <c r="T31" s="873"/>
      <c r="U31" s="838" t="s">
        <v>18</v>
      </c>
      <c r="V31" s="880" t="s">
        <v>18</v>
      </c>
      <c r="W31" s="881">
        <f>IF(キャラシート!$I$3="蟹",計算用!AE36,計算用!AE30)</f>
        <v>0</v>
      </c>
      <c r="X31" s="891">
        <f>IF(キャラシート!$I$3="蟹",計算用!AF36,計算用!AF30)</f>
        <v>0</v>
      </c>
      <c r="Y31" s="268"/>
      <c r="Z31"/>
      <c r="AA31"/>
      <c r="AB31"/>
      <c r="AC31"/>
      <c r="AD31"/>
    </row>
    <row r="32" spans="1:30" ht="14.1" customHeight="1" thickBot="1" x14ac:dyDescent="0.2">
      <c r="A32" s="292"/>
      <c r="B32" s="860"/>
      <c r="C32" s="860"/>
      <c r="D32" s="860"/>
      <c r="E32" s="860"/>
      <c r="F32" s="860"/>
      <c r="G32" s="860"/>
      <c r="H32" s="860"/>
      <c r="I32" s="860"/>
      <c r="J32" s="860"/>
      <c r="K32" s="860"/>
      <c r="L32" s="860"/>
      <c r="M32" s="860"/>
      <c r="N32" s="293"/>
      <c r="O32" s="268"/>
      <c r="P32" s="872"/>
      <c r="Q32" s="873"/>
      <c r="R32" s="873"/>
      <c r="S32" s="873"/>
      <c r="T32" s="873"/>
      <c r="U32" s="838"/>
      <c r="V32" s="880"/>
      <c r="W32" s="881"/>
      <c r="X32" s="891"/>
      <c r="Y32" s="269"/>
      <c r="Z32"/>
      <c r="AA32"/>
      <c r="AB32"/>
      <c r="AC32"/>
      <c r="AD32"/>
    </row>
    <row r="33" spans="1:30" ht="14.1" customHeight="1" thickBot="1" x14ac:dyDescent="0.2">
      <c r="A33" s="292"/>
      <c r="B33" s="860"/>
      <c r="C33" s="860"/>
      <c r="D33" s="860"/>
      <c r="E33" s="860"/>
      <c r="F33" s="860"/>
      <c r="G33" s="860"/>
      <c r="H33" s="860"/>
      <c r="I33" s="860"/>
      <c r="J33" s="860"/>
      <c r="K33" s="860"/>
      <c r="L33" s="860"/>
      <c r="M33" s="860"/>
      <c r="N33" s="293"/>
      <c r="O33" s="269"/>
      <c r="P33" s="884" t="s">
        <v>9</v>
      </c>
      <c r="Q33" s="885"/>
      <c r="R33" s="885"/>
      <c r="S33" s="876" t="s">
        <v>10</v>
      </c>
      <c r="T33" s="876"/>
      <c r="U33" s="876"/>
      <c r="V33" s="877" t="s">
        <v>11</v>
      </c>
      <c r="W33" s="877"/>
      <c r="X33" s="878"/>
      <c r="Y33" s="268"/>
      <c r="Z33"/>
      <c r="AA33"/>
      <c r="AB33"/>
      <c r="AC33"/>
      <c r="AD33"/>
    </row>
    <row r="34" spans="1:30" ht="14.1" customHeight="1" thickBot="1" x14ac:dyDescent="0.2">
      <c r="A34" s="292"/>
      <c r="B34" s="860"/>
      <c r="C34" s="860"/>
      <c r="D34" s="860"/>
      <c r="E34" s="860"/>
      <c r="F34" s="860"/>
      <c r="G34" s="860"/>
      <c r="H34" s="860"/>
      <c r="I34" s="860"/>
      <c r="J34" s="860"/>
      <c r="K34" s="860"/>
      <c r="L34" s="860"/>
      <c r="M34" s="860"/>
      <c r="N34" s="293"/>
      <c r="O34" s="268"/>
      <c r="P34" s="882" t="s">
        <v>18</v>
      </c>
      <c r="Q34" s="886" t="s">
        <v>18</v>
      </c>
      <c r="R34" s="886"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0"/>
      <c r="C35" s="860"/>
      <c r="D35" s="860"/>
      <c r="E35" s="860"/>
      <c r="F35" s="860"/>
      <c r="G35" s="860"/>
      <c r="H35" s="860"/>
      <c r="I35" s="860"/>
      <c r="J35" s="860"/>
      <c r="K35" s="860"/>
      <c r="L35" s="860"/>
      <c r="M35" s="860"/>
      <c r="N35" s="292"/>
      <c r="O35" s="269"/>
      <c r="P35" s="882"/>
      <c r="Q35" s="886"/>
      <c r="R35" s="886"/>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64" t="s">
        <v>572</v>
      </c>
      <c r="Q36" s="811"/>
      <c r="R36" s="811"/>
      <c r="S36" s="811"/>
      <c r="T36" s="811"/>
      <c r="U36" s="811"/>
      <c r="V36" s="811"/>
      <c r="W36" s="811"/>
      <c r="X36" s="865"/>
      <c r="Y36" s="269"/>
      <c r="Z36" s="1"/>
      <c r="AA36" s="1"/>
      <c r="AB36" s="1"/>
      <c r="AC36" s="1"/>
      <c r="AD36" s="1"/>
    </row>
    <row r="37" spans="1:30" ht="14.1" customHeight="1" x14ac:dyDescent="0.15">
      <c r="A37"/>
      <c r="B37"/>
      <c r="C37"/>
      <c r="D37"/>
      <c r="E37"/>
      <c r="F37"/>
      <c r="G37"/>
      <c r="H37"/>
      <c r="I37"/>
      <c r="J37"/>
      <c r="K37"/>
      <c r="L37"/>
      <c r="M37"/>
      <c r="N37"/>
      <c r="O37" s="269"/>
      <c r="P37" s="887"/>
      <c r="Q37" s="828"/>
      <c r="R37" s="828"/>
      <c r="S37" s="828"/>
      <c r="T37" s="828"/>
      <c r="U37" s="828"/>
      <c r="V37" s="828"/>
      <c r="W37" s="828"/>
      <c r="X37" s="888"/>
      <c r="Y37" s="268"/>
      <c r="Z37" s="1"/>
      <c r="AA37" s="1"/>
      <c r="AB37" s="1"/>
      <c r="AC37" s="1"/>
      <c r="AD37" s="1"/>
    </row>
    <row r="38" spans="1:30" ht="14.1" customHeight="1" x14ac:dyDescent="0.15">
      <c r="A38"/>
      <c r="B38"/>
      <c r="C38"/>
      <c r="D38"/>
      <c r="E38"/>
      <c r="F38"/>
      <c r="G38"/>
      <c r="H38"/>
      <c r="I38"/>
      <c r="J38"/>
      <c r="K38"/>
      <c r="L38"/>
      <c r="M38"/>
      <c r="N38"/>
      <c r="O38" s="268"/>
      <c r="P38" s="887"/>
      <c r="Q38" s="828"/>
      <c r="R38" s="828"/>
      <c r="S38" s="828"/>
      <c r="T38" s="828"/>
      <c r="U38" s="828"/>
      <c r="V38" s="828"/>
      <c r="W38" s="828"/>
      <c r="X38" s="888"/>
      <c r="Y38" s="269"/>
      <c r="Z38" s="1"/>
      <c r="AA38" s="1"/>
      <c r="AB38" s="1"/>
      <c r="AC38" s="1"/>
      <c r="AD38" s="1"/>
    </row>
    <row r="39" spans="1:30" ht="14.1" customHeight="1" thickBot="1" x14ac:dyDescent="0.2">
      <c r="A39"/>
      <c r="B39"/>
      <c r="C39"/>
      <c r="D39"/>
      <c r="E39"/>
      <c r="F39"/>
      <c r="G39"/>
      <c r="H39"/>
      <c r="I39"/>
      <c r="J39"/>
      <c r="K39"/>
      <c r="L39"/>
      <c r="M39"/>
      <c r="N39"/>
      <c r="O39" s="269"/>
      <c r="P39" s="866" t="s">
        <v>573</v>
      </c>
      <c r="Q39" s="867"/>
      <c r="R39" s="867"/>
      <c r="S39" s="867"/>
      <c r="T39" s="867"/>
      <c r="U39" s="867"/>
      <c r="V39" s="867"/>
      <c r="W39" s="867"/>
      <c r="X39" s="868"/>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69" t="s">
        <v>398</v>
      </c>
      <c r="Q41" s="870"/>
      <c r="R41" s="870"/>
      <c r="S41" s="870"/>
      <c r="T41" s="870"/>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2"/>
      <c r="Q42" s="873"/>
      <c r="R42" s="873"/>
      <c r="S42" s="873"/>
      <c r="T42" s="873"/>
      <c r="U42" s="838" t="s">
        <v>18</v>
      </c>
      <c r="V42" s="880" t="s">
        <v>18</v>
      </c>
      <c r="W42" s="881">
        <f>IF(キャラシート!$I$3="蟹",計算用!AE48,計算用!AE42)</f>
        <v>0</v>
      </c>
      <c r="X42" s="891">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2"/>
      <c r="Q43" s="873"/>
      <c r="R43" s="873"/>
      <c r="S43" s="873"/>
      <c r="T43" s="873"/>
      <c r="U43" s="838"/>
      <c r="V43" s="880"/>
      <c r="W43" s="881"/>
      <c r="X43" s="891"/>
      <c r="Y43" s="269"/>
      <c r="Z43" s="1"/>
      <c r="AA43" s="1"/>
      <c r="AB43" s="1"/>
      <c r="AC43" s="1"/>
      <c r="AD43" s="1"/>
    </row>
    <row r="44" spans="1:30" ht="14.1" customHeight="1" x14ac:dyDescent="0.15">
      <c r="A44"/>
      <c r="B44"/>
      <c r="C44"/>
      <c r="D44"/>
      <c r="E44"/>
      <c r="F44"/>
      <c r="G44"/>
      <c r="H44"/>
      <c r="I44"/>
      <c r="J44"/>
      <c r="K44"/>
      <c r="L44"/>
      <c r="M44"/>
      <c r="N44"/>
      <c r="O44" s="268"/>
      <c r="P44" s="884" t="s">
        <v>9</v>
      </c>
      <c r="Q44" s="885"/>
      <c r="R44" s="885"/>
      <c r="S44" s="876" t="s">
        <v>10</v>
      </c>
      <c r="T44" s="876"/>
      <c r="U44" s="876"/>
      <c r="V44" s="877" t="s">
        <v>11</v>
      </c>
      <c r="W44" s="877"/>
      <c r="X44" s="878"/>
      <c r="Y44" s="268"/>
      <c r="Z44" s="1"/>
      <c r="AA44" s="1"/>
      <c r="AB44" s="1"/>
      <c r="AC44" s="1"/>
      <c r="AD44" s="1"/>
    </row>
    <row r="45" spans="1:30" ht="14.1" customHeight="1" x14ac:dyDescent="0.15">
      <c r="A45"/>
      <c r="B45"/>
      <c r="C45"/>
      <c r="D45"/>
      <c r="E45"/>
      <c r="F45"/>
      <c r="G45"/>
      <c r="H45"/>
      <c r="I45"/>
      <c r="J45"/>
      <c r="K45"/>
      <c r="L45"/>
      <c r="M45"/>
      <c r="N45"/>
      <c r="O45" s="269"/>
      <c r="P45" s="882" t="s">
        <v>18</v>
      </c>
      <c r="Q45" s="886" t="s">
        <v>18</v>
      </c>
      <c r="R45" s="886"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2"/>
      <c r="Q46" s="886"/>
      <c r="R46" s="886"/>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64" t="s">
        <v>572</v>
      </c>
      <c r="Q47" s="811"/>
      <c r="R47" s="811"/>
      <c r="S47" s="811"/>
      <c r="T47" s="811"/>
      <c r="U47" s="811"/>
      <c r="V47" s="811"/>
      <c r="W47" s="811"/>
      <c r="X47" s="865"/>
      <c r="Y47" s="269"/>
      <c r="Z47" s="1"/>
      <c r="AA47" s="1"/>
      <c r="AB47" s="1"/>
      <c r="AC47" s="1"/>
      <c r="AD47" s="1"/>
    </row>
    <row r="48" spans="1:30" ht="14.1" customHeight="1" x14ac:dyDescent="0.15">
      <c r="A48"/>
      <c r="B48"/>
      <c r="C48"/>
      <c r="D48"/>
      <c r="E48"/>
      <c r="F48"/>
      <c r="G48"/>
      <c r="H48"/>
      <c r="I48"/>
      <c r="J48"/>
      <c r="K48"/>
      <c r="L48"/>
      <c r="M48"/>
      <c r="N48"/>
      <c r="O48" s="268"/>
      <c r="P48" s="887"/>
      <c r="Q48" s="828"/>
      <c r="R48" s="828"/>
      <c r="S48" s="828"/>
      <c r="T48" s="828"/>
      <c r="U48" s="828"/>
      <c r="V48" s="828"/>
      <c r="W48" s="828"/>
      <c r="X48" s="888"/>
      <c r="Y48" s="268"/>
      <c r="Z48" s="1"/>
      <c r="AA48" s="1"/>
      <c r="AB48" s="1"/>
      <c r="AC48" s="1"/>
      <c r="AD48" s="1"/>
    </row>
    <row r="49" spans="1:30" ht="14.1" customHeight="1" x14ac:dyDescent="0.15">
      <c r="A49"/>
      <c r="B49"/>
      <c r="C49"/>
      <c r="D49"/>
      <c r="E49"/>
      <c r="F49"/>
      <c r="G49"/>
      <c r="H49"/>
      <c r="I49"/>
      <c r="J49"/>
      <c r="K49"/>
      <c r="L49"/>
      <c r="M49"/>
      <c r="N49"/>
      <c r="O49" s="269"/>
      <c r="P49" s="887"/>
      <c r="Q49" s="828"/>
      <c r="R49" s="828"/>
      <c r="S49" s="828"/>
      <c r="T49" s="828"/>
      <c r="U49" s="828"/>
      <c r="V49" s="828"/>
      <c r="W49" s="828"/>
      <c r="X49" s="888"/>
      <c r="Y49" s="269"/>
      <c r="Z49" s="1"/>
      <c r="AA49" s="1"/>
      <c r="AB49" s="1"/>
      <c r="AC49" s="1"/>
      <c r="AD49" s="1"/>
    </row>
    <row r="50" spans="1:30" ht="14.1" customHeight="1" thickBot="1" x14ac:dyDescent="0.2">
      <c r="A50"/>
      <c r="B50"/>
      <c r="C50"/>
      <c r="D50"/>
      <c r="E50"/>
      <c r="F50"/>
      <c r="G50"/>
      <c r="H50"/>
      <c r="I50"/>
      <c r="J50"/>
      <c r="K50"/>
      <c r="L50"/>
      <c r="M50"/>
      <c r="N50"/>
      <c r="O50" s="268"/>
      <c r="P50" s="866" t="s">
        <v>573</v>
      </c>
      <c r="Q50" s="867"/>
      <c r="R50" s="867"/>
      <c r="S50" s="867"/>
      <c r="T50" s="867"/>
      <c r="U50" s="867"/>
      <c r="V50" s="867"/>
      <c r="W50" s="867"/>
      <c r="X50" s="868"/>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69" t="s">
        <v>398</v>
      </c>
      <c r="Q52" s="870"/>
      <c r="R52" s="870"/>
      <c r="S52" s="870"/>
      <c r="T52" s="870"/>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2"/>
      <c r="Q53" s="873"/>
      <c r="R53" s="873"/>
      <c r="S53" s="873"/>
      <c r="T53" s="873"/>
      <c r="U53" s="838" t="s">
        <v>18</v>
      </c>
      <c r="V53" s="880" t="s">
        <v>18</v>
      </c>
      <c r="W53" s="881">
        <f>IF(キャラシート!$I$3="蟹",計算用!AE60,計算用!AE54)</f>
        <v>0</v>
      </c>
      <c r="X53" s="891">
        <f>IF(キャラシート!$I$3="蟹",計算用!AF60,計算用!AF54)</f>
        <v>0</v>
      </c>
      <c r="Y53" s="268"/>
      <c r="Z53" s="1"/>
      <c r="AA53" s="1"/>
    </row>
    <row r="54" spans="1:30" ht="14.1" customHeight="1" x14ac:dyDescent="0.15">
      <c r="A54"/>
      <c r="B54"/>
      <c r="C54"/>
      <c r="D54"/>
      <c r="E54"/>
      <c r="F54"/>
      <c r="G54"/>
      <c r="H54"/>
      <c r="I54"/>
      <c r="J54"/>
      <c r="K54"/>
      <c r="L54"/>
      <c r="M54"/>
      <c r="N54"/>
      <c r="O54" s="268"/>
      <c r="P54" s="872"/>
      <c r="Q54" s="873"/>
      <c r="R54" s="873"/>
      <c r="S54" s="873"/>
      <c r="T54" s="873"/>
      <c r="U54" s="838"/>
      <c r="V54" s="880"/>
      <c r="W54" s="881"/>
      <c r="X54" s="891"/>
      <c r="Y54" s="269"/>
      <c r="Z54" s="1"/>
      <c r="AA54" s="1"/>
    </row>
    <row r="55" spans="1:30" ht="14.1" customHeight="1" x14ac:dyDescent="0.15">
      <c r="A55"/>
      <c r="B55"/>
      <c r="C55"/>
      <c r="D55"/>
      <c r="E55"/>
      <c r="F55"/>
      <c r="G55"/>
      <c r="H55"/>
      <c r="I55"/>
      <c r="J55"/>
      <c r="K55"/>
      <c r="L55"/>
      <c r="M55"/>
      <c r="N55"/>
      <c r="O55" s="269"/>
      <c r="P55" s="884" t="s">
        <v>9</v>
      </c>
      <c r="Q55" s="885"/>
      <c r="R55" s="885"/>
      <c r="S55" s="876" t="s">
        <v>10</v>
      </c>
      <c r="T55" s="876"/>
      <c r="U55" s="876"/>
      <c r="V55" s="877" t="s">
        <v>11</v>
      </c>
      <c r="W55" s="877"/>
      <c r="X55" s="878"/>
      <c r="Y55" s="268"/>
      <c r="Z55" s="1"/>
      <c r="AA55" s="1"/>
    </row>
    <row r="56" spans="1:30" ht="14.1" customHeight="1" x14ac:dyDescent="0.15">
      <c r="A56"/>
      <c r="B56"/>
      <c r="C56"/>
      <c r="D56"/>
      <c r="E56"/>
      <c r="F56"/>
      <c r="G56"/>
      <c r="H56"/>
      <c r="I56"/>
      <c r="J56"/>
      <c r="K56"/>
      <c r="L56"/>
      <c r="M56"/>
      <c r="N56"/>
      <c r="O56" s="268"/>
      <c r="P56" s="882" t="s">
        <v>18</v>
      </c>
      <c r="Q56" s="886" t="s">
        <v>18</v>
      </c>
      <c r="R56" s="886"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2"/>
      <c r="Q57" s="886"/>
      <c r="R57" s="886"/>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64" t="s">
        <v>572</v>
      </c>
      <c r="Q58" s="811"/>
      <c r="R58" s="811"/>
      <c r="S58" s="811"/>
      <c r="T58" s="811"/>
      <c r="U58" s="811"/>
      <c r="V58" s="811"/>
      <c r="W58" s="811"/>
      <c r="X58" s="865"/>
      <c r="Y58" s="269"/>
      <c r="Z58" s="1"/>
      <c r="AA58" s="1"/>
    </row>
    <row r="59" spans="1:30" ht="14.1" customHeight="1" x14ac:dyDescent="0.15">
      <c r="J59"/>
      <c r="K59"/>
      <c r="L59"/>
      <c r="M59"/>
      <c r="N59"/>
      <c r="O59" s="269"/>
      <c r="P59" s="887"/>
      <c r="Q59" s="828"/>
      <c r="R59" s="828"/>
      <c r="S59" s="828"/>
      <c r="T59" s="828"/>
      <c r="U59" s="828"/>
      <c r="V59" s="828"/>
      <c r="W59" s="828"/>
      <c r="X59" s="888"/>
      <c r="Y59" s="268"/>
      <c r="Z59" s="1"/>
      <c r="AA59" s="1"/>
    </row>
    <row r="60" spans="1:30" ht="14.1" customHeight="1" x14ac:dyDescent="0.15">
      <c r="J60"/>
      <c r="K60"/>
      <c r="L60"/>
      <c r="M60"/>
      <c r="N60"/>
      <c r="O60" s="268"/>
      <c r="P60" s="887"/>
      <c r="Q60" s="828"/>
      <c r="R60" s="828"/>
      <c r="S60" s="828"/>
      <c r="T60" s="828"/>
      <c r="U60" s="828"/>
      <c r="V60" s="828"/>
      <c r="W60" s="828"/>
      <c r="X60" s="888"/>
      <c r="Y60" s="269"/>
      <c r="Z60" s="1"/>
      <c r="AA60" s="1"/>
    </row>
    <row r="61" spans="1:30" ht="14.1" customHeight="1" thickBot="1" x14ac:dyDescent="0.2">
      <c r="J61"/>
      <c r="K61"/>
      <c r="L61"/>
      <c r="M61"/>
      <c r="N61"/>
      <c r="O61" s="269"/>
      <c r="P61" s="866" t="s">
        <v>573</v>
      </c>
      <c r="Q61" s="867"/>
      <c r="R61" s="867"/>
      <c r="S61" s="867"/>
      <c r="T61" s="867"/>
      <c r="U61" s="867"/>
      <c r="V61" s="867"/>
      <c r="W61" s="867"/>
      <c r="X61" s="868"/>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H16" workbookViewId="0">
      <selection activeCell="T45" activeCellId="3" sqref="S23:U24 S12:U13 S34:U35 S45:U46 S56:U57"/>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5" t="s">
        <v>575</v>
      </c>
      <c r="C2" s="895"/>
      <c r="D2" s="896"/>
      <c r="E2" s="896"/>
      <c r="F2" s="896"/>
      <c r="G2" s="896"/>
      <c r="H2" s="896"/>
      <c r="I2" s="897" t="s">
        <v>399</v>
      </c>
      <c r="J2" s="897"/>
      <c r="K2" s="898" t="s">
        <v>18</v>
      </c>
      <c r="L2" s="898"/>
      <c r="M2" s="898"/>
      <c r="N2" s="293"/>
      <c r="O2" s="268"/>
      <c r="P2" s="899" t="s">
        <v>658</v>
      </c>
      <c r="Q2" s="899"/>
      <c r="R2" s="899"/>
      <c r="S2" s="899"/>
      <c r="T2" s="899"/>
      <c r="U2" s="899"/>
      <c r="V2" s="899"/>
      <c r="W2" s="899"/>
      <c r="X2" s="899"/>
      <c r="Y2" s="268"/>
      <c r="Z2"/>
      <c r="AA2"/>
      <c r="AB2"/>
      <c r="AC2"/>
      <c r="AD2"/>
    </row>
    <row r="3" spans="1:30" ht="14.1" customHeight="1" thickBot="1" x14ac:dyDescent="0.2">
      <c r="A3" s="275"/>
      <c r="B3" s="895"/>
      <c r="C3" s="895"/>
      <c r="D3" s="896"/>
      <c r="E3" s="896"/>
      <c r="F3" s="896"/>
      <c r="G3" s="896"/>
      <c r="H3" s="896"/>
      <c r="I3" s="897"/>
      <c r="J3" s="897"/>
      <c r="K3" s="898"/>
      <c r="L3" s="898"/>
      <c r="M3" s="898"/>
      <c r="N3" s="293"/>
      <c r="O3" s="268"/>
      <c r="P3" s="899"/>
      <c r="Q3" s="899"/>
      <c r="R3" s="899"/>
      <c r="S3" s="899"/>
      <c r="T3" s="899"/>
      <c r="U3" s="899"/>
      <c r="V3" s="899"/>
      <c r="W3" s="899"/>
      <c r="X3" s="899"/>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0" t="s">
        <v>475</v>
      </c>
      <c r="Q4" s="900"/>
      <c r="R4" s="903">
        <f>F23</f>
        <v>2</v>
      </c>
      <c r="S4" s="901" t="s">
        <v>566</v>
      </c>
      <c r="T4" s="901"/>
      <c r="U4" s="903">
        <f>ROUNDDOWN((C23)/2,0)</f>
        <v>2</v>
      </c>
      <c r="V4" s="901" t="s">
        <v>567</v>
      </c>
      <c r="W4" s="901"/>
      <c r="X4" s="902">
        <f>ROUNDDOWN((C23)/3,0)</f>
        <v>1</v>
      </c>
      <c r="Y4" s="268"/>
      <c r="Z4"/>
      <c r="AA4"/>
      <c r="AB4"/>
      <c r="AC4"/>
      <c r="AD4"/>
    </row>
    <row r="5" spans="1:30" ht="14.1" customHeight="1" thickBot="1" x14ac:dyDescent="0.2">
      <c r="A5" s="275"/>
      <c r="B5" s="895" t="s">
        <v>576</v>
      </c>
      <c r="C5" s="895"/>
      <c r="D5" s="904">
        <v>0</v>
      </c>
      <c r="E5" s="293"/>
      <c r="F5" s="895" t="s">
        <v>577</v>
      </c>
      <c r="G5" s="895"/>
      <c r="H5" s="905">
        <f>C23</f>
        <v>4</v>
      </c>
      <c r="I5" s="905">
        <f>IF(L2="探索型",ROUNDDOWN(D23/3,0)+D23,D23)</f>
        <v>0</v>
      </c>
      <c r="J5" s="897" t="s">
        <v>578</v>
      </c>
      <c r="K5" s="897"/>
      <c r="L5" s="906" t="s">
        <v>18</v>
      </c>
      <c r="M5" s="906"/>
      <c r="N5" s="293"/>
      <c r="O5" s="269"/>
      <c r="P5" s="900"/>
      <c r="Q5" s="900"/>
      <c r="R5" s="903"/>
      <c r="S5" s="901"/>
      <c r="T5" s="901"/>
      <c r="U5" s="903"/>
      <c r="V5" s="901"/>
      <c r="W5" s="901"/>
      <c r="X5" s="902"/>
      <c r="Y5" s="268"/>
      <c r="Z5"/>
      <c r="AA5"/>
      <c r="AB5"/>
      <c r="AC5"/>
      <c r="AD5"/>
    </row>
    <row r="6" spans="1:30" ht="14.1" customHeight="1" thickBot="1" x14ac:dyDescent="0.2">
      <c r="A6" s="275"/>
      <c r="B6" s="895"/>
      <c r="C6" s="895"/>
      <c r="D6" s="904"/>
      <c r="E6" s="293"/>
      <c r="F6" s="895"/>
      <c r="G6" s="895"/>
      <c r="H6" s="905"/>
      <c r="I6" s="905"/>
      <c r="J6" s="897"/>
      <c r="K6" s="897"/>
      <c r="L6" s="906"/>
      <c r="M6" s="906"/>
      <c r="N6" s="293"/>
      <c r="O6" s="269"/>
      <c r="P6" s="907" t="s">
        <v>1286</v>
      </c>
      <c r="Q6" s="908"/>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3" t="s">
        <v>451</v>
      </c>
      <c r="C8" s="893"/>
      <c r="D8" s="893"/>
      <c r="E8" s="275"/>
      <c r="F8" s="892" t="s">
        <v>579</v>
      </c>
      <c r="G8" s="892"/>
      <c r="H8" s="293"/>
      <c r="I8" s="894" t="s">
        <v>580</v>
      </c>
      <c r="J8" s="894"/>
      <c r="K8" s="894"/>
      <c r="L8" s="894"/>
      <c r="M8" s="894"/>
      <c r="N8" s="293"/>
      <c r="O8" s="268"/>
      <c r="P8" s="914" t="s">
        <v>398</v>
      </c>
      <c r="Q8" s="915"/>
      <c r="R8" s="915"/>
      <c r="S8" s="915"/>
      <c r="T8" s="916"/>
      <c r="U8" s="483" t="s">
        <v>568</v>
      </c>
      <c r="V8" s="484" t="s">
        <v>225</v>
      </c>
      <c r="W8" s="484" t="s">
        <v>569</v>
      </c>
      <c r="X8" s="485" t="s">
        <v>570</v>
      </c>
      <c r="Y8" s="269"/>
      <c r="Z8"/>
      <c r="AA8"/>
      <c r="AB8"/>
      <c r="AC8"/>
      <c r="AD8"/>
    </row>
    <row r="9" spans="1:30" ht="14.1" customHeight="1" thickBot="1" x14ac:dyDescent="0.2">
      <c r="A9" s="275"/>
      <c r="B9" s="284"/>
      <c r="C9" s="287"/>
      <c r="D9" s="288" t="s">
        <v>581</v>
      </c>
      <c r="E9" s="275"/>
      <c r="F9" s="892"/>
      <c r="G9" s="892"/>
      <c r="H9" s="293"/>
      <c r="I9" s="871"/>
      <c r="J9" s="871"/>
      <c r="K9" s="871"/>
      <c r="L9" s="871"/>
      <c r="M9" s="871"/>
      <c r="N9" s="293"/>
      <c r="O9" s="268"/>
      <c r="P9" s="917"/>
      <c r="Q9" s="840"/>
      <c r="R9" s="840"/>
      <c r="S9" s="840"/>
      <c r="T9" s="841"/>
      <c r="U9" s="819" t="s">
        <v>18</v>
      </c>
      <c r="V9" s="821" t="s">
        <v>18</v>
      </c>
      <c r="W9" s="836">
        <f>IF(キャラシート!I3="蟹",計算用!AK12,計算用!AK6)</f>
        <v>0</v>
      </c>
      <c r="X9" s="889">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871"/>
      <c r="J10" s="871"/>
      <c r="K10" s="871"/>
      <c r="L10" s="871"/>
      <c r="M10" s="871"/>
      <c r="N10" s="293"/>
      <c r="O10" s="269"/>
      <c r="P10" s="918"/>
      <c r="Q10" s="843"/>
      <c r="R10" s="843"/>
      <c r="S10" s="843"/>
      <c r="T10" s="844"/>
      <c r="U10" s="820"/>
      <c r="V10" s="822"/>
      <c r="W10" s="837"/>
      <c r="X10" s="890"/>
      <c r="Y10" s="269"/>
      <c r="Z10"/>
      <c r="AA10"/>
      <c r="AB10"/>
      <c r="AC10"/>
      <c r="AD10"/>
    </row>
    <row r="11" spans="1:30" ht="14.1" customHeight="1" thickBot="1" x14ac:dyDescent="0.2">
      <c r="A11" s="275"/>
      <c r="B11" s="285" t="s">
        <v>557</v>
      </c>
      <c r="C11" s="282">
        <f>D5</f>
        <v>0</v>
      </c>
      <c r="D11" s="50"/>
      <c r="E11" s="275"/>
      <c r="F11" s="271"/>
      <c r="G11" s="267"/>
      <c r="H11" s="293"/>
      <c r="I11" s="871"/>
      <c r="J11" s="871"/>
      <c r="K11" s="871"/>
      <c r="L11" s="871"/>
      <c r="M11" s="871"/>
      <c r="N11" s="293"/>
      <c r="O11" s="268"/>
      <c r="P11" s="922" t="s">
        <v>9</v>
      </c>
      <c r="Q11" s="807"/>
      <c r="R11" s="808"/>
      <c r="S11" s="809" t="s">
        <v>10</v>
      </c>
      <c r="T11" s="807"/>
      <c r="U11" s="808"/>
      <c r="V11" s="809" t="s">
        <v>11</v>
      </c>
      <c r="W11" s="807"/>
      <c r="X11" s="919"/>
      <c r="Y11" s="268"/>
      <c r="Z11"/>
      <c r="AA11"/>
      <c r="AB11"/>
      <c r="AC11"/>
      <c r="AD11"/>
    </row>
    <row r="12" spans="1:30" ht="14.1" customHeight="1" thickBot="1" x14ac:dyDescent="0.2">
      <c r="A12" s="275"/>
      <c r="B12" s="285" t="s">
        <v>484</v>
      </c>
      <c r="C12" s="282">
        <f>D5</f>
        <v>0</v>
      </c>
      <c r="D12" s="50"/>
      <c r="E12" s="275"/>
      <c r="F12" s="271"/>
      <c r="G12" s="267"/>
      <c r="H12" s="293"/>
      <c r="I12" s="871"/>
      <c r="J12" s="871"/>
      <c r="K12" s="871"/>
      <c r="L12" s="871"/>
      <c r="M12" s="871"/>
      <c r="N12" s="293"/>
      <c r="O12" s="269"/>
      <c r="P12" s="920" t="s">
        <v>18</v>
      </c>
      <c r="Q12" s="825" t="s">
        <v>18</v>
      </c>
      <c r="R12" s="825"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1"/>
      <c r="J13" s="871"/>
      <c r="K13" s="871"/>
      <c r="L13" s="871"/>
      <c r="M13" s="871"/>
      <c r="N13" s="293"/>
      <c r="O13" s="268"/>
      <c r="P13" s="921"/>
      <c r="Q13" s="826"/>
      <c r="R13" s="826"/>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1"/>
      <c r="J14" s="871"/>
      <c r="K14" s="871"/>
      <c r="L14" s="871"/>
      <c r="M14" s="871"/>
      <c r="N14" s="293"/>
      <c r="O14" s="269"/>
      <c r="P14" s="909" t="s">
        <v>572</v>
      </c>
      <c r="Q14" s="813"/>
      <c r="R14" s="813"/>
      <c r="S14" s="813"/>
      <c r="T14" s="813"/>
      <c r="U14" s="813"/>
      <c r="V14" s="813"/>
      <c r="W14" s="813"/>
      <c r="X14" s="910"/>
      <c r="Y14" s="269"/>
      <c r="Z14"/>
      <c r="AA14"/>
      <c r="AB14"/>
      <c r="AC14"/>
      <c r="AD14"/>
    </row>
    <row r="15" spans="1:30" ht="14.1" customHeight="1" thickBot="1" x14ac:dyDescent="0.2">
      <c r="A15" s="275"/>
      <c r="B15" s="285" t="s">
        <v>474</v>
      </c>
      <c r="C15" s="282">
        <f>IF(K2="攻撃型",ROUNDDOWN(C23/3,0),0)</f>
        <v>0</v>
      </c>
      <c r="D15" s="50"/>
      <c r="E15" s="275"/>
      <c r="F15" s="271"/>
      <c r="G15" s="267"/>
      <c r="H15" s="293"/>
      <c r="I15" s="871"/>
      <c r="J15" s="871"/>
      <c r="K15" s="871"/>
      <c r="L15" s="871"/>
      <c r="M15" s="871"/>
      <c r="N15" s="293"/>
      <c r="O15" s="268"/>
      <c r="P15" s="923"/>
      <c r="Q15" s="831"/>
      <c r="R15" s="831"/>
      <c r="S15" s="831"/>
      <c r="T15" s="831"/>
      <c r="U15" s="831"/>
      <c r="V15" s="831"/>
      <c r="W15" s="831"/>
      <c r="X15" s="924"/>
      <c r="Y15" s="268"/>
      <c r="Z15"/>
      <c r="AA15"/>
      <c r="AB15"/>
      <c r="AC15"/>
      <c r="AD15"/>
    </row>
    <row r="16" spans="1:30" ht="14.1" customHeight="1" thickBot="1" x14ac:dyDescent="0.2">
      <c r="A16" s="275"/>
      <c r="B16" s="286" t="s">
        <v>395</v>
      </c>
      <c r="C16" s="280">
        <f>D5</f>
        <v>0</v>
      </c>
      <c r="D16" s="51"/>
      <c r="E16" s="275"/>
      <c r="F16" s="273"/>
      <c r="G16" s="274"/>
      <c r="H16" s="293"/>
      <c r="I16" s="871"/>
      <c r="J16" s="871"/>
      <c r="K16" s="871"/>
      <c r="L16" s="871"/>
      <c r="M16" s="871"/>
      <c r="N16" s="293"/>
      <c r="O16" s="269"/>
      <c r="P16" s="925"/>
      <c r="Q16" s="834"/>
      <c r="R16" s="834"/>
      <c r="S16" s="834"/>
      <c r="T16" s="834"/>
      <c r="U16" s="834"/>
      <c r="V16" s="834"/>
      <c r="W16" s="834"/>
      <c r="X16" s="926"/>
      <c r="Y16" s="269"/>
      <c r="Z16"/>
      <c r="AA16"/>
      <c r="AB16"/>
      <c r="AC16"/>
      <c r="AD16"/>
    </row>
    <row r="17" spans="1:30" ht="14.1" customHeight="1" thickBot="1" x14ac:dyDescent="0.2">
      <c r="A17" s="275"/>
      <c r="B17" s="275"/>
      <c r="C17" s="275"/>
      <c r="D17" s="275"/>
      <c r="E17" s="292"/>
      <c r="F17" s="292"/>
      <c r="G17" s="292"/>
      <c r="H17" s="275"/>
      <c r="I17" s="871"/>
      <c r="J17" s="871"/>
      <c r="K17" s="871"/>
      <c r="L17" s="871"/>
      <c r="M17" s="871"/>
      <c r="N17" s="293"/>
      <c r="O17" s="269"/>
      <c r="P17" s="911" t="s">
        <v>573</v>
      </c>
      <c r="Q17" s="912"/>
      <c r="R17" s="912"/>
      <c r="S17" s="912"/>
      <c r="T17" s="912"/>
      <c r="U17" s="912"/>
      <c r="V17" s="912"/>
      <c r="W17" s="912"/>
      <c r="X17" s="913"/>
      <c r="Y17" s="268"/>
      <c r="Z17"/>
      <c r="AA17"/>
      <c r="AB17"/>
      <c r="AC17"/>
      <c r="AD17"/>
    </row>
    <row r="18" spans="1:30" ht="14.1" customHeight="1" thickBot="1" x14ac:dyDescent="0.2">
      <c r="A18" s="275"/>
      <c r="B18" s="875" t="s">
        <v>385</v>
      </c>
      <c r="C18" s="875"/>
      <c r="D18" s="272" t="s">
        <v>583</v>
      </c>
      <c r="E18" s="275"/>
      <c r="F18" s="481" t="s">
        <v>584</v>
      </c>
      <c r="G18" s="482" t="s">
        <v>793</v>
      </c>
      <c r="H18" s="293"/>
      <c r="I18" s="871"/>
      <c r="J18" s="871"/>
      <c r="K18" s="871"/>
      <c r="L18" s="871"/>
      <c r="M18" s="871"/>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1"/>
      <c r="J19" s="871"/>
      <c r="K19" s="871"/>
      <c r="L19" s="871"/>
      <c r="M19" s="871"/>
      <c r="N19" s="293"/>
      <c r="O19" s="269"/>
      <c r="P19" s="914" t="s">
        <v>398</v>
      </c>
      <c r="Q19" s="915"/>
      <c r="R19" s="915"/>
      <c r="S19" s="915"/>
      <c r="T19" s="916"/>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1"/>
      <c r="J20" s="871"/>
      <c r="K20" s="871"/>
      <c r="L20" s="871"/>
      <c r="M20" s="871"/>
      <c r="N20" s="293"/>
      <c r="O20" s="268"/>
      <c r="P20" s="917"/>
      <c r="Q20" s="840"/>
      <c r="R20" s="840"/>
      <c r="S20" s="840"/>
      <c r="T20" s="841"/>
      <c r="U20" s="819" t="s">
        <v>18</v>
      </c>
      <c r="V20" s="821" t="s">
        <v>18</v>
      </c>
      <c r="W20" s="836">
        <f>IF(キャラシート!$I$3="蟹",計算用!AK24,計算用!AK18)</f>
        <v>0</v>
      </c>
      <c r="X20" s="889">
        <f>IF(キャラシート!$I$3="蟹",計算用!AL24,計算用!AL18)</f>
        <v>0</v>
      </c>
      <c r="Y20" s="268"/>
      <c r="Z20"/>
      <c r="AA20"/>
      <c r="AB20"/>
      <c r="AC20"/>
      <c r="AD20"/>
    </row>
    <row r="21" spans="1:30" ht="14.1" customHeight="1" thickBot="1" x14ac:dyDescent="0.2">
      <c r="A21" s="292"/>
      <c r="B21" s="879" t="s">
        <v>503</v>
      </c>
      <c r="C21" s="874"/>
      <c r="D21" s="874"/>
      <c r="E21" s="874"/>
      <c r="F21" s="874"/>
      <c r="G21" s="874"/>
      <c r="H21" s="293"/>
      <c r="I21" s="871"/>
      <c r="J21" s="871"/>
      <c r="K21" s="871"/>
      <c r="L21" s="871"/>
      <c r="M21" s="871"/>
      <c r="N21" s="293"/>
      <c r="O21" s="269"/>
      <c r="P21" s="918"/>
      <c r="Q21" s="843"/>
      <c r="R21" s="843"/>
      <c r="S21" s="843"/>
      <c r="T21" s="844"/>
      <c r="U21" s="820"/>
      <c r="V21" s="822"/>
      <c r="W21" s="837"/>
      <c r="X21" s="890"/>
      <c r="Y21" s="269"/>
      <c r="Z21"/>
      <c r="AA21"/>
      <c r="AB21"/>
      <c r="AC21"/>
      <c r="AD21"/>
    </row>
    <row r="22" spans="1:30" ht="14.1" customHeight="1" thickBot="1" x14ac:dyDescent="0.2">
      <c r="A22" s="292"/>
      <c r="B22" s="879"/>
      <c r="C22" s="874"/>
      <c r="D22" s="874"/>
      <c r="E22" s="874"/>
      <c r="F22" s="874"/>
      <c r="G22" s="874"/>
      <c r="H22" s="293"/>
      <c r="I22" s="871"/>
      <c r="J22" s="871"/>
      <c r="K22" s="871"/>
      <c r="L22" s="871"/>
      <c r="M22" s="871"/>
      <c r="N22" s="293"/>
      <c r="O22" s="268"/>
      <c r="P22" s="922" t="s">
        <v>9</v>
      </c>
      <c r="Q22" s="807"/>
      <c r="R22" s="808"/>
      <c r="S22" s="809" t="s">
        <v>10</v>
      </c>
      <c r="T22" s="807"/>
      <c r="U22" s="808"/>
      <c r="V22" s="809" t="s">
        <v>11</v>
      </c>
      <c r="W22" s="807"/>
      <c r="X22" s="919"/>
      <c r="Y22" s="268"/>
      <c r="Z22"/>
      <c r="AA22"/>
      <c r="AB22"/>
      <c r="AC22"/>
      <c r="AD22"/>
    </row>
    <row r="23" spans="1:30" ht="14.1" customHeight="1" thickBot="1" x14ac:dyDescent="0.2">
      <c r="A23" s="292"/>
      <c r="B23" s="289" t="s">
        <v>396</v>
      </c>
      <c r="C23" s="861">
        <f>キャラシート!H25-キャラシート!Y58</f>
        <v>4</v>
      </c>
      <c r="D23" s="861"/>
      <c r="E23" s="290" t="s">
        <v>475</v>
      </c>
      <c r="F23" s="862">
        <f>キャラシート!H27</f>
        <v>2</v>
      </c>
      <c r="G23" s="862"/>
      <c r="H23" s="293"/>
      <c r="I23" s="871"/>
      <c r="J23" s="871"/>
      <c r="K23" s="871"/>
      <c r="L23" s="871"/>
      <c r="M23" s="871"/>
      <c r="N23" s="293"/>
      <c r="O23" s="269"/>
      <c r="P23" s="920" t="s">
        <v>18</v>
      </c>
      <c r="Q23" s="825" t="s">
        <v>18</v>
      </c>
      <c r="R23" s="825"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3" t="s">
        <v>513</v>
      </c>
      <c r="C24" s="863"/>
      <c r="D24" s="863"/>
      <c r="E24" s="863"/>
      <c r="F24" s="863"/>
      <c r="G24" s="863"/>
      <c r="H24" s="293"/>
      <c r="I24" s="871"/>
      <c r="J24" s="871"/>
      <c r="K24" s="871"/>
      <c r="L24" s="871"/>
      <c r="M24" s="871"/>
      <c r="N24" s="293"/>
      <c r="O24" s="268"/>
      <c r="P24" s="921"/>
      <c r="Q24" s="826"/>
      <c r="R24" s="826"/>
      <c r="S24" s="436" t="s">
        <v>18</v>
      </c>
      <c r="T24" s="436" t="s">
        <v>18</v>
      </c>
      <c r="U24" s="436" t="s">
        <v>18</v>
      </c>
      <c r="V24" s="436" t="s">
        <v>18</v>
      </c>
      <c r="W24" s="436" t="s">
        <v>18</v>
      </c>
      <c r="X24" s="437" t="s">
        <v>18</v>
      </c>
      <c r="Y24" s="268"/>
      <c r="Z24"/>
      <c r="AA24"/>
      <c r="AB24"/>
      <c r="AC24"/>
      <c r="AD24"/>
    </row>
    <row r="25" spans="1:30" ht="14.1" customHeight="1" thickBot="1" x14ac:dyDescent="0.2">
      <c r="A25" s="292"/>
      <c r="B25" s="860"/>
      <c r="C25" s="860"/>
      <c r="D25" s="860"/>
      <c r="E25" s="860"/>
      <c r="F25" s="860"/>
      <c r="G25" s="860"/>
      <c r="H25" s="293"/>
      <c r="I25" s="871"/>
      <c r="J25" s="871"/>
      <c r="K25" s="871"/>
      <c r="L25" s="871"/>
      <c r="M25" s="871"/>
      <c r="N25" s="293"/>
      <c r="O25" s="269"/>
      <c r="P25" s="909" t="s">
        <v>572</v>
      </c>
      <c r="Q25" s="813"/>
      <c r="R25" s="813"/>
      <c r="S25" s="813"/>
      <c r="T25" s="813"/>
      <c r="U25" s="813"/>
      <c r="V25" s="813"/>
      <c r="W25" s="813"/>
      <c r="X25" s="910"/>
      <c r="Y25" s="269"/>
      <c r="Z25"/>
      <c r="AA25"/>
      <c r="AB25"/>
      <c r="AC25"/>
      <c r="AD25"/>
    </row>
    <row r="26" spans="1:30" ht="14.1" customHeight="1" thickBot="1" x14ac:dyDescent="0.2">
      <c r="A26" s="292"/>
      <c r="B26" s="860"/>
      <c r="C26" s="860"/>
      <c r="D26" s="860"/>
      <c r="E26" s="860"/>
      <c r="F26" s="860"/>
      <c r="G26" s="860"/>
      <c r="H26" s="293"/>
      <c r="I26" s="871"/>
      <c r="J26" s="871"/>
      <c r="K26" s="871"/>
      <c r="L26" s="871"/>
      <c r="M26" s="871"/>
      <c r="N26" s="293"/>
      <c r="O26" s="268"/>
      <c r="P26" s="923"/>
      <c r="Q26" s="831"/>
      <c r="R26" s="831"/>
      <c r="S26" s="831"/>
      <c r="T26" s="831"/>
      <c r="U26" s="831"/>
      <c r="V26" s="831"/>
      <c r="W26" s="831"/>
      <c r="X26" s="924"/>
      <c r="Y26" s="268"/>
      <c r="Z26"/>
      <c r="AA26"/>
      <c r="AB26"/>
      <c r="AC26"/>
      <c r="AD26"/>
    </row>
    <row r="27" spans="1:30" ht="14.1" customHeight="1" thickBot="1" x14ac:dyDescent="0.2">
      <c r="A27" s="292"/>
      <c r="B27" s="860"/>
      <c r="C27" s="860"/>
      <c r="D27" s="860"/>
      <c r="E27" s="860"/>
      <c r="F27" s="860"/>
      <c r="G27" s="860"/>
      <c r="H27" s="293"/>
      <c r="I27" s="871"/>
      <c r="J27" s="871"/>
      <c r="K27" s="871"/>
      <c r="L27" s="871"/>
      <c r="M27" s="871"/>
      <c r="N27" s="293"/>
      <c r="O27" s="269"/>
      <c r="P27" s="925"/>
      <c r="Q27" s="834"/>
      <c r="R27" s="834"/>
      <c r="S27" s="834"/>
      <c r="T27" s="834"/>
      <c r="U27" s="834"/>
      <c r="V27" s="834"/>
      <c r="W27" s="834"/>
      <c r="X27" s="926"/>
      <c r="Y27" s="269"/>
      <c r="Z27"/>
      <c r="AA27"/>
      <c r="AB27"/>
      <c r="AC27"/>
      <c r="AD27"/>
    </row>
    <row r="28" spans="1:30" ht="14.1" customHeight="1" thickBot="1" x14ac:dyDescent="0.2">
      <c r="A28" s="292"/>
      <c r="B28" s="860"/>
      <c r="C28" s="860"/>
      <c r="D28" s="860"/>
      <c r="E28" s="860"/>
      <c r="F28" s="860"/>
      <c r="G28" s="860"/>
      <c r="H28" s="293"/>
      <c r="I28" s="871"/>
      <c r="J28" s="871"/>
      <c r="K28" s="871"/>
      <c r="L28" s="871"/>
      <c r="M28" s="871"/>
      <c r="N28" s="293"/>
      <c r="O28" s="268"/>
      <c r="P28" s="911" t="s">
        <v>573</v>
      </c>
      <c r="Q28" s="912"/>
      <c r="R28" s="912"/>
      <c r="S28" s="912"/>
      <c r="T28" s="912"/>
      <c r="U28" s="912"/>
      <c r="V28" s="912"/>
      <c r="W28" s="912"/>
      <c r="X28" s="913"/>
      <c r="Y28" s="268"/>
      <c r="Z28"/>
      <c r="AA28"/>
      <c r="AB28"/>
      <c r="AC28"/>
      <c r="AD28"/>
    </row>
    <row r="29" spans="1:30" ht="14.1" customHeight="1" thickBot="1" x14ac:dyDescent="0.2">
      <c r="A29" s="292"/>
      <c r="B29" s="860"/>
      <c r="C29" s="860"/>
      <c r="D29" s="860"/>
      <c r="E29" s="860"/>
      <c r="F29" s="860"/>
      <c r="G29" s="860"/>
      <c r="H29" s="293"/>
      <c r="I29" s="871"/>
      <c r="J29" s="871"/>
      <c r="K29" s="871"/>
      <c r="L29" s="871"/>
      <c r="M29" s="871"/>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4" t="s">
        <v>398</v>
      </c>
      <c r="Q30" s="915"/>
      <c r="R30" s="915"/>
      <c r="S30" s="915"/>
      <c r="T30" s="916"/>
      <c r="U30" s="483" t="s">
        <v>568</v>
      </c>
      <c r="V30" s="484" t="s">
        <v>225</v>
      </c>
      <c r="W30" s="484" t="s">
        <v>569</v>
      </c>
      <c r="X30" s="485" t="s">
        <v>570</v>
      </c>
      <c r="Y30" s="269"/>
      <c r="Z30"/>
      <c r="AA30"/>
      <c r="AB30"/>
      <c r="AC30"/>
      <c r="AD30"/>
    </row>
    <row r="31" spans="1:30" ht="14.1" customHeight="1" x14ac:dyDescent="0.15">
      <c r="A31" s="292"/>
      <c r="B31" s="883" t="s">
        <v>585</v>
      </c>
      <c r="C31" s="883"/>
      <c r="D31" s="883"/>
      <c r="E31" s="883"/>
      <c r="F31" s="883"/>
      <c r="G31" s="883"/>
      <c r="H31" s="883"/>
      <c r="I31" s="883"/>
      <c r="J31" s="883"/>
      <c r="K31" s="883"/>
      <c r="L31" s="883"/>
      <c r="M31" s="883"/>
      <c r="N31" s="293"/>
      <c r="O31" s="269"/>
      <c r="P31" s="917"/>
      <c r="Q31" s="840"/>
      <c r="R31" s="840"/>
      <c r="S31" s="840"/>
      <c r="T31" s="841"/>
      <c r="U31" s="819" t="s">
        <v>18</v>
      </c>
      <c r="V31" s="821" t="s">
        <v>18</v>
      </c>
      <c r="W31" s="836">
        <f>IF(キャラシート!$I$3="蟹",計算用!AK36,計算用!AK30)</f>
        <v>0</v>
      </c>
      <c r="X31" s="889">
        <f>IF(キャラシート!$I$3="蟹",計算用!AL36,計算用!AL30)</f>
        <v>0</v>
      </c>
      <c r="Y31" s="268"/>
      <c r="Z31"/>
      <c r="AA31"/>
      <c r="AB31"/>
      <c r="AC31"/>
      <c r="AD31"/>
    </row>
    <row r="32" spans="1:30" ht="14.1" customHeight="1" thickBot="1" x14ac:dyDescent="0.2">
      <c r="A32" s="292"/>
      <c r="B32" s="860"/>
      <c r="C32" s="860"/>
      <c r="D32" s="860"/>
      <c r="E32" s="860"/>
      <c r="F32" s="860"/>
      <c r="G32" s="860"/>
      <c r="H32" s="860"/>
      <c r="I32" s="860"/>
      <c r="J32" s="860"/>
      <c r="K32" s="860"/>
      <c r="L32" s="860"/>
      <c r="M32" s="860"/>
      <c r="N32" s="293"/>
      <c r="O32" s="268"/>
      <c r="P32" s="918"/>
      <c r="Q32" s="843"/>
      <c r="R32" s="843"/>
      <c r="S32" s="843"/>
      <c r="T32" s="844"/>
      <c r="U32" s="820"/>
      <c r="V32" s="822"/>
      <c r="W32" s="837"/>
      <c r="X32" s="890"/>
      <c r="Y32" s="269"/>
      <c r="Z32"/>
      <c r="AA32"/>
      <c r="AB32"/>
      <c r="AC32"/>
      <c r="AD32"/>
    </row>
    <row r="33" spans="1:30" ht="14.1" customHeight="1" thickBot="1" x14ac:dyDescent="0.2">
      <c r="A33" s="292"/>
      <c r="B33" s="860"/>
      <c r="C33" s="860"/>
      <c r="D33" s="860"/>
      <c r="E33" s="860"/>
      <c r="F33" s="860"/>
      <c r="G33" s="860"/>
      <c r="H33" s="860"/>
      <c r="I33" s="860"/>
      <c r="J33" s="860"/>
      <c r="K33" s="860"/>
      <c r="L33" s="860"/>
      <c r="M33" s="860"/>
      <c r="N33" s="293"/>
      <c r="O33" s="269"/>
      <c r="P33" s="922" t="s">
        <v>9</v>
      </c>
      <c r="Q33" s="807"/>
      <c r="R33" s="808"/>
      <c r="S33" s="809" t="s">
        <v>10</v>
      </c>
      <c r="T33" s="807"/>
      <c r="U33" s="808"/>
      <c r="V33" s="809" t="s">
        <v>11</v>
      </c>
      <c r="W33" s="807"/>
      <c r="X33" s="919"/>
      <c r="Y33" s="268"/>
      <c r="Z33"/>
      <c r="AA33"/>
      <c r="AB33"/>
      <c r="AC33"/>
      <c r="AD33"/>
    </row>
    <row r="34" spans="1:30" ht="14.1" customHeight="1" thickBot="1" x14ac:dyDescent="0.2">
      <c r="A34" s="292"/>
      <c r="B34" s="860"/>
      <c r="C34" s="860"/>
      <c r="D34" s="860"/>
      <c r="E34" s="860"/>
      <c r="F34" s="860"/>
      <c r="G34" s="860"/>
      <c r="H34" s="860"/>
      <c r="I34" s="860"/>
      <c r="J34" s="860"/>
      <c r="K34" s="860"/>
      <c r="L34" s="860"/>
      <c r="M34" s="860"/>
      <c r="N34" s="293"/>
      <c r="O34" s="268"/>
      <c r="P34" s="920" t="s">
        <v>18</v>
      </c>
      <c r="Q34" s="825" t="s">
        <v>18</v>
      </c>
      <c r="R34" s="825"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0"/>
      <c r="C35" s="860"/>
      <c r="D35" s="860"/>
      <c r="E35" s="860"/>
      <c r="F35" s="860"/>
      <c r="G35" s="860"/>
      <c r="H35" s="860"/>
      <c r="I35" s="860"/>
      <c r="J35" s="860"/>
      <c r="K35" s="860"/>
      <c r="L35" s="860"/>
      <c r="M35" s="860"/>
      <c r="N35" s="292"/>
      <c r="O35" s="269"/>
      <c r="P35" s="921"/>
      <c r="Q35" s="826"/>
      <c r="R35" s="826"/>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09" t="s">
        <v>572</v>
      </c>
      <c r="Q36" s="813"/>
      <c r="R36" s="813"/>
      <c r="S36" s="813"/>
      <c r="T36" s="813"/>
      <c r="U36" s="813"/>
      <c r="V36" s="813"/>
      <c r="W36" s="813"/>
      <c r="X36" s="910"/>
      <c r="Y36" s="269"/>
      <c r="Z36" s="1"/>
      <c r="AA36" s="1"/>
      <c r="AB36" s="1"/>
      <c r="AC36" s="1"/>
      <c r="AD36" s="1"/>
    </row>
    <row r="37" spans="1:30" ht="14.1" customHeight="1" x14ac:dyDescent="0.15">
      <c r="A37"/>
      <c r="B37"/>
      <c r="C37"/>
      <c r="D37"/>
      <c r="E37"/>
      <c r="F37"/>
      <c r="G37"/>
      <c r="H37"/>
      <c r="I37"/>
      <c r="J37"/>
      <c r="K37"/>
      <c r="L37"/>
      <c r="M37"/>
      <c r="N37"/>
      <c r="O37" s="269"/>
      <c r="P37" s="923"/>
      <c r="Q37" s="831"/>
      <c r="R37" s="831"/>
      <c r="S37" s="831"/>
      <c r="T37" s="831"/>
      <c r="U37" s="831"/>
      <c r="V37" s="831"/>
      <c r="W37" s="831"/>
      <c r="X37" s="924"/>
      <c r="Y37" s="268"/>
      <c r="Z37" s="1"/>
      <c r="AA37" s="1"/>
      <c r="AB37" s="1"/>
      <c r="AC37" s="1"/>
      <c r="AD37" s="1"/>
    </row>
    <row r="38" spans="1:30" ht="14.1" customHeight="1" x14ac:dyDescent="0.15">
      <c r="A38"/>
      <c r="B38" s="294"/>
      <c r="C38" s="52"/>
      <c r="D38" s="294"/>
      <c r="E38" s="294"/>
      <c r="F38" s="294"/>
      <c r="G38" s="52"/>
      <c r="H38" s="52"/>
      <c r="I38"/>
      <c r="J38"/>
      <c r="K38"/>
      <c r="L38"/>
      <c r="M38"/>
      <c r="N38"/>
      <c r="O38" s="268"/>
      <c r="P38" s="925"/>
      <c r="Q38" s="834"/>
      <c r="R38" s="834"/>
      <c r="S38" s="834"/>
      <c r="T38" s="834"/>
      <c r="U38" s="834"/>
      <c r="V38" s="834"/>
      <c r="W38" s="834"/>
      <c r="X38" s="926"/>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1" t="s">
        <v>573</v>
      </c>
      <c r="Q39" s="912"/>
      <c r="R39" s="912"/>
      <c r="S39" s="912"/>
      <c r="T39" s="912"/>
      <c r="U39" s="912"/>
      <c r="V39" s="912"/>
      <c r="W39" s="912"/>
      <c r="X39" s="913"/>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4" t="s">
        <v>398</v>
      </c>
      <c r="Q41" s="915"/>
      <c r="R41" s="915"/>
      <c r="S41" s="915"/>
      <c r="T41" s="916"/>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7"/>
      <c r="Q42" s="840"/>
      <c r="R42" s="840"/>
      <c r="S42" s="840"/>
      <c r="T42" s="841"/>
      <c r="U42" s="819" t="s">
        <v>18</v>
      </c>
      <c r="V42" s="821" t="s">
        <v>18</v>
      </c>
      <c r="W42" s="836">
        <f>IF(キャラシート!$I$3="蟹",計算用!AK48,計算用!AK42)</f>
        <v>0</v>
      </c>
      <c r="X42" s="889">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8"/>
      <c r="Q43" s="843"/>
      <c r="R43" s="843"/>
      <c r="S43" s="843"/>
      <c r="T43" s="844"/>
      <c r="U43" s="820"/>
      <c r="V43" s="822"/>
      <c r="W43" s="837"/>
      <c r="X43" s="890"/>
      <c r="Y43" s="269"/>
      <c r="Z43" s="1"/>
      <c r="AA43" s="1"/>
      <c r="AB43" s="1"/>
      <c r="AC43" s="1"/>
      <c r="AD43" s="1"/>
    </row>
    <row r="44" spans="1:30" ht="14.1" customHeight="1" x14ac:dyDescent="0.15">
      <c r="A44"/>
      <c r="B44"/>
      <c r="C44"/>
      <c r="D44"/>
      <c r="E44"/>
      <c r="F44"/>
      <c r="G44"/>
      <c r="H44"/>
      <c r="I44"/>
      <c r="J44"/>
      <c r="K44"/>
      <c r="L44"/>
      <c r="M44"/>
      <c r="N44"/>
      <c r="O44" s="268"/>
      <c r="P44" s="922" t="s">
        <v>9</v>
      </c>
      <c r="Q44" s="807"/>
      <c r="R44" s="808"/>
      <c r="S44" s="809" t="s">
        <v>10</v>
      </c>
      <c r="T44" s="807"/>
      <c r="U44" s="808"/>
      <c r="V44" s="809" t="s">
        <v>11</v>
      </c>
      <c r="W44" s="807"/>
      <c r="X44" s="919"/>
      <c r="Y44" s="268"/>
      <c r="Z44" s="1"/>
      <c r="AA44" s="1"/>
      <c r="AB44" s="1"/>
      <c r="AC44" s="1"/>
      <c r="AD44" s="1"/>
    </row>
    <row r="45" spans="1:30" ht="14.1" customHeight="1" x14ac:dyDescent="0.15">
      <c r="A45"/>
      <c r="B45"/>
      <c r="C45"/>
      <c r="D45"/>
      <c r="E45"/>
      <c r="F45"/>
      <c r="G45"/>
      <c r="H45"/>
      <c r="I45"/>
      <c r="J45"/>
      <c r="K45"/>
      <c r="L45"/>
      <c r="M45"/>
      <c r="N45"/>
      <c r="O45" s="269"/>
      <c r="P45" s="920" t="s">
        <v>18</v>
      </c>
      <c r="Q45" s="825" t="s">
        <v>18</v>
      </c>
      <c r="R45" s="825"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21"/>
      <c r="Q46" s="826"/>
      <c r="R46" s="826"/>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09" t="s">
        <v>572</v>
      </c>
      <c r="Q47" s="813"/>
      <c r="R47" s="813"/>
      <c r="S47" s="813"/>
      <c r="T47" s="813"/>
      <c r="U47" s="813"/>
      <c r="V47" s="813"/>
      <c r="W47" s="813"/>
      <c r="X47" s="910"/>
      <c r="Y47" s="269"/>
      <c r="Z47" s="1"/>
      <c r="AA47" s="1"/>
      <c r="AB47" s="1"/>
      <c r="AC47" s="1"/>
      <c r="AD47" s="1"/>
    </row>
    <row r="48" spans="1:30" ht="14.1" customHeight="1" x14ac:dyDescent="0.15">
      <c r="A48"/>
      <c r="B48"/>
      <c r="C48"/>
      <c r="D48"/>
      <c r="E48"/>
      <c r="F48"/>
      <c r="G48"/>
      <c r="H48"/>
      <c r="I48"/>
      <c r="J48"/>
      <c r="K48"/>
      <c r="L48"/>
      <c r="M48"/>
      <c r="N48"/>
      <c r="O48" s="268"/>
      <c r="P48" s="923"/>
      <c r="Q48" s="831"/>
      <c r="R48" s="831"/>
      <c r="S48" s="831"/>
      <c r="T48" s="831"/>
      <c r="U48" s="831"/>
      <c r="V48" s="831"/>
      <c r="W48" s="831"/>
      <c r="X48" s="924"/>
      <c r="Y48" s="268"/>
      <c r="Z48" s="1"/>
      <c r="AA48" s="1"/>
      <c r="AB48" s="1"/>
      <c r="AC48" s="1"/>
      <c r="AD48" s="1"/>
    </row>
    <row r="49" spans="1:30" ht="14.1" customHeight="1" x14ac:dyDescent="0.15">
      <c r="A49"/>
      <c r="B49"/>
      <c r="C49"/>
      <c r="D49"/>
      <c r="E49"/>
      <c r="F49"/>
      <c r="G49"/>
      <c r="H49"/>
      <c r="I49"/>
      <c r="J49"/>
      <c r="K49"/>
      <c r="L49"/>
      <c r="M49"/>
      <c r="N49"/>
      <c r="O49" s="269"/>
      <c r="P49" s="925"/>
      <c r="Q49" s="834"/>
      <c r="R49" s="834"/>
      <c r="S49" s="834"/>
      <c r="T49" s="834"/>
      <c r="U49" s="834"/>
      <c r="V49" s="834"/>
      <c r="W49" s="834"/>
      <c r="X49" s="926"/>
      <c r="Y49" s="269"/>
      <c r="Z49" s="1"/>
      <c r="AA49" s="1"/>
      <c r="AB49" s="1"/>
      <c r="AC49" s="1"/>
      <c r="AD49" s="1"/>
    </row>
    <row r="50" spans="1:30" ht="14.1" customHeight="1" thickBot="1" x14ac:dyDescent="0.2">
      <c r="A50"/>
      <c r="B50"/>
      <c r="C50"/>
      <c r="D50"/>
      <c r="E50"/>
      <c r="F50"/>
      <c r="G50"/>
      <c r="H50"/>
      <c r="I50"/>
      <c r="J50"/>
      <c r="K50"/>
      <c r="L50"/>
      <c r="M50"/>
      <c r="N50"/>
      <c r="O50" s="268"/>
      <c r="P50" s="911" t="s">
        <v>573</v>
      </c>
      <c r="Q50" s="912"/>
      <c r="R50" s="912"/>
      <c r="S50" s="912"/>
      <c r="T50" s="912"/>
      <c r="U50" s="912"/>
      <c r="V50" s="912"/>
      <c r="W50" s="912"/>
      <c r="X50" s="913"/>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4" t="s">
        <v>398</v>
      </c>
      <c r="Q52" s="915"/>
      <c r="R52" s="915"/>
      <c r="S52" s="915"/>
      <c r="T52" s="916"/>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7"/>
      <c r="Q53" s="840"/>
      <c r="R53" s="840"/>
      <c r="S53" s="840"/>
      <c r="T53" s="841"/>
      <c r="U53" s="819" t="s">
        <v>18</v>
      </c>
      <c r="V53" s="821" t="s">
        <v>18</v>
      </c>
      <c r="W53" s="836">
        <f>IF(キャラシート!$I$3="蟹",計算用!AK60,計算用!AK54)</f>
        <v>0</v>
      </c>
      <c r="X53" s="889">
        <f>IF(キャラシート!$I$3="蟹",計算用!AL60,計算用!AL54)</f>
        <v>0</v>
      </c>
      <c r="Y53" s="268"/>
      <c r="Z53" s="1"/>
      <c r="AA53" s="1"/>
    </row>
    <row r="54" spans="1:30" ht="14.1" customHeight="1" x14ac:dyDescent="0.15">
      <c r="A54"/>
      <c r="B54"/>
      <c r="C54"/>
      <c r="D54"/>
      <c r="E54"/>
      <c r="F54"/>
      <c r="G54"/>
      <c r="H54"/>
      <c r="I54"/>
      <c r="J54"/>
      <c r="K54"/>
      <c r="L54"/>
      <c r="M54"/>
      <c r="N54"/>
      <c r="O54" s="268"/>
      <c r="P54" s="918"/>
      <c r="Q54" s="843"/>
      <c r="R54" s="843"/>
      <c r="S54" s="843"/>
      <c r="T54" s="844"/>
      <c r="U54" s="820"/>
      <c r="V54" s="822"/>
      <c r="W54" s="837"/>
      <c r="X54" s="890"/>
      <c r="Y54" s="269"/>
      <c r="Z54" s="1"/>
      <c r="AA54" s="1"/>
    </row>
    <row r="55" spans="1:30" ht="14.1" customHeight="1" x14ac:dyDescent="0.15">
      <c r="A55"/>
      <c r="B55"/>
      <c r="C55"/>
      <c r="D55"/>
      <c r="E55"/>
      <c r="F55"/>
      <c r="G55"/>
      <c r="H55"/>
      <c r="I55"/>
      <c r="J55"/>
      <c r="K55"/>
      <c r="L55"/>
      <c r="M55"/>
      <c r="N55"/>
      <c r="O55" s="269"/>
      <c r="P55" s="922" t="s">
        <v>9</v>
      </c>
      <c r="Q55" s="807"/>
      <c r="R55" s="808"/>
      <c r="S55" s="809" t="s">
        <v>10</v>
      </c>
      <c r="T55" s="807"/>
      <c r="U55" s="808"/>
      <c r="V55" s="809" t="s">
        <v>11</v>
      </c>
      <c r="W55" s="807"/>
      <c r="X55" s="919"/>
      <c r="Y55" s="268"/>
      <c r="Z55" s="1"/>
      <c r="AA55" s="1"/>
    </row>
    <row r="56" spans="1:30" ht="14.1" customHeight="1" x14ac:dyDescent="0.15">
      <c r="A56"/>
      <c r="B56"/>
      <c r="C56"/>
      <c r="D56"/>
      <c r="E56"/>
      <c r="F56"/>
      <c r="G56"/>
      <c r="H56"/>
      <c r="I56"/>
      <c r="J56"/>
      <c r="K56"/>
      <c r="L56"/>
      <c r="M56"/>
      <c r="N56"/>
      <c r="O56" s="268"/>
      <c r="P56" s="920" t="s">
        <v>18</v>
      </c>
      <c r="Q56" s="825" t="s">
        <v>18</v>
      </c>
      <c r="R56" s="825"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21"/>
      <c r="Q57" s="826"/>
      <c r="R57" s="826"/>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09" t="s">
        <v>572</v>
      </c>
      <c r="Q58" s="813"/>
      <c r="R58" s="813"/>
      <c r="S58" s="813"/>
      <c r="T58" s="813"/>
      <c r="U58" s="813"/>
      <c r="V58" s="813"/>
      <c r="W58" s="813"/>
      <c r="X58" s="910"/>
      <c r="Y58" s="269"/>
      <c r="Z58" s="1"/>
      <c r="AA58" s="1"/>
    </row>
    <row r="59" spans="1:30" ht="14.1" customHeight="1" x14ac:dyDescent="0.15">
      <c r="A59"/>
      <c r="B59"/>
      <c r="C59"/>
      <c r="D59"/>
      <c r="E59"/>
      <c r="F59"/>
      <c r="G59"/>
      <c r="H59"/>
      <c r="I59"/>
      <c r="J59"/>
      <c r="K59"/>
      <c r="L59"/>
      <c r="M59"/>
      <c r="N59"/>
      <c r="O59" s="269"/>
      <c r="P59" s="923"/>
      <c r="Q59" s="831"/>
      <c r="R59" s="831"/>
      <c r="S59" s="831"/>
      <c r="T59" s="831"/>
      <c r="U59" s="831"/>
      <c r="V59" s="831"/>
      <c r="W59" s="831"/>
      <c r="X59" s="924"/>
      <c r="Y59" s="268"/>
      <c r="Z59" s="1"/>
      <c r="AA59" s="1"/>
    </row>
    <row r="60" spans="1:30" ht="14.1" customHeight="1" x14ac:dyDescent="0.15">
      <c r="A60"/>
      <c r="B60"/>
      <c r="C60"/>
      <c r="D60"/>
      <c r="E60"/>
      <c r="F60"/>
      <c r="G60"/>
      <c r="H60"/>
      <c r="I60"/>
      <c r="J60"/>
      <c r="K60"/>
      <c r="L60"/>
      <c r="M60"/>
      <c r="N60"/>
      <c r="O60" s="268"/>
      <c r="P60" s="925"/>
      <c r="Q60" s="834"/>
      <c r="R60" s="834"/>
      <c r="S60" s="834"/>
      <c r="T60" s="834"/>
      <c r="U60" s="834"/>
      <c r="V60" s="834"/>
      <c r="W60" s="834"/>
      <c r="X60" s="926"/>
      <c r="Y60" s="269"/>
      <c r="Z60" s="1"/>
      <c r="AA60" s="1"/>
    </row>
    <row r="61" spans="1:30" ht="14.1" customHeight="1" thickBot="1" x14ac:dyDescent="0.2">
      <c r="A61"/>
      <c r="B61"/>
      <c r="C61"/>
      <c r="D61"/>
      <c r="E61"/>
      <c r="F61"/>
      <c r="G61"/>
      <c r="H61"/>
      <c r="I61"/>
      <c r="J61"/>
      <c r="K61"/>
      <c r="L61"/>
      <c r="M61"/>
      <c r="N61"/>
      <c r="O61" s="269"/>
      <c r="P61" s="911" t="s">
        <v>573</v>
      </c>
      <c r="Q61" s="912"/>
      <c r="R61" s="912"/>
      <c r="S61" s="912"/>
      <c r="T61" s="912"/>
      <c r="U61" s="912"/>
      <c r="V61" s="912"/>
      <c r="W61" s="912"/>
      <c r="X61" s="913"/>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election activeCell="K2" sqref="K2:M3"/>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95" t="s">
        <v>575</v>
      </c>
      <c r="C2" s="895"/>
      <c r="D2" s="896"/>
      <c r="E2" s="896"/>
      <c r="F2" s="896"/>
      <c r="G2" s="896"/>
      <c r="H2" s="896"/>
      <c r="I2" s="897" t="s">
        <v>399</v>
      </c>
      <c r="J2" s="897"/>
      <c r="K2" s="898" t="s">
        <v>18</v>
      </c>
      <c r="L2" s="898"/>
      <c r="M2" s="898"/>
      <c r="N2" s="293"/>
      <c r="O2" s="268"/>
      <c r="P2" s="899" t="s">
        <v>658</v>
      </c>
      <c r="Q2" s="899"/>
      <c r="R2" s="899"/>
      <c r="S2" s="899"/>
      <c r="T2" s="899"/>
      <c r="U2" s="899"/>
      <c r="V2" s="899"/>
      <c r="W2" s="899"/>
      <c r="X2" s="899"/>
      <c r="Y2" s="268"/>
      <c r="Z2"/>
      <c r="AA2"/>
      <c r="AB2"/>
      <c r="AC2"/>
      <c r="AD2"/>
    </row>
    <row r="3" spans="1:30" ht="14.1" customHeight="1" thickBot="1" x14ac:dyDescent="0.2">
      <c r="A3" s="275"/>
      <c r="B3" s="895"/>
      <c r="C3" s="895"/>
      <c r="D3" s="896"/>
      <c r="E3" s="896"/>
      <c r="F3" s="896"/>
      <c r="G3" s="896"/>
      <c r="H3" s="896"/>
      <c r="I3" s="897"/>
      <c r="J3" s="897"/>
      <c r="K3" s="898"/>
      <c r="L3" s="898"/>
      <c r="M3" s="898"/>
      <c r="N3" s="293"/>
      <c r="O3" s="268"/>
      <c r="P3" s="899"/>
      <c r="Q3" s="899"/>
      <c r="R3" s="899"/>
      <c r="S3" s="899"/>
      <c r="T3" s="899"/>
      <c r="U3" s="899"/>
      <c r="V3" s="899"/>
      <c r="W3" s="899"/>
      <c r="X3" s="899"/>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900" t="s">
        <v>475</v>
      </c>
      <c r="Q4" s="900"/>
      <c r="R4" s="903">
        <f>F23</f>
        <v>2</v>
      </c>
      <c r="S4" s="901" t="s">
        <v>566</v>
      </c>
      <c r="T4" s="901"/>
      <c r="U4" s="903">
        <f>ROUNDDOWN((C23)/2,0)</f>
        <v>2</v>
      </c>
      <c r="V4" s="901" t="s">
        <v>567</v>
      </c>
      <c r="W4" s="901"/>
      <c r="X4" s="902">
        <f>ROUNDDOWN((C23)/3,0)</f>
        <v>1</v>
      </c>
      <c r="Y4" s="268"/>
      <c r="Z4"/>
      <c r="AA4"/>
      <c r="AB4"/>
      <c r="AC4"/>
      <c r="AD4"/>
    </row>
    <row r="5" spans="1:30" ht="14.1" customHeight="1" thickBot="1" x14ac:dyDescent="0.2">
      <c r="A5" s="275"/>
      <c r="B5" s="895" t="s">
        <v>576</v>
      </c>
      <c r="C5" s="895"/>
      <c r="D5" s="904">
        <v>0</v>
      </c>
      <c r="E5" s="293"/>
      <c r="F5" s="895" t="s">
        <v>577</v>
      </c>
      <c r="G5" s="895"/>
      <c r="H5" s="905">
        <f>C23</f>
        <v>4</v>
      </c>
      <c r="I5" s="905">
        <f>IF(L2="探索型",ROUNDDOWN(D23/3,0)+D23,D23)</f>
        <v>0</v>
      </c>
      <c r="J5" s="897" t="s">
        <v>578</v>
      </c>
      <c r="K5" s="897"/>
      <c r="L5" s="906" t="s">
        <v>18</v>
      </c>
      <c r="M5" s="906"/>
      <c r="N5" s="293"/>
      <c r="O5" s="269"/>
      <c r="P5" s="900"/>
      <c r="Q5" s="900"/>
      <c r="R5" s="903"/>
      <c r="S5" s="901"/>
      <c r="T5" s="901"/>
      <c r="U5" s="903"/>
      <c r="V5" s="901"/>
      <c r="W5" s="901"/>
      <c r="X5" s="902"/>
      <c r="Y5" s="268"/>
      <c r="Z5"/>
      <c r="AA5"/>
      <c r="AB5"/>
      <c r="AC5"/>
      <c r="AD5"/>
    </row>
    <row r="6" spans="1:30" ht="14.1" customHeight="1" thickBot="1" x14ac:dyDescent="0.2">
      <c r="A6" s="275"/>
      <c r="B6" s="895"/>
      <c r="C6" s="895"/>
      <c r="D6" s="904"/>
      <c r="E6" s="293"/>
      <c r="F6" s="895"/>
      <c r="G6" s="895"/>
      <c r="H6" s="905"/>
      <c r="I6" s="905"/>
      <c r="J6" s="897"/>
      <c r="K6" s="897"/>
      <c r="L6" s="906"/>
      <c r="M6" s="906"/>
      <c r="N6" s="293"/>
      <c r="O6" s="269"/>
      <c r="P6" s="907" t="s">
        <v>1286</v>
      </c>
      <c r="Q6" s="908"/>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93" t="s">
        <v>451</v>
      </c>
      <c r="C8" s="893"/>
      <c r="D8" s="893"/>
      <c r="E8" s="275"/>
      <c r="F8" s="892" t="s">
        <v>579</v>
      </c>
      <c r="G8" s="892"/>
      <c r="H8" s="293"/>
      <c r="I8" s="894" t="s">
        <v>580</v>
      </c>
      <c r="J8" s="894"/>
      <c r="K8" s="894"/>
      <c r="L8" s="894"/>
      <c r="M8" s="894"/>
      <c r="N8" s="293"/>
      <c r="O8" s="268"/>
      <c r="P8" s="914" t="s">
        <v>398</v>
      </c>
      <c r="Q8" s="915"/>
      <c r="R8" s="915"/>
      <c r="S8" s="915"/>
      <c r="T8" s="916"/>
      <c r="U8" s="483" t="s">
        <v>568</v>
      </c>
      <c r="V8" s="484" t="s">
        <v>225</v>
      </c>
      <c r="W8" s="484" t="s">
        <v>569</v>
      </c>
      <c r="X8" s="485" t="s">
        <v>570</v>
      </c>
      <c r="Y8" s="269"/>
      <c r="Z8"/>
      <c r="AA8"/>
      <c r="AB8"/>
      <c r="AC8"/>
      <c r="AD8"/>
    </row>
    <row r="9" spans="1:30" ht="14.1" customHeight="1" thickBot="1" x14ac:dyDescent="0.2">
      <c r="A9" s="275"/>
      <c r="B9" s="284"/>
      <c r="C9" s="287"/>
      <c r="D9" s="288" t="s">
        <v>581</v>
      </c>
      <c r="E9" s="275"/>
      <c r="F9" s="892"/>
      <c r="G9" s="892"/>
      <c r="H9" s="293"/>
      <c r="I9" s="871"/>
      <c r="J9" s="871"/>
      <c r="K9" s="871"/>
      <c r="L9" s="871"/>
      <c r="M9" s="871"/>
      <c r="N9" s="293"/>
      <c r="O9" s="268"/>
      <c r="P9" s="917"/>
      <c r="Q9" s="840"/>
      <c r="R9" s="840"/>
      <c r="S9" s="840"/>
      <c r="T9" s="841"/>
      <c r="U9" s="819" t="s">
        <v>18</v>
      </c>
      <c r="V9" s="821" t="s">
        <v>18</v>
      </c>
      <c r="W9" s="836">
        <f>IF(キャラシート!$I$3="蟹",計算用!AQ12,計算用!AQ6)</f>
        <v>0</v>
      </c>
      <c r="X9" s="889">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871"/>
      <c r="J10" s="871"/>
      <c r="K10" s="871"/>
      <c r="L10" s="871"/>
      <c r="M10" s="871"/>
      <c r="N10" s="293"/>
      <c r="O10" s="269"/>
      <c r="P10" s="918"/>
      <c r="Q10" s="843"/>
      <c r="R10" s="843"/>
      <c r="S10" s="843"/>
      <c r="T10" s="844"/>
      <c r="U10" s="820"/>
      <c r="V10" s="822"/>
      <c r="W10" s="837"/>
      <c r="X10" s="890"/>
      <c r="Y10" s="269"/>
      <c r="Z10"/>
      <c r="AA10"/>
      <c r="AB10"/>
      <c r="AC10"/>
      <c r="AD10"/>
    </row>
    <row r="11" spans="1:30" ht="14.1" customHeight="1" thickBot="1" x14ac:dyDescent="0.2">
      <c r="A11" s="275"/>
      <c r="B11" s="285" t="s">
        <v>557</v>
      </c>
      <c r="C11" s="282">
        <f>D5</f>
        <v>0</v>
      </c>
      <c r="D11" s="50"/>
      <c r="E11" s="275"/>
      <c r="F11" s="271"/>
      <c r="G11" s="267"/>
      <c r="H11" s="293"/>
      <c r="I11" s="871"/>
      <c r="J11" s="871"/>
      <c r="K11" s="871"/>
      <c r="L11" s="871"/>
      <c r="M11" s="871"/>
      <c r="N11" s="293"/>
      <c r="O11" s="268"/>
      <c r="P11" s="922" t="s">
        <v>9</v>
      </c>
      <c r="Q11" s="807"/>
      <c r="R11" s="808"/>
      <c r="S11" s="809" t="s">
        <v>10</v>
      </c>
      <c r="T11" s="807"/>
      <c r="U11" s="808"/>
      <c r="V11" s="809" t="s">
        <v>11</v>
      </c>
      <c r="W11" s="807"/>
      <c r="X11" s="919"/>
      <c r="Y11" s="268"/>
      <c r="Z11"/>
      <c r="AA11"/>
      <c r="AB11"/>
      <c r="AC11"/>
      <c r="AD11"/>
    </row>
    <row r="12" spans="1:30" ht="14.1" customHeight="1" thickBot="1" x14ac:dyDescent="0.2">
      <c r="A12" s="275"/>
      <c r="B12" s="285" t="s">
        <v>484</v>
      </c>
      <c r="C12" s="282">
        <f>D5</f>
        <v>0</v>
      </c>
      <c r="D12" s="50"/>
      <c r="E12" s="275"/>
      <c r="F12" s="271"/>
      <c r="G12" s="267"/>
      <c r="H12" s="293"/>
      <c r="I12" s="871"/>
      <c r="J12" s="871"/>
      <c r="K12" s="871"/>
      <c r="L12" s="871"/>
      <c r="M12" s="871"/>
      <c r="N12" s="293"/>
      <c r="O12" s="269"/>
      <c r="P12" s="920" t="s">
        <v>18</v>
      </c>
      <c r="Q12" s="825" t="s">
        <v>18</v>
      </c>
      <c r="R12" s="825"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871"/>
      <c r="J13" s="871"/>
      <c r="K13" s="871"/>
      <c r="L13" s="871"/>
      <c r="M13" s="871"/>
      <c r="N13" s="293"/>
      <c r="O13" s="268"/>
      <c r="P13" s="921"/>
      <c r="Q13" s="826"/>
      <c r="R13" s="826"/>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871"/>
      <c r="J14" s="871"/>
      <c r="K14" s="871"/>
      <c r="L14" s="871"/>
      <c r="M14" s="871"/>
      <c r="N14" s="293"/>
      <c r="O14" s="269"/>
      <c r="P14" s="909" t="s">
        <v>572</v>
      </c>
      <c r="Q14" s="813"/>
      <c r="R14" s="813"/>
      <c r="S14" s="813"/>
      <c r="T14" s="813"/>
      <c r="U14" s="813"/>
      <c r="V14" s="813"/>
      <c r="W14" s="813"/>
      <c r="X14" s="910"/>
      <c r="Y14" s="269"/>
      <c r="Z14"/>
      <c r="AA14"/>
      <c r="AB14"/>
      <c r="AC14"/>
      <c r="AD14"/>
    </row>
    <row r="15" spans="1:30" ht="14.1" customHeight="1" thickBot="1" x14ac:dyDescent="0.2">
      <c r="A15" s="275"/>
      <c r="B15" s="285" t="s">
        <v>474</v>
      </c>
      <c r="C15" s="282">
        <f>IF(K2="攻撃型",ROUNDDOWN(C23/3,0),0)</f>
        <v>0</v>
      </c>
      <c r="D15" s="50"/>
      <c r="E15" s="275"/>
      <c r="F15" s="271"/>
      <c r="G15" s="267"/>
      <c r="H15" s="293"/>
      <c r="I15" s="871"/>
      <c r="J15" s="871"/>
      <c r="K15" s="871"/>
      <c r="L15" s="871"/>
      <c r="M15" s="871"/>
      <c r="N15" s="293"/>
      <c r="O15" s="268"/>
      <c r="P15" s="923"/>
      <c r="Q15" s="831"/>
      <c r="R15" s="831"/>
      <c r="S15" s="831"/>
      <c r="T15" s="831"/>
      <c r="U15" s="831"/>
      <c r="V15" s="831"/>
      <c r="W15" s="831"/>
      <c r="X15" s="924"/>
      <c r="Y15" s="268"/>
      <c r="Z15"/>
      <c r="AA15"/>
      <c r="AB15"/>
      <c r="AC15"/>
      <c r="AD15"/>
    </row>
    <row r="16" spans="1:30" ht="14.1" customHeight="1" thickBot="1" x14ac:dyDescent="0.2">
      <c r="A16" s="275"/>
      <c r="B16" s="286" t="s">
        <v>395</v>
      </c>
      <c r="C16" s="280">
        <f>D5</f>
        <v>0</v>
      </c>
      <c r="D16" s="51"/>
      <c r="E16" s="275"/>
      <c r="F16" s="273"/>
      <c r="G16" s="274"/>
      <c r="H16" s="293"/>
      <c r="I16" s="871"/>
      <c r="J16" s="871"/>
      <c r="K16" s="871"/>
      <c r="L16" s="871"/>
      <c r="M16" s="871"/>
      <c r="N16" s="293"/>
      <c r="O16" s="269"/>
      <c r="P16" s="925"/>
      <c r="Q16" s="834"/>
      <c r="R16" s="834"/>
      <c r="S16" s="834"/>
      <c r="T16" s="834"/>
      <c r="U16" s="834"/>
      <c r="V16" s="834"/>
      <c r="W16" s="834"/>
      <c r="X16" s="926"/>
      <c r="Y16" s="269"/>
      <c r="Z16"/>
      <c r="AA16"/>
      <c r="AB16"/>
      <c r="AC16"/>
      <c r="AD16"/>
    </row>
    <row r="17" spans="1:30" ht="14.1" customHeight="1" thickBot="1" x14ac:dyDescent="0.2">
      <c r="A17" s="275"/>
      <c r="B17" s="275"/>
      <c r="C17" s="275"/>
      <c r="D17" s="275"/>
      <c r="E17" s="292"/>
      <c r="F17" s="292"/>
      <c r="G17" s="292"/>
      <c r="H17" s="275"/>
      <c r="I17" s="871"/>
      <c r="J17" s="871"/>
      <c r="K17" s="871"/>
      <c r="L17" s="871"/>
      <c r="M17" s="871"/>
      <c r="N17" s="293"/>
      <c r="O17" s="269"/>
      <c r="P17" s="911" t="s">
        <v>573</v>
      </c>
      <c r="Q17" s="912"/>
      <c r="R17" s="912"/>
      <c r="S17" s="912"/>
      <c r="T17" s="912"/>
      <c r="U17" s="912"/>
      <c r="V17" s="912"/>
      <c r="W17" s="912"/>
      <c r="X17" s="913"/>
      <c r="Y17" s="268"/>
      <c r="Z17"/>
      <c r="AA17"/>
      <c r="AB17"/>
      <c r="AC17"/>
      <c r="AD17"/>
    </row>
    <row r="18" spans="1:30" ht="14.1" customHeight="1" thickBot="1" x14ac:dyDescent="0.2">
      <c r="A18" s="275"/>
      <c r="B18" s="875" t="s">
        <v>385</v>
      </c>
      <c r="C18" s="875"/>
      <c r="D18" s="272" t="s">
        <v>583</v>
      </c>
      <c r="E18" s="275"/>
      <c r="F18" s="481" t="s">
        <v>584</v>
      </c>
      <c r="G18" s="482" t="s">
        <v>793</v>
      </c>
      <c r="H18" s="293"/>
      <c r="I18" s="871"/>
      <c r="J18" s="871"/>
      <c r="K18" s="871"/>
      <c r="L18" s="871"/>
      <c r="M18" s="871"/>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871"/>
      <c r="J19" s="871"/>
      <c r="K19" s="871"/>
      <c r="L19" s="871"/>
      <c r="M19" s="871"/>
      <c r="N19" s="293"/>
      <c r="O19" s="269"/>
      <c r="P19" s="914" t="s">
        <v>398</v>
      </c>
      <c r="Q19" s="915"/>
      <c r="R19" s="915"/>
      <c r="S19" s="915"/>
      <c r="T19" s="916"/>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871"/>
      <c r="J20" s="871"/>
      <c r="K20" s="871"/>
      <c r="L20" s="871"/>
      <c r="M20" s="871"/>
      <c r="N20" s="293"/>
      <c r="O20" s="268"/>
      <c r="P20" s="917"/>
      <c r="Q20" s="840"/>
      <c r="R20" s="840"/>
      <c r="S20" s="840"/>
      <c r="T20" s="841"/>
      <c r="U20" s="819" t="s">
        <v>18</v>
      </c>
      <c r="V20" s="821" t="s">
        <v>18</v>
      </c>
      <c r="W20" s="836">
        <f>IF(キャラシート!$I$3="蟹",計算用!AQ24,計算用!AQ18)</f>
        <v>0</v>
      </c>
      <c r="X20" s="889">
        <f>IF(キャラシート!$I$3="蟹",計算用!AR24,計算用!AR18)</f>
        <v>0</v>
      </c>
      <c r="Y20" s="268"/>
      <c r="Z20"/>
      <c r="AA20"/>
      <c r="AB20"/>
      <c r="AC20"/>
      <c r="AD20"/>
    </row>
    <row r="21" spans="1:30" ht="14.1" customHeight="1" thickBot="1" x14ac:dyDescent="0.2">
      <c r="A21" s="292"/>
      <c r="B21" s="879" t="s">
        <v>503</v>
      </c>
      <c r="C21" s="874"/>
      <c r="D21" s="874"/>
      <c r="E21" s="874"/>
      <c r="F21" s="874"/>
      <c r="G21" s="874"/>
      <c r="H21" s="293"/>
      <c r="I21" s="871"/>
      <c r="J21" s="871"/>
      <c r="K21" s="871"/>
      <c r="L21" s="871"/>
      <c r="M21" s="871"/>
      <c r="N21" s="293"/>
      <c r="O21" s="269"/>
      <c r="P21" s="918"/>
      <c r="Q21" s="843"/>
      <c r="R21" s="843"/>
      <c r="S21" s="843"/>
      <c r="T21" s="844"/>
      <c r="U21" s="820"/>
      <c r="V21" s="822"/>
      <c r="W21" s="837"/>
      <c r="X21" s="890"/>
      <c r="Y21" s="269"/>
      <c r="Z21"/>
      <c r="AA21"/>
      <c r="AB21"/>
      <c r="AC21"/>
      <c r="AD21"/>
    </row>
    <row r="22" spans="1:30" ht="14.1" customHeight="1" thickBot="1" x14ac:dyDescent="0.2">
      <c r="A22" s="292"/>
      <c r="B22" s="879"/>
      <c r="C22" s="874"/>
      <c r="D22" s="874"/>
      <c r="E22" s="874"/>
      <c r="F22" s="874"/>
      <c r="G22" s="874"/>
      <c r="H22" s="293"/>
      <c r="I22" s="871"/>
      <c r="J22" s="871"/>
      <c r="K22" s="871"/>
      <c r="L22" s="871"/>
      <c r="M22" s="871"/>
      <c r="N22" s="293"/>
      <c r="O22" s="268"/>
      <c r="P22" s="922" t="s">
        <v>9</v>
      </c>
      <c r="Q22" s="807"/>
      <c r="R22" s="808"/>
      <c r="S22" s="809" t="s">
        <v>10</v>
      </c>
      <c r="T22" s="807"/>
      <c r="U22" s="808"/>
      <c r="V22" s="809" t="s">
        <v>11</v>
      </c>
      <c r="W22" s="807"/>
      <c r="X22" s="919"/>
      <c r="Y22" s="268"/>
      <c r="Z22"/>
      <c r="AA22"/>
      <c r="AB22"/>
      <c r="AC22"/>
      <c r="AD22"/>
    </row>
    <row r="23" spans="1:30" ht="14.1" customHeight="1" thickBot="1" x14ac:dyDescent="0.2">
      <c r="A23" s="292"/>
      <c r="B23" s="289" t="s">
        <v>396</v>
      </c>
      <c r="C23" s="861">
        <f>キャラシート!H25-キャラシート!Y58</f>
        <v>4</v>
      </c>
      <c r="D23" s="861"/>
      <c r="E23" s="290" t="s">
        <v>475</v>
      </c>
      <c r="F23" s="862">
        <f>キャラシート!H27</f>
        <v>2</v>
      </c>
      <c r="G23" s="862"/>
      <c r="H23" s="293"/>
      <c r="I23" s="871"/>
      <c r="J23" s="871"/>
      <c r="K23" s="871"/>
      <c r="L23" s="871"/>
      <c r="M23" s="871"/>
      <c r="N23" s="293"/>
      <c r="O23" s="269"/>
      <c r="P23" s="920" t="s">
        <v>18</v>
      </c>
      <c r="Q23" s="825" t="s">
        <v>18</v>
      </c>
      <c r="R23" s="825"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863" t="s">
        <v>513</v>
      </c>
      <c r="C24" s="863"/>
      <c r="D24" s="863"/>
      <c r="E24" s="863"/>
      <c r="F24" s="863"/>
      <c r="G24" s="863"/>
      <c r="H24" s="293"/>
      <c r="I24" s="871"/>
      <c r="J24" s="871"/>
      <c r="K24" s="871"/>
      <c r="L24" s="871"/>
      <c r="M24" s="871"/>
      <c r="N24" s="293"/>
      <c r="O24" s="268"/>
      <c r="P24" s="921"/>
      <c r="Q24" s="826"/>
      <c r="R24" s="826"/>
      <c r="S24" s="436" t="s">
        <v>18</v>
      </c>
      <c r="T24" s="436" t="s">
        <v>18</v>
      </c>
      <c r="U24" s="436" t="s">
        <v>18</v>
      </c>
      <c r="V24" s="436" t="s">
        <v>18</v>
      </c>
      <c r="W24" s="436" t="s">
        <v>18</v>
      </c>
      <c r="X24" s="437" t="s">
        <v>18</v>
      </c>
      <c r="Y24" s="268"/>
      <c r="Z24"/>
      <c r="AA24"/>
      <c r="AB24"/>
      <c r="AC24"/>
      <c r="AD24"/>
    </row>
    <row r="25" spans="1:30" ht="14.1" customHeight="1" thickBot="1" x14ac:dyDescent="0.2">
      <c r="A25" s="292"/>
      <c r="B25" s="860"/>
      <c r="C25" s="860"/>
      <c r="D25" s="860"/>
      <c r="E25" s="860"/>
      <c r="F25" s="860"/>
      <c r="G25" s="860"/>
      <c r="H25" s="293"/>
      <c r="I25" s="871"/>
      <c r="J25" s="871"/>
      <c r="K25" s="871"/>
      <c r="L25" s="871"/>
      <c r="M25" s="871"/>
      <c r="N25" s="293"/>
      <c r="O25" s="269"/>
      <c r="P25" s="909" t="s">
        <v>572</v>
      </c>
      <c r="Q25" s="813"/>
      <c r="R25" s="813"/>
      <c r="S25" s="813"/>
      <c r="T25" s="813"/>
      <c r="U25" s="813"/>
      <c r="V25" s="813"/>
      <c r="W25" s="813"/>
      <c r="X25" s="910"/>
      <c r="Y25" s="269"/>
      <c r="Z25"/>
      <c r="AA25"/>
      <c r="AB25"/>
      <c r="AC25"/>
      <c r="AD25"/>
    </row>
    <row r="26" spans="1:30" ht="14.1" customHeight="1" thickBot="1" x14ac:dyDescent="0.2">
      <c r="A26" s="292"/>
      <c r="B26" s="860"/>
      <c r="C26" s="860"/>
      <c r="D26" s="860"/>
      <c r="E26" s="860"/>
      <c r="F26" s="860"/>
      <c r="G26" s="860"/>
      <c r="H26" s="293"/>
      <c r="I26" s="871"/>
      <c r="J26" s="871"/>
      <c r="K26" s="871"/>
      <c r="L26" s="871"/>
      <c r="M26" s="871"/>
      <c r="N26" s="293"/>
      <c r="O26" s="268"/>
      <c r="P26" s="923"/>
      <c r="Q26" s="831"/>
      <c r="R26" s="831"/>
      <c r="S26" s="831"/>
      <c r="T26" s="831"/>
      <c r="U26" s="831"/>
      <c r="V26" s="831"/>
      <c r="W26" s="831"/>
      <c r="X26" s="924"/>
      <c r="Y26" s="268"/>
      <c r="Z26"/>
      <c r="AA26"/>
      <c r="AB26"/>
      <c r="AC26"/>
      <c r="AD26"/>
    </row>
    <row r="27" spans="1:30" ht="14.1" customHeight="1" thickBot="1" x14ac:dyDescent="0.2">
      <c r="A27" s="292"/>
      <c r="B27" s="860"/>
      <c r="C27" s="860"/>
      <c r="D27" s="860"/>
      <c r="E27" s="860"/>
      <c r="F27" s="860"/>
      <c r="G27" s="860"/>
      <c r="H27" s="293"/>
      <c r="I27" s="871"/>
      <c r="J27" s="871"/>
      <c r="K27" s="871"/>
      <c r="L27" s="871"/>
      <c r="M27" s="871"/>
      <c r="N27" s="293"/>
      <c r="O27" s="269"/>
      <c r="P27" s="925"/>
      <c r="Q27" s="834"/>
      <c r="R27" s="834"/>
      <c r="S27" s="834"/>
      <c r="T27" s="834"/>
      <c r="U27" s="834"/>
      <c r="V27" s="834"/>
      <c r="W27" s="834"/>
      <c r="X27" s="926"/>
      <c r="Y27" s="269"/>
      <c r="Z27"/>
      <c r="AA27"/>
      <c r="AB27"/>
      <c r="AC27"/>
      <c r="AD27"/>
    </row>
    <row r="28" spans="1:30" ht="14.1" customHeight="1" thickBot="1" x14ac:dyDescent="0.2">
      <c r="A28" s="292"/>
      <c r="B28" s="860"/>
      <c r="C28" s="860"/>
      <c r="D28" s="860"/>
      <c r="E28" s="860"/>
      <c r="F28" s="860"/>
      <c r="G28" s="860"/>
      <c r="H28" s="293"/>
      <c r="I28" s="871"/>
      <c r="J28" s="871"/>
      <c r="K28" s="871"/>
      <c r="L28" s="871"/>
      <c r="M28" s="871"/>
      <c r="N28" s="293"/>
      <c r="O28" s="268"/>
      <c r="P28" s="911" t="s">
        <v>573</v>
      </c>
      <c r="Q28" s="912"/>
      <c r="R28" s="912"/>
      <c r="S28" s="912"/>
      <c r="T28" s="912"/>
      <c r="U28" s="912"/>
      <c r="V28" s="912"/>
      <c r="W28" s="912"/>
      <c r="X28" s="913"/>
      <c r="Y28" s="268"/>
      <c r="Z28"/>
      <c r="AA28"/>
      <c r="AB28"/>
      <c r="AC28"/>
      <c r="AD28"/>
    </row>
    <row r="29" spans="1:30" ht="14.1" customHeight="1" thickBot="1" x14ac:dyDescent="0.2">
      <c r="A29" s="292"/>
      <c r="B29" s="860"/>
      <c r="C29" s="860"/>
      <c r="D29" s="860"/>
      <c r="E29" s="860"/>
      <c r="F29" s="860"/>
      <c r="G29" s="860"/>
      <c r="H29" s="293"/>
      <c r="I29" s="871"/>
      <c r="J29" s="871"/>
      <c r="K29" s="871"/>
      <c r="L29" s="871"/>
      <c r="M29" s="871"/>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14" t="s">
        <v>398</v>
      </c>
      <c r="Q30" s="915"/>
      <c r="R30" s="915"/>
      <c r="S30" s="915"/>
      <c r="T30" s="916"/>
      <c r="U30" s="483" t="s">
        <v>568</v>
      </c>
      <c r="V30" s="484" t="s">
        <v>225</v>
      </c>
      <c r="W30" s="484" t="s">
        <v>569</v>
      </c>
      <c r="X30" s="485" t="s">
        <v>570</v>
      </c>
      <c r="Y30" s="269"/>
      <c r="Z30"/>
      <c r="AA30"/>
      <c r="AB30"/>
      <c r="AC30"/>
      <c r="AD30"/>
    </row>
    <row r="31" spans="1:30" ht="14.1" customHeight="1" x14ac:dyDescent="0.15">
      <c r="A31" s="292"/>
      <c r="B31" s="883" t="s">
        <v>585</v>
      </c>
      <c r="C31" s="883"/>
      <c r="D31" s="883"/>
      <c r="E31" s="883"/>
      <c r="F31" s="883"/>
      <c r="G31" s="883"/>
      <c r="H31" s="883"/>
      <c r="I31" s="883"/>
      <c r="J31" s="883"/>
      <c r="K31" s="883"/>
      <c r="L31" s="883"/>
      <c r="M31" s="883"/>
      <c r="N31" s="293"/>
      <c r="O31" s="269"/>
      <c r="P31" s="917"/>
      <c r="Q31" s="840"/>
      <c r="R31" s="840"/>
      <c r="S31" s="840"/>
      <c r="T31" s="841"/>
      <c r="U31" s="819" t="s">
        <v>18</v>
      </c>
      <c r="V31" s="821" t="s">
        <v>18</v>
      </c>
      <c r="W31" s="836">
        <f>IF(キャラシート!$I$3="蟹",計算用!AQ36,計算用!AQ30)</f>
        <v>0</v>
      </c>
      <c r="X31" s="889">
        <f>IF(キャラシート!$I$3="蟹",計算用!AR36,計算用!AR30)</f>
        <v>0</v>
      </c>
      <c r="Y31" s="268"/>
      <c r="Z31"/>
      <c r="AA31"/>
      <c r="AB31"/>
      <c r="AC31"/>
      <c r="AD31"/>
    </row>
    <row r="32" spans="1:30" ht="14.1" customHeight="1" thickBot="1" x14ac:dyDescent="0.2">
      <c r="A32" s="292"/>
      <c r="B32" s="860"/>
      <c r="C32" s="860"/>
      <c r="D32" s="860"/>
      <c r="E32" s="860"/>
      <c r="F32" s="860"/>
      <c r="G32" s="860"/>
      <c r="H32" s="860"/>
      <c r="I32" s="860"/>
      <c r="J32" s="860"/>
      <c r="K32" s="860"/>
      <c r="L32" s="860"/>
      <c r="M32" s="860"/>
      <c r="N32" s="293"/>
      <c r="O32" s="268"/>
      <c r="P32" s="918"/>
      <c r="Q32" s="843"/>
      <c r="R32" s="843"/>
      <c r="S32" s="843"/>
      <c r="T32" s="844"/>
      <c r="U32" s="820"/>
      <c r="V32" s="822"/>
      <c r="W32" s="837"/>
      <c r="X32" s="890"/>
      <c r="Y32" s="269"/>
      <c r="Z32"/>
      <c r="AA32"/>
      <c r="AB32"/>
      <c r="AC32"/>
      <c r="AD32"/>
    </row>
    <row r="33" spans="1:30" ht="14.1" customHeight="1" thickBot="1" x14ac:dyDescent="0.2">
      <c r="A33" s="292"/>
      <c r="B33" s="860"/>
      <c r="C33" s="860"/>
      <c r="D33" s="860"/>
      <c r="E33" s="860"/>
      <c r="F33" s="860"/>
      <c r="G33" s="860"/>
      <c r="H33" s="860"/>
      <c r="I33" s="860"/>
      <c r="J33" s="860"/>
      <c r="K33" s="860"/>
      <c r="L33" s="860"/>
      <c r="M33" s="860"/>
      <c r="N33" s="293"/>
      <c r="O33" s="269"/>
      <c r="P33" s="922" t="s">
        <v>9</v>
      </c>
      <c r="Q33" s="807"/>
      <c r="R33" s="808"/>
      <c r="S33" s="809" t="s">
        <v>10</v>
      </c>
      <c r="T33" s="807"/>
      <c r="U33" s="808"/>
      <c r="V33" s="809" t="s">
        <v>11</v>
      </c>
      <c r="W33" s="807"/>
      <c r="X33" s="919"/>
      <c r="Y33" s="268"/>
      <c r="Z33"/>
      <c r="AA33"/>
      <c r="AB33"/>
      <c r="AC33"/>
      <c r="AD33"/>
    </row>
    <row r="34" spans="1:30" ht="14.1" customHeight="1" thickBot="1" x14ac:dyDescent="0.2">
      <c r="A34" s="292"/>
      <c r="B34" s="860"/>
      <c r="C34" s="860"/>
      <c r="D34" s="860"/>
      <c r="E34" s="860"/>
      <c r="F34" s="860"/>
      <c r="G34" s="860"/>
      <c r="H34" s="860"/>
      <c r="I34" s="860"/>
      <c r="J34" s="860"/>
      <c r="K34" s="860"/>
      <c r="L34" s="860"/>
      <c r="M34" s="860"/>
      <c r="N34" s="293"/>
      <c r="O34" s="268"/>
      <c r="P34" s="920" t="s">
        <v>18</v>
      </c>
      <c r="Q34" s="825" t="s">
        <v>18</v>
      </c>
      <c r="R34" s="825"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860"/>
      <c r="C35" s="860"/>
      <c r="D35" s="860"/>
      <c r="E35" s="860"/>
      <c r="F35" s="860"/>
      <c r="G35" s="860"/>
      <c r="H35" s="860"/>
      <c r="I35" s="860"/>
      <c r="J35" s="860"/>
      <c r="K35" s="860"/>
      <c r="L35" s="860"/>
      <c r="M35" s="860"/>
      <c r="N35" s="292"/>
      <c r="O35" s="269"/>
      <c r="P35" s="921"/>
      <c r="Q35" s="826"/>
      <c r="R35" s="826"/>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09" t="s">
        <v>572</v>
      </c>
      <c r="Q36" s="813"/>
      <c r="R36" s="813"/>
      <c r="S36" s="813"/>
      <c r="T36" s="813"/>
      <c r="U36" s="813"/>
      <c r="V36" s="813"/>
      <c r="W36" s="813"/>
      <c r="X36" s="910"/>
      <c r="Y36" s="269"/>
      <c r="Z36" s="1"/>
      <c r="AA36" s="1"/>
      <c r="AB36" s="1"/>
      <c r="AC36" s="1"/>
      <c r="AD36" s="1"/>
    </row>
    <row r="37" spans="1:30" ht="14.1" customHeight="1" x14ac:dyDescent="0.15">
      <c r="A37"/>
      <c r="B37"/>
      <c r="C37"/>
      <c r="D37"/>
      <c r="E37"/>
      <c r="F37"/>
      <c r="G37"/>
      <c r="H37"/>
      <c r="I37"/>
      <c r="J37"/>
      <c r="K37"/>
      <c r="L37"/>
      <c r="M37"/>
      <c r="N37"/>
      <c r="O37" s="269"/>
      <c r="P37" s="923"/>
      <c r="Q37" s="831"/>
      <c r="R37" s="831"/>
      <c r="S37" s="831"/>
      <c r="T37" s="831"/>
      <c r="U37" s="831"/>
      <c r="V37" s="831"/>
      <c r="W37" s="831"/>
      <c r="X37" s="924"/>
      <c r="Y37" s="268"/>
      <c r="Z37" s="1"/>
      <c r="AA37" s="1"/>
      <c r="AB37" s="1"/>
      <c r="AC37" s="1"/>
      <c r="AD37" s="1"/>
    </row>
    <row r="38" spans="1:30" ht="14.1" customHeight="1" x14ac:dyDescent="0.15">
      <c r="A38"/>
      <c r="B38" s="294"/>
      <c r="C38" s="52"/>
      <c r="D38" s="294"/>
      <c r="E38" s="294"/>
      <c r="F38" s="294"/>
      <c r="G38" s="52"/>
      <c r="H38" s="52"/>
      <c r="I38"/>
      <c r="J38"/>
      <c r="K38"/>
      <c r="L38"/>
      <c r="M38"/>
      <c r="N38"/>
      <c r="O38" s="268"/>
      <c r="P38" s="925"/>
      <c r="Q38" s="834"/>
      <c r="R38" s="834"/>
      <c r="S38" s="834"/>
      <c r="T38" s="834"/>
      <c r="U38" s="834"/>
      <c r="V38" s="834"/>
      <c r="W38" s="834"/>
      <c r="X38" s="926"/>
      <c r="Y38" s="269"/>
      <c r="Z38" s="1"/>
      <c r="AA38" s="1"/>
      <c r="AB38" s="1"/>
      <c r="AC38" s="1"/>
      <c r="AD38" s="1"/>
    </row>
    <row r="39" spans="1:30" ht="14.1" customHeight="1" thickBot="1" x14ac:dyDescent="0.25">
      <c r="A39"/>
      <c r="B39" s="295"/>
      <c r="C39" s="295"/>
      <c r="D39" s="296"/>
      <c r="E39" s="296"/>
      <c r="F39" s="297"/>
      <c r="G39" s="298"/>
      <c r="H39" s="299"/>
      <c r="I39"/>
      <c r="J39"/>
      <c r="K39"/>
      <c r="L39"/>
      <c r="M39"/>
      <c r="N39"/>
      <c r="O39" s="269"/>
      <c r="P39" s="911" t="s">
        <v>573</v>
      </c>
      <c r="Q39" s="912"/>
      <c r="R39" s="912"/>
      <c r="S39" s="912"/>
      <c r="T39" s="912"/>
      <c r="U39" s="912"/>
      <c r="V39" s="912"/>
      <c r="W39" s="912"/>
      <c r="X39" s="913"/>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14" t="s">
        <v>398</v>
      </c>
      <c r="Q41" s="915"/>
      <c r="R41" s="915"/>
      <c r="S41" s="915"/>
      <c r="T41" s="916"/>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17"/>
      <c r="Q42" s="840"/>
      <c r="R42" s="840"/>
      <c r="S42" s="840"/>
      <c r="T42" s="841"/>
      <c r="U42" s="819" t="s">
        <v>18</v>
      </c>
      <c r="V42" s="821" t="s">
        <v>18</v>
      </c>
      <c r="W42" s="836">
        <f>IF(キャラシート!$I$3="蟹",計算用!AQ48,計算用!AQ42)</f>
        <v>0</v>
      </c>
      <c r="X42" s="889">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8"/>
      <c r="Q43" s="843"/>
      <c r="R43" s="843"/>
      <c r="S43" s="843"/>
      <c r="T43" s="844"/>
      <c r="U43" s="820"/>
      <c r="V43" s="822"/>
      <c r="W43" s="837"/>
      <c r="X43" s="890"/>
      <c r="Y43" s="269"/>
      <c r="Z43" s="1"/>
      <c r="AA43" s="1"/>
      <c r="AB43" s="1"/>
      <c r="AC43" s="1"/>
      <c r="AD43" s="1"/>
    </row>
    <row r="44" spans="1:30" ht="14.1" customHeight="1" x14ac:dyDescent="0.15">
      <c r="A44"/>
      <c r="B44"/>
      <c r="C44"/>
      <c r="D44"/>
      <c r="E44"/>
      <c r="F44"/>
      <c r="G44"/>
      <c r="H44"/>
      <c r="I44"/>
      <c r="J44"/>
      <c r="K44"/>
      <c r="L44"/>
      <c r="M44"/>
      <c r="N44"/>
      <c r="O44" s="268"/>
      <c r="P44" s="922" t="s">
        <v>9</v>
      </c>
      <c r="Q44" s="807"/>
      <c r="R44" s="808"/>
      <c r="S44" s="809" t="s">
        <v>10</v>
      </c>
      <c r="T44" s="807"/>
      <c r="U44" s="808"/>
      <c r="V44" s="809" t="s">
        <v>11</v>
      </c>
      <c r="W44" s="807"/>
      <c r="X44" s="919"/>
      <c r="Y44" s="268"/>
      <c r="Z44" s="1"/>
      <c r="AA44" s="1"/>
      <c r="AB44" s="1"/>
      <c r="AC44" s="1"/>
      <c r="AD44" s="1"/>
    </row>
    <row r="45" spans="1:30" ht="14.1" customHeight="1" x14ac:dyDescent="0.15">
      <c r="A45"/>
      <c r="B45"/>
      <c r="C45"/>
      <c r="D45"/>
      <c r="E45"/>
      <c r="F45"/>
      <c r="G45"/>
      <c r="H45"/>
      <c r="I45"/>
      <c r="J45"/>
      <c r="K45"/>
      <c r="L45"/>
      <c r="M45"/>
      <c r="N45"/>
      <c r="O45" s="269"/>
      <c r="P45" s="920" t="s">
        <v>18</v>
      </c>
      <c r="Q45" s="825" t="s">
        <v>18</v>
      </c>
      <c r="R45" s="825"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21"/>
      <c r="Q46" s="826"/>
      <c r="R46" s="826"/>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09" t="s">
        <v>572</v>
      </c>
      <c r="Q47" s="813"/>
      <c r="R47" s="813"/>
      <c r="S47" s="813"/>
      <c r="T47" s="813"/>
      <c r="U47" s="813"/>
      <c r="V47" s="813"/>
      <c r="W47" s="813"/>
      <c r="X47" s="910"/>
      <c r="Y47" s="269"/>
      <c r="Z47" s="1"/>
      <c r="AA47" s="1"/>
      <c r="AB47" s="1"/>
      <c r="AC47" s="1"/>
      <c r="AD47" s="1"/>
    </row>
    <row r="48" spans="1:30" ht="14.1" customHeight="1" x14ac:dyDescent="0.15">
      <c r="A48"/>
      <c r="B48"/>
      <c r="C48"/>
      <c r="D48"/>
      <c r="E48"/>
      <c r="F48"/>
      <c r="G48"/>
      <c r="H48"/>
      <c r="I48"/>
      <c r="J48"/>
      <c r="K48"/>
      <c r="L48"/>
      <c r="M48"/>
      <c r="N48"/>
      <c r="O48" s="268"/>
      <c r="P48" s="923"/>
      <c r="Q48" s="831"/>
      <c r="R48" s="831"/>
      <c r="S48" s="831"/>
      <c r="T48" s="831"/>
      <c r="U48" s="831"/>
      <c r="V48" s="831"/>
      <c r="W48" s="831"/>
      <c r="X48" s="924"/>
      <c r="Y48" s="268"/>
      <c r="Z48" s="1"/>
      <c r="AA48" s="1"/>
      <c r="AB48" s="1"/>
      <c r="AC48" s="1"/>
      <c r="AD48" s="1"/>
    </row>
    <row r="49" spans="1:30" ht="14.1" customHeight="1" x14ac:dyDescent="0.15">
      <c r="A49"/>
      <c r="B49"/>
      <c r="C49"/>
      <c r="D49"/>
      <c r="E49"/>
      <c r="F49"/>
      <c r="G49"/>
      <c r="H49"/>
      <c r="I49"/>
      <c r="J49"/>
      <c r="K49"/>
      <c r="L49"/>
      <c r="M49"/>
      <c r="N49"/>
      <c r="O49" s="269"/>
      <c r="P49" s="925"/>
      <c r="Q49" s="834"/>
      <c r="R49" s="834"/>
      <c r="S49" s="834"/>
      <c r="T49" s="834"/>
      <c r="U49" s="834"/>
      <c r="V49" s="834"/>
      <c r="W49" s="834"/>
      <c r="X49" s="926"/>
      <c r="Y49" s="269"/>
      <c r="Z49" s="1"/>
      <c r="AA49" s="1"/>
      <c r="AB49" s="1"/>
      <c r="AC49" s="1"/>
      <c r="AD49" s="1"/>
    </row>
    <row r="50" spans="1:30" ht="14.1" customHeight="1" thickBot="1" x14ac:dyDescent="0.2">
      <c r="A50"/>
      <c r="B50"/>
      <c r="C50"/>
      <c r="D50"/>
      <c r="E50"/>
      <c r="F50"/>
      <c r="G50"/>
      <c r="H50"/>
      <c r="I50"/>
      <c r="J50"/>
      <c r="K50"/>
      <c r="L50"/>
      <c r="M50"/>
      <c r="N50"/>
      <c r="O50" s="268"/>
      <c r="P50" s="911" t="s">
        <v>573</v>
      </c>
      <c r="Q50" s="912"/>
      <c r="R50" s="912"/>
      <c r="S50" s="912"/>
      <c r="T50" s="912"/>
      <c r="U50" s="912"/>
      <c r="V50" s="912"/>
      <c r="W50" s="912"/>
      <c r="X50" s="913"/>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14" t="s">
        <v>398</v>
      </c>
      <c r="Q52" s="915"/>
      <c r="R52" s="915"/>
      <c r="S52" s="915"/>
      <c r="T52" s="916"/>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17"/>
      <c r="Q53" s="840"/>
      <c r="R53" s="840"/>
      <c r="S53" s="840"/>
      <c r="T53" s="841"/>
      <c r="U53" s="819" t="s">
        <v>18</v>
      </c>
      <c r="V53" s="821" t="s">
        <v>18</v>
      </c>
      <c r="W53" s="836">
        <f>IF(キャラシート!$I$3="蟹",計算用!AQ60,計算用!AQ54)</f>
        <v>0</v>
      </c>
      <c r="X53" s="889">
        <f>IF(キャラシート!$I$3="蟹",計算用!AR60,計算用!AR54)</f>
        <v>0</v>
      </c>
      <c r="Y53" s="268"/>
      <c r="Z53" s="1"/>
      <c r="AA53" s="1"/>
    </row>
    <row r="54" spans="1:30" ht="14.1" customHeight="1" x14ac:dyDescent="0.15">
      <c r="A54"/>
      <c r="B54"/>
      <c r="C54"/>
      <c r="D54"/>
      <c r="E54"/>
      <c r="F54"/>
      <c r="G54"/>
      <c r="H54"/>
      <c r="I54"/>
      <c r="J54"/>
      <c r="K54"/>
      <c r="L54"/>
      <c r="M54"/>
      <c r="N54"/>
      <c r="O54" s="268"/>
      <c r="P54" s="918"/>
      <c r="Q54" s="843"/>
      <c r="R54" s="843"/>
      <c r="S54" s="843"/>
      <c r="T54" s="844"/>
      <c r="U54" s="820"/>
      <c r="V54" s="822"/>
      <c r="W54" s="837"/>
      <c r="X54" s="890"/>
      <c r="Y54" s="269"/>
      <c r="Z54" s="1"/>
      <c r="AA54" s="1"/>
    </row>
    <row r="55" spans="1:30" ht="14.1" customHeight="1" x14ac:dyDescent="0.15">
      <c r="A55"/>
      <c r="B55"/>
      <c r="C55"/>
      <c r="D55"/>
      <c r="E55"/>
      <c r="F55"/>
      <c r="G55"/>
      <c r="H55"/>
      <c r="I55"/>
      <c r="J55"/>
      <c r="K55"/>
      <c r="L55"/>
      <c r="M55"/>
      <c r="N55"/>
      <c r="O55" s="269"/>
      <c r="P55" s="922" t="s">
        <v>9</v>
      </c>
      <c r="Q55" s="807"/>
      <c r="R55" s="808"/>
      <c r="S55" s="809" t="s">
        <v>10</v>
      </c>
      <c r="T55" s="807"/>
      <c r="U55" s="808"/>
      <c r="V55" s="809" t="s">
        <v>11</v>
      </c>
      <c r="W55" s="807"/>
      <c r="X55" s="919"/>
      <c r="Y55" s="268"/>
      <c r="Z55" s="1"/>
      <c r="AA55" s="1"/>
    </row>
    <row r="56" spans="1:30" ht="14.1" customHeight="1" x14ac:dyDescent="0.15">
      <c r="A56"/>
      <c r="B56"/>
      <c r="C56"/>
      <c r="D56"/>
      <c r="E56"/>
      <c r="F56"/>
      <c r="G56"/>
      <c r="H56"/>
      <c r="I56"/>
      <c r="J56"/>
      <c r="K56"/>
      <c r="L56"/>
      <c r="M56"/>
      <c r="N56"/>
      <c r="O56" s="268"/>
      <c r="P56" s="920" t="s">
        <v>18</v>
      </c>
      <c r="Q56" s="825" t="s">
        <v>18</v>
      </c>
      <c r="R56" s="825"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21"/>
      <c r="Q57" s="826"/>
      <c r="R57" s="826"/>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09" t="s">
        <v>572</v>
      </c>
      <c r="Q58" s="813"/>
      <c r="R58" s="813"/>
      <c r="S58" s="813"/>
      <c r="T58" s="813"/>
      <c r="U58" s="813"/>
      <c r="V58" s="813"/>
      <c r="W58" s="813"/>
      <c r="X58" s="910"/>
      <c r="Y58" s="269"/>
      <c r="Z58" s="1"/>
      <c r="AA58" s="1"/>
    </row>
    <row r="59" spans="1:30" ht="14.1" customHeight="1" x14ac:dyDescent="0.15">
      <c r="A59"/>
      <c r="B59"/>
      <c r="C59"/>
      <c r="D59"/>
      <c r="E59"/>
      <c r="F59"/>
      <c r="G59"/>
      <c r="H59"/>
      <c r="I59"/>
      <c r="J59"/>
      <c r="K59"/>
      <c r="L59"/>
      <c r="M59"/>
      <c r="N59"/>
      <c r="O59" s="269"/>
      <c r="P59" s="923"/>
      <c r="Q59" s="831"/>
      <c r="R59" s="831"/>
      <c r="S59" s="831"/>
      <c r="T59" s="831"/>
      <c r="U59" s="831"/>
      <c r="V59" s="831"/>
      <c r="W59" s="831"/>
      <c r="X59" s="924"/>
      <c r="Y59" s="268"/>
      <c r="Z59" s="1"/>
      <c r="AA59" s="1"/>
    </row>
    <row r="60" spans="1:30" ht="14.1" customHeight="1" x14ac:dyDescent="0.15">
      <c r="A60"/>
      <c r="B60"/>
      <c r="C60"/>
      <c r="D60"/>
      <c r="E60"/>
      <c r="F60"/>
      <c r="G60"/>
      <c r="H60"/>
      <c r="I60"/>
      <c r="J60"/>
      <c r="K60"/>
      <c r="L60"/>
      <c r="M60"/>
      <c r="N60"/>
      <c r="O60" s="268"/>
      <c r="P60" s="925"/>
      <c r="Q60" s="834"/>
      <c r="R60" s="834"/>
      <c r="S60" s="834"/>
      <c r="T60" s="834"/>
      <c r="U60" s="834"/>
      <c r="V60" s="834"/>
      <c r="W60" s="834"/>
      <c r="X60" s="926"/>
      <c r="Y60" s="269"/>
      <c r="Z60" s="1"/>
      <c r="AA60" s="1"/>
    </row>
    <row r="61" spans="1:30" ht="14.1" customHeight="1" thickBot="1" x14ac:dyDescent="0.2">
      <c r="A61"/>
      <c r="B61"/>
      <c r="C61"/>
      <c r="D61"/>
      <c r="E61"/>
      <c r="F61"/>
      <c r="G61"/>
      <c r="H61"/>
      <c r="I61"/>
      <c r="J61"/>
      <c r="K61"/>
      <c r="L61"/>
      <c r="M61"/>
      <c r="N61"/>
      <c r="O61" s="269"/>
      <c r="P61" s="911" t="s">
        <v>573</v>
      </c>
      <c r="Q61" s="912"/>
      <c r="R61" s="912"/>
      <c r="S61" s="912"/>
      <c r="T61" s="912"/>
      <c r="U61" s="912"/>
      <c r="V61" s="912"/>
      <c r="W61" s="912"/>
      <c r="X61" s="913"/>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opLeftCell="A13" zoomScaleNormal="100" workbookViewId="0">
      <pane xSplit="12" topLeftCell="M1" activePane="topRight" state="frozen"/>
      <selection pane="topRight" activeCell="I18" sqref="I18:J18"/>
    </sheetView>
  </sheetViews>
  <sheetFormatPr defaultColWidth="6.554687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93" t="s">
        <v>591</v>
      </c>
      <c r="G7" s="994"/>
      <c r="H7" s="994"/>
      <c r="I7" s="994"/>
      <c r="J7" s="994"/>
      <c r="K7" s="995"/>
    </row>
    <row r="8" spans="1:254" ht="14.1" customHeight="1" thickBot="1" x14ac:dyDescent="0.2">
      <c r="A8" s="3"/>
      <c r="B8" s="2" t="s">
        <v>409</v>
      </c>
      <c r="F8" s="984"/>
      <c r="G8" s="985"/>
      <c r="H8" s="985"/>
      <c r="I8" s="985"/>
      <c r="J8" s="985"/>
      <c r="K8" s="986"/>
    </row>
    <row r="9" spans="1:254" s="82" customFormat="1" ht="14.1" customHeight="1" thickBot="1" x14ac:dyDescent="0.2">
      <c r="A9"/>
      <c r="B9"/>
      <c r="C9" s="300"/>
      <c r="D9" s="300"/>
      <c r="E9" s="300"/>
      <c r="F9" s="987"/>
      <c r="G9" s="988"/>
      <c r="H9" s="988"/>
      <c r="I9" s="988"/>
      <c r="J9" s="988"/>
      <c r="K9" s="989"/>
      <c r="L9" s="81"/>
      <c r="M9" s="996" t="s">
        <v>592</v>
      </c>
      <c r="N9" s="981" t="s">
        <v>593</v>
      </c>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c r="BT9" s="981"/>
      <c r="BU9" s="981"/>
      <c r="BV9" s="981"/>
      <c r="BW9" s="981"/>
      <c r="BX9" s="981"/>
      <c r="BY9" s="981"/>
      <c r="BZ9" s="981"/>
      <c r="CA9" s="981"/>
      <c r="CB9" s="981"/>
      <c r="CC9" s="981"/>
      <c r="CD9" s="981"/>
      <c r="CE9" s="981"/>
      <c r="CF9" s="981"/>
      <c r="CG9" s="981"/>
      <c r="CH9" s="981"/>
      <c r="CI9" s="981"/>
      <c r="CJ9" s="981"/>
      <c r="CK9" s="981"/>
      <c r="CL9" s="981"/>
      <c r="CM9" s="981"/>
      <c r="CN9" s="981"/>
      <c r="CO9" s="981"/>
      <c r="CP9" s="981"/>
      <c r="CQ9" s="981"/>
      <c r="CR9" s="981"/>
      <c r="CS9" s="981"/>
      <c r="CT9" s="981"/>
      <c r="CU9" s="981"/>
      <c r="CV9" s="981"/>
      <c r="CW9" s="981"/>
      <c r="CX9" s="981"/>
      <c r="CY9" s="981"/>
      <c r="CZ9" s="981"/>
      <c r="DA9" s="981"/>
      <c r="DB9" s="981"/>
      <c r="DC9" s="981"/>
      <c r="DD9" s="981"/>
      <c r="DE9" s="981"/>
      <c r="DF9" s="981"/>
      <c r="DG9" s="981"/>
      <c r="DH9" s="981"/>
      <c r="DI9" s="981"/>
      <c r="DJ9" s="981"/>
      <c r="DK9" s="981"/>
      <c r="DL9" s="981"/>
      <c r="DM9" s="981"/>
      <c r="DN9" s="981"/>
      <c r="DO9" s="981"/>
      <c r="DP9" s="981"/>
      <c r="DQ9" s="981"/>
      <c r="DR9" s="981"/>
      <c r="DS9" s="981"/>
      <c r="DT9" s="981"/>
      <c r="DU9" s="981"/>
      <c r="DV9" s="981"/>
      <c r="DW9" s="981"/>
      <c r="DX9" s="981"/>
      <c r="DY9" s="981"/>
      <c r="DZ9" s="981"/>
      <c r="EA9" s="981"/>
      <c r="EB9" s="981"/>
      <c r="EC9" s="981"/>
      <c r="ED9" s="981"/>
      <c r="EE9" s="981"/>
      <c r="EF9" s="981"/>
      <c r="EG9" s="981"/>
      <c r="EH9" s="981"/>
      <c r="EI9" s="981"/>
      <c r="EJ9" s="981"/>
      <c r="EK9" s="981"/>
      <c r="EL9" s="981"/>
      <c r="EM9" s="981"/>
      <c r="EN9" s="981"/>
      <c r="EO9" s="981"/>
      <c r="EP9" s="981"/>
      <c r="EQ9" s="981"/>
      <c r="ER9" s="981"/>
      <c r="ES9" s="981"/>
      <c r="ET9" s="981"/>
      <c r="EU9" s="981"/>
      <c r="EV9" s="981"/>
      <c r="EW9" s="981"/>
      <c r="EX9" s="981"/>
      <c r="EY9" s="981"/>
      <c r="EZ9" s="981"/>
      <c r="FA9" s="981"/>
      <c r="FB9" s="981"/>
      <c r="FC9" s="981"/>
      <c r="FD9" s="981"/>
      <c r="FE9" s="981"/>
      <c r="FF9" s="981"/>
      <c r="FG9" s="981"/>
      <c r="FH9" s="981"/>
      <c r="FI9" s="981"/>
      <c r="FJ9" s="981"/>
      <c r="FK9" s="981"/>
      <c r="FL9" s="981"/>
      <c r="FM9" s="981"/>
      <c r="FN9" s="981"/>
      <c r="FO9" s="981"/>
      <c r="FP9" s="981"/>
      <c r="FQ9" s="981"/>
      <c r="FR9" s="981"/>
      <c r="FS9" s="981"/>
      <c r="FT9" s="981"/>
      <c r="FU9" s="981"/>
      <c r="FV9" s="981"/>
      <c r="FW9" s="981"/>
      <c r="FX9" s="981"/>
      <c r="FY9" s="981"/>
      <c r="FZ9" s="981"/>
      <c r="GA9" s="981"/>
      <c r="GB9" s="981"/>
      <c r="GC9" s="981"/>
      <c r="GD9" s="981"/>
      <c r="GE9" s="981"/>
      <c r="GF9" s="981"/>
      <c r="GG9" s="981"/>
      <c r="GH9" s="981"/>
      <c r="GI9" s="981"/>
      <c r="GJ9" s="981"/>
      <c r="GK9" s="981"/>
      <c r="GL9" s="981"/>
      <c r="GM9" s="981"/>
      <c r="GN9" s="981"/>
      <c r="GO9" s="981"/>
      <c r="GP9" s="981"/>
      <c r="GQ9" s="981"/>
      <c r="GR9" s="981"/>
      <c r="GS9" s="981"/>
      <c r="GT9" s="981"/>
      <c r="GU9" s="981"/>
      <c r="GV9" s="981"/>
      <c r="GW9" s="981"/>
      <c r="GX9" s="981"/>
      <c r="GY9" s="981"/>
      <c r="GZ9" s="981"/>
      <c r="HA9" s="981"/>
      <c r="HB9" s="981"/>
      <c r="HC9" s="981"/>
      <c r="HD9" s="981"/>
      <c r="HE9" s="981"/>
      <c r="HF9" s="981"/>
      <c r="HG9" s="981"/>
      <c r="HH9" s="981"/>
      <c r="HI9" s="981"/>
      <c r="HJ9" s="981"/>
      <c r="HK9" s="981"/>
      <c r="HL9" s="981"/>
      <c r="HM9" s="981"/>
      <c r="HN9" s="981"/>
      <c r="HO9" s="981"/>
      <c r="HP9" s="981"/>
      <c r="HQ9" s="981"/>
      <c r="HR9" s="981"/>
      <c r="HS9" s="981"/>
      <c r="HT9" s="981"/>
      <c r="HU9" s="981"/>
      <c r="HV9" s="981"/>
      <c r="HW9" s="981"/>
      <c r="HX9" s="981"/>
      <c r="HY9" s="981"/>
      <c r="HZ9" s="981"/>
      <c r="IA9" s="981"/>
      <c r="IB9" s="981"/>
      <c r="IC9" s="981"/>
      <c r="ID9" s="981"/>
      <c r="IE9" s="981"/>
      <c r="IF9" s="981"/>
      <c r="IG9" s="981"/>
      <c r="IH9" s="981"/>
      <c r="II9" s="981"/>
      <c r="IJ9" s="981"/>
      <c r="IK9" s="981"/>
      <c r="IL9" s="982"/>
      <c r="IM9"/>
      <c r="IN9"/>
      <c r="IO9"/>
      <c r="IP9"/>
      <c r="IQ9"/>
      <c r="IR9"/>
      <c r="IS9"/>
      <c r="IT9"/>
    </row>
    <row r="10" spans="1:254" s="82" customFormat="1" ht="14.1" customHeight="1" thickBot="1" x14ac:dyDescent="0.2">
      <c r="A10" s="4"/>
      <c r="B10" s="2" t="s">
        <v>410</v>
      </c>
      <c r="C10" s="300"/>
      <c r="D10" s="300"/>
      <c r="E10" s="300"/>
      <c r="F10" s="987"/>
      <c r="G10" s="988"/>
      <c r="H10" s="988"/>
      <c r="I10" s="988"/>
      <c r="J10" s="988"/>
      <c r="K10" s="989"/>
      <c r="L10" s="81"/>
      <c r="M10" s="996"/>
      <c r="N10" s="996"/>
      <c r="O10" s="996"/>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1"/>
      <c r="BE10" s="981"/>
      <c r="BF10" s="981"/>
      <c r="BG10" s="981"/>
      <c r="BH10" s="981"/>
      <c r="BI10" s="981"/>
      <c r="BJ10" s="981"/>
      <c r="BK10" s="981"/>
      <c r="BL10" s="981"/>
      <c r="BM10" s="981"/>
      <c r="BN10" s="981"/>
      <c r="BO10" s="981"/>
      <c r="BP10" s="981"/>
      <c r="BQ10" s="981"/>
      <c r="BR10" s="981"/>
      <c r="BS10" s="981"/>
      <c r="BT10" s="981"/>
      <c r="BU10" s="981"/>
      <c r="BV10" s="981"/>
      <c r="BW10" s="981"/>
      <c r="BX10" s="981"/>
      <c r="BY10" s="981"/>
      <c r="BZ10" s="981"/>
      <c r="CA10" s="981"/>
      <c r="CB10" s="981"/>
      <c r="CC10" s="981"/>
      <c r="CD10" s="981"/>
      <c r="CE10" s="981"/>
      <c r="CF10" s="981"/>
      <c r="CG10" s="981"/>
      <c r="CH10" s="981"/>
      <c r="CI10" s="981"/>
      <c r="CJ10" s="981"/>
      <c r="CK10" s="981"/>
      <c r="CL10" s="981"/>
      <c r="CM10" s="981"/>
      <c r="CN10" s="981"/>
      <c r="CO10" s="981"/>
      <c r="CP10" s="981"/>
      <c r="CQ10" s="981"/>
      <c r="CR10" s="981"/>
      <c r="CS10" s="981"/>
      <c r="CT10" s="981"/>
      <c r="CU10" s="981"/>
      <c r="CV10" s="981"/>
      <c r="CW10" s="981"/>
      <c r="CX10" s="981"/>
      <c r="CY10" s="981"/>
      <c r="CZ10" s="981"/>
      <c r="DA10" s="981"/>
      <c r="DB10" s="981"/>
      <c r="DC10" s="981"/>
      <c r="DD10" s="981"/>
      <c r="DE10" s="981"/>
      <c r="DF10" s="981"/>
      <c r="DG10" s="981"/>
      <c r="DH10" s="981"/>
      <c r="DI10" s="981"/>
      <c r="DJ10" s="981"/>
      <c r="DK10" s="981"/>
      <c r="DL10" s="981"/>
      <c r="DM10" s="981"/>
      <c r="DN10" s="981"/>
      <c r="DO10" s="981"/>
      <c r="DP10" s="981"/>
      <c r="DQ10" s="981"/>
      <c r="DR10" s="981"/>
      <c r="DS10" s="981"/>
      <c r="DT10" s="981"/>
      <c r="DU10" s="981"/>
      <c r="DV10" s="981"/>
      <c r="DW10" s="981"/>
      <c r="DX10" s="981"/>
      <c r="DY10" s="981"/>
      <c r="DZ10" s="981"/>
      <c r="EA10" s="981"/>
      <c r="EB10" s="981"/>
      <c r="EC10" s="981"/>
      <c r="ED10" s="981"/>
      <c r="EE10" s="981"/>
      <c r="EF10" s="981"/>
      <c r="EG10" s="981"/>
      <c r="EH10" s="981"/>
      <c r="EI10" s="981"/>
      <c r="EJ10" s="981"/>
      <c r="EK10" s="981"/>
      <c r="EL10" s="981"/>
      <c r="EM10" s="981"/>
      <c r="EN10" s="981"/>
      <c r="EO10" s="981"/>
      <c r="EP10" s="981"/>
      <c r="EQ10" s="981"/>
      <c r="ER10" s="981"/>
      <c r="ES10" s="981"/>
      <c r="ET10" s="981"/>
      <c r="EU10" s="981"/>
      <c r="EV10" s="981"/>
      <c r="EW10" s="981"/>
      <c r="EX10" s="981"/>
      <c r="EY10" s="981"/>
      <c r="EZ10" s="981"/>
      <c r="FA10" s="981"/>
      <c r="FB10" s="981"/>
      <c r="FC10" s="981"/>
      <c r="FD10" s="981"/>
      <c r="FE10" s="981"/>
      <c r="FF10" s="981"/>
      <c r="FG10" s="981"/>
      <c r="FH10" s="981"/>
      <c r="FI10" s="981"/>
      <c r="FJ10" s="981"/>
      <c r="FK10" s="981"/>
      <c r="FL10" s="981"/>
      <c r="FM10" s="981"/>
      <c r="FN10" s="981"/>
      <c r="FO10" s="981"/>
      <c r="FP10" s="981"/>
      <c r="FQ10" s="981"/>
      <c r="FR10" s="981"/>
      <c r="FS10" s="981"/>
      <c r="FT10" s="981"/>
      <c r="FU10" s="981"/>
      <c r="FV10" s="981"/>
      <c r="FW10" s="981"/>
      <c r="FX10" s="981"/>
      <c r="FY10" s="981"/>
      <c r="FZ10" s="981"/>
      <c r="GA10" s="981"/>
      <c r="GB10" s="981"/>
      <c r="GC10" s="981"/>
      <c r="GD10" s="981"/>
      <c r="GE10" s="981"/>
      <c r="GF10" s="981"/>
      <c r="GG10" s="981"/>
      <c r="GH10" s="981"/>
      <c r="GI10" s="981"/>
      <c r="GJ10" s="981"/>
      <c r="GK10" s="981"/>
      <c r="GL10" s="981"/>
      <c r="GM10" s="981"/>
      <c r="GN10" s="981"/>
      <c r="GO10" s="981"/>
      <c r="GP10" s="981"/>
      <c r="GQ10" s="981"/>
      <c r="GR10" s="981"/>
      <c r="GS10" s="981"/>
      <c r="GT10" s="981"/>
      <c r="GU10" s="981"/>
      <c r="GV10" s="981"/>
      <c r="GW10" s="981"/>
      <c r="GX10" s="981"/>
      <c r="GY10" s="981"/>
      <c r="GZ10" s="981"/>
      <c r="HA10" s="981"/>
      <c r="HB10" s="981"/>
      <c r="HC10" s="981"/>
      <c r="HD10" s="981"/>
      <c r="HE10" s="981"/>
      <c r="HF10" s="981"/>
      <c r="HG10" s="981"/>
      <c r="HH10" s="981"/>
      <c r="HI10" s="981"/>
      <c r="HJ10" s="981"/>
      <c r="HK10" s="981"/>
      <c r="HL10" s="981"/>
      <c r="HM10" s="981"/>
      <c r="HN10" s="981"/>
      <c r="HO10" s="981"/>
      <c r="HP10" s="981"/>
      <c r="HQ10" s="981"/>
      <c r="HR10" s="981"/>
      <c r="HS10" s="981"/>
      <c r="HT10" s="981"/>
      <c r="HU10" s="981"/>
      <c r="HV10" s="981"/>
      <c r="HW10" s="981"/>
      <c r="HX10" s="981"/>
      <c r="HY10" s="981"/>
      <c r="HZ10" s="981"/>
      <c r="IA10" s="981"/>
      <c r="IB10" s="981"/>
      <c r="IC10" s="981"/>
      <c r="ID10" s="981"/>
      <c r="IE10" s="981"/>
      <c r="IF10" s="981"/>
      <c r="IG10" s="981"/>
      <c r="IH10" s="981"/>
      <c r="II10" s="981"/>
      <c r="IJ10" s="981"/>
      <c r="IK10" s="981"/>
      <c r="IL10" s="981"/>
      <c r="IM10"/>
      <c r="IN10"/>
      <c r="IO10"/>
      <c r="IP10"/>
      <c r="IQ10"/>
      <c r="IR10"/>
      <c r="IS10"/>
      <c r="IT10"/>
    </row>
    <row r="11" spans="1:254" s="82" customFormat="1" ht="14.1" customHeight="1" thickBot="1" x14ac:dyDescent="0.2">
      <c r="A11" s="5"/>
      <c r="B11" s="2" t="s">
        <v>410</v>
      </c>
      <c r="C11" s="300"/>
      <c r="D11" s="300"/>
      <c r="E11" s="300"/>
      <c r="F11" s="987"/>
      <c r="G11" s="988"/>
      <c r="H11" s="988"/>
      <c r="I11" s="988"/>
      <c r="J11" s="988"/>
      <c r="K11" s="989"/>
      <c r="L11" s="81"/>
      <c r="M11" s="996"/>
      <c r="N11" s="996"/>
      <c r="O11" s="996"/>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1"/>
      <c r="BE11" s="981"/>
      <c r="BF11" s="981"/>
      <c r="BG11" s="981"/>
      <c r="BH11" s="981"/>
      <c r="BI11" s="981"/>
      <c r="BJ11" s="981"/>
      <c r="BK11" s="981"/>
      <c r="BL11" s="981"/>
      <c r="BM11" s="981"/>
      <c r="BN11" s="981"/>
      <c r="BO11" s="981"/>
      <c r="BP11" s="981"/>
      <c r="BQ11" s="981"/>
      <c r="BR11" s="981"/>
      <c r="BS11" s="981"/>
      <c r="BT11" s="981"/>
      <c r="BU11" s="981"/>
      <c r="BV11" s="981"/>
      <c r="BW11" s="981"/>
      <c r="BX11" s="981"/>
      <c r="BY11" s="981"/>
      <c r="BZ11" s="981"/>
      <c r="CA11" s="981"/>
      <c r="CB11" s="981"/>
      <c r="CC11" s="981"/>
      <c r="CD11" s="981"/>
      <c r="CE11" s="981"/>
      <c r="CF11" s="981"/>
      <c r="CG11" s="981"/>
      <c r="CH11" s="981"/>
      <c r="CI11" s="981"/>
      <c r="CJ11" s="981"/>
      <c r="CK11" s="981"/>
      <c r="CL11" s="981"/>
      <c r="CM11" s="981"/>
      <c r="CN11" s="981"/>
      <c r="CO11" s="981"/>
      <c r="CP11" s="981"/>
      <c r="CQ11" s="981"/>
      <c r="CR11" s="981"/>
      <c r="CS11" s="981"/>
      <c r="CT11" s="981"/>
      <c r="CU11" s="981"/>
      <c r="CV11" s="981"/>
      <c r="CW11" s="981"/>
      <c r="CX11" s="981"/>
      <c r="CY11" s="981"/>
      <c r="CZ11" s="981"/>
      <c r="DA11" s="981"/>
      <c r="DB11" s="981"/>
      <c r="DC11" s="981"/>
      <c r="DD11" s="981"/>
      <c r="DE11" s="981"/>
      <c r="DF11" s="981"/>
      <c r="DG11" s="981"/>
      <c r="DH11" s="981"/>
      <c r="DI11" s="981"/>
      <c r="DJ11" s="981"/>
      <c r="DK11" s="981"/>
      <c r="DL11" s="981"/>
      <c r="DM11" s="981"/>
      <c r="DN11" s="981"/>
      <c r="DO11" s="981"/>
      <c r="DP11" s="981"/>
      <c r="DQ11" s="981"/>
      <c r="DR11" s="981"/>
      <c r="DS11" s="981"/>
      <c r="DT11" s="981"/>
      <c r="DU11" s="981"/>
      <c r="DV11" s="981"/>
      <c r="DW11" s="981"/>
      <c r="DX11" s="981"/>
      <c r="DY11" s="981"/>
      <c r="DZ11" s="981"/>
      <c r="EA11" s="981"/>
      <c r="EB11" s="981"/>
      <c r="EC11" s="981"/>
      <c r="ED11" s="981"/>
      <c r="EE11" s="981"/>
      <c r="EF11" s="981"/>
      <c r="EG11" s="981"/>
      <c r="EH11" s="981"/>
      <c r="EI11" s="981"/>
      <c r="EJ11" s="981"/>
      <c r="EK11" s="981"/>
      <c r="EL11" s="981"/>
      <c r="EM11" s="981"/>
      <c r="EN11" s="981"/>
      <c r="EO11" s="981"/>
      <c r="EP11" s="981"/>
      <c r="EQ11" s="981"/>
      <c r="ER11" s="981"/>
      <c r="ES11" s="981"/>
      <c r="ET11" s="981"/>
      <c r="EU11" s="981"/>
      <c r="EV11" s="981"/>
      <c r="EW11" s="981"/>
      <c r="EX11" s="981"/>
      <c r="EY11" s="981"/>
      <c r="EZ11" s="981"/>
      <c r="FA11" s="981"/>
      <c r="FB11" s="981"/>
      <c r="FC11" s="981"/>
      <c r="FD11" s="981"/>
      <c r="FE11" s="981"/>
      <c r="FF11" s="981"/>
      <c r="FG11" s="981"/>
      <c r="FH11" s="981"/>
      <c r="FI11" s="981"/>
      <c r="FJ11" s="981"/>
      <c r="FK11" s="981"/>
      <c r="FL11" s="981"/>
      <c r="FM11" s="981"/>
      <c r="FN11" s="981"/>
      <c r="FO11" s="981"/>
      <c r="FP11" s="981"/>
      <c r="FQ11" s="981"/>
      <c r="FR11" s="981"/>
      <c r="FS11" s="981"/>
      <c r="FT11" s="981"/>
      <c r="FU11" s="981"/>
      <c r="FV11" s="981"/>
      <c r="FW11" s="981"/>
      <c r="FX11" s="981"/>
      <c r="FY11" s="981"/>
      <c r="FZ11" s="981"/>
      <c r="GA11" s="981"/>
      <c r="GB11" s="981"/>
      <c r="GC11" s="981"/>
      <c r="GD11" s="981"/>
      <c r="GE11" s="981"/>
      <c r="GF11" s="981"/>
      <c r="GG11" s="981"/>
      <c r="GH11" s="981"/>
      <c r="GI11" s="981"/>
      <c r="GJ11" s="981"/>
      <c r="GK11" s="981"/>
      <c r="GL11" s="981"/>
      <c r="GM11" s="981"/>
      <c r="GN11" s="981"/>
      <c r="GO11" s="981"/>
      <c r="GP11" s="981"/>
      <c r="GQ11" s="981"/>
      <c r="GR11" s="981"/>
      <c r="GS11" s="981"/>
      <c r="GT11" s="981"/>
      <c r="GU11" s="981"/>
      <c r="GV11" s="981"/>
      <c r="GW11" s="981"/>
      <c r="GX11" s="981"/>
      <c r="GY11" s="981"/>
      <c r="GZ11" s="981"/>
      <c r="HA11" s="981"/>
      <c r="HB11" s="981"/>
      <c r="HC11" s="981"/>
      <c r="HD11" s="981"/>
      <c r="HE11" s="981"/>
      <c r="HF11" s="981"/>
      <c r="HG11" s="981"/>
      <c r="HH11" s="981"/>
      <c r="HI11" s="981"/>
      <c r="HJ11" s="981"/>
      <c r="HK11" s="981"/>
      <c r="HL11" s="981"/>
      <c r="HM11" s="981"/>
      <c r="HN11" s="981"/>
      <c r="HO11" s="981"/>
      <c r="HP11" s="981"/>
      <c r="HQ11" s="981"/>
      <c r="HR11" s="981"/>
      <c r="HS11" s="981"/>
      <c r="HT11" s="981"/>
      <c r="HU11" s="981"/>
      <c r="HV11" s="981"/>
      <c r="HW11" s="981"/>
      <c r="HX11" s="981"/>
      <c r="HY11" s="981"/>
      <c r="HZ11" s="981"/>
      <c r="IA11" s="981"/>
      <c r="IB11" s="981"/>
      <c r="IC11" s="981"/>
      <c r="ID11" s="981"/>
      <c r="IE11" s="981"/>
      <c r="IF11" s="981"/>
      <c r="IG11" s="981"/>
      <c r="IH11" s="981"/>
      <c r="II11" s="981"/>
      <c r="IJ11" s="981"/>
      <c r="IK11" s="981"/>
      <c r="IL11" s="981"/>
      <c r="IM11"/>
      <c r="IN11"/>
      <c r="IO11"/>
      <c r="IP11"/>
      <c r="IQ11"/>
      <c r="IR11"/>
      <c r="IS11"/>
      <c r="IT11"/>
    </row>
    <row r="12" spans="1:254" s="82" customFormat="1" ht="14.1" customHeight="1" thickBot="1" x14ac:dyDescent="0.2">
      <c r="A12"/>
      <c r="B12"/>
      <c r="C12" s="300"/>
      <c r="D12" s="300"/>
      <c r="E12" s="300"/>
      <c r="F12" s="987"/>
      <c r="G12" s="988"/>
      <c r="H12" s="988"/>
      <c r="I12" s="988"/>
      <c r="J12" s="988"/>
      <c r="K12" s="989"/>
      <c r="L12"/>
      <c r="M12" s="996"/>
      <c r="N12" s="996"/>
      <c r="O12" s="996"/>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1"/>
      <c r="BE12" s="981"/>
      <c r="BF12" s="981"/>
      <c r="BG12" s="981"/>
      <c r="BH12" s="981"/>
      <c r="BI12" s="981"/>
      <c r="BJ12" s="981"/>
      <c r="BK12" s="981"/>
      <c r="BL12" s="981"/>
      <c r="BM12" s="981"/>
      <c r="BN12" s="981"/>
      <c r="BO12" s="981"/>
      <c r="BP12" s="981"/>
      <c r="BQ12" s="981"/>
      <c r="BR12" s="981"/>
      <c r="BS12" s="981"/>
      <c r="BT12" s="981"/>
      <c r="BU12" s="981"/>
      <c r="BV12" s="981"/>
      <c r="BW12" s="981"/>
      <c r="BX12" s="981"/>
      <c r="BY12" s="981"/>
      <c r="BZ12" s="981"/>
      <c r="CA12" s="981"/>
      <c r="CB12" s="981"/>
      <c r="CC12" s="981"/>
      <c r="CD12" s="981"/>
      <c r="CE12" s="981"/>
      <c r="CF12" s="981"/>
      <c r="CG12" s="981"/>
      <c r="CH12" s="981"/>
      <c r="CI12" s="981"/>
      <c r="CJ12" s="981"/>
      <c r="CK12" s="981"/>
      <c r="CL12" s="981"/>
      <c r="CM12" s="981"/>
      <c r="CN12" s="981"/>
      <c r="CO12" s="981"/>
      <c r="CP12" s="981"/>
      <c r="CQ12" s="981"/>
      <c r="CR12" s="981"/>
      <c r="CS12" s="981"/>
      <c r="CT12" s="981"/>
      <c r="CU12" s="981"/>
      <c r="CV12" s="981"/>
      <c r="CW12" s="981"/>
      <c r="CX12" s="981"/>
      <c r="CY12" s="981"/>
      <c r="CZ12" s="981"/>
      <c r="DA12" s="981"/>
      <c r="DB12" s="981"/>
      <c r="DC12" s="981"/>
      <c r="DD12" s="981"/>
      <c r="DE12" s="981"/>
      <c r="DF12" s="981"/>
      <c r="DG12" s="981"/>
      <c r="DH12" s="981"/>
      <c r="DI12" s="981"/>
      <c r="DJ12" s="981"/>
      <c r="DK12" s="981"/>
      <c r="DL12" s="981"/>
      <c r="DM12" s="981"/>
      <c r="DN12" s="981"/>
      <c r="DO12" s="981"/>
      <c r="DP12" s="981"/>
      <c r="DQ12" s="981"/>
      <c r="DR12" s="981"/>
      <c r="DS12" s="981"/>
      <c r="DT12" s="981"/>
      <c r="DU12" s="981"/>
      <c r="DV12" s="981"/>
      <c r="DW12" s="981"/>
      <c r="DX12" s="981"/>
      <c r="DY12" s="981"/>
      <c r="DZ12" s="981"/>
      <c r="EA12" s="981"/>
      <c r="EB12" s="981"/>
      <c r="EC12" s="981"/>
      <c r="ED12" s="981"/>
      <c r="EE12" s="981"/>
      <c r="EF12" s="981"/>
      <c r="EG12" s="981"/>
      <c r="EH12" s="981"/>
      <c r="EI12" s="981"/>
      <c r="EJ12" s="981"/>
      <c r="EK12" s="981"/>
      <c r="EL12" s="981"/>
      <c r="EM12" s="981"/>
      <c r="EN12" s="981"/>
      <c r="EO12" s="981"/>
      <c r="EP12" s="981"/>
      <c r="EQ12" s="981"/>
      <c r="ER12" s="981"/>
      <c r="ES12" s="981"/>
      <c r="ET12" s="981"/>
      <c r="EU12" s="981"/>
      <c r="EV12" s="981"/>
      <c r="EW12" s="981"/>
      <c r="EX12" s="981"/>
      <c r="EY12" s="981"/>
      <c r="EZ12" s="981"/>
      <c r="FA12" s="981"/>
      <c r="FB12" s="981"/>
      <c r="FC12" s="981"/>
      <c r="FD12" s="981"/>
      <c r="FE12" s="981"/>
      <c r="FF12" s="981"/>
      <c r="FG12" s="981"/>
      <c r="FH12" s="981"/>
      <c r="FI12" s="981"/>
      <c r="FJ12" s="981"/>
      <c r="FK12" s="981"/>
      <c r="FL12" s="981"/>
      <c r="FM12" s="981"/>
      <c r="FN12" s="981"/>
      <c r="FO12" s="981"/>
      <c r="FP12" s="981"/>
      <c r="FQ12" s="981"/>
      <c r="FR12" s="981"/>
      <c r="FS12" s="981"/>
      <c r="FT12" s="981"/>
      <c r="FU12" s="981"/>
      <c r="FV12" s="981"/>
      <c r="FW12" s="981"/>
      <c r="FX12" s="981"/>
      <c r="FY12" s="981"/>
      <c r="FZ12" s="981"/>
      <c r="GA12" s="981"/>
      <c r="GB12" s="981"/>
      <c r="GC12" s="981"/>
      <c r="GD12" s="981"/>
      <c r="GE12" s="981"/>
      <c r="GF12" s="981"/>
      <c r="GG12" s="981"/>
      <c r="GH12" s="981"/>
      <c r="GI12" s="981"/>
      <c r="GJ12" s="981"/>
      <c r="GK12" s="981"/>
      <c r="GL12" s="981"/>
      <c r="GM12" s="981"/>
      <c r="GN12" s="981"/>
      <c r="GO12" s="981"/>
      <c r="GP12" s="981"/>
      <c r="GQ12" s="981"/>
      <c r="GR12" s="981"/>
      <c r="GS12" s="981"/>
      <c r="GT12" s="981"/>
      <c r="GU12" s="981"/>
      <c r="GV12" s="981"/>
      <c r="GW12" s="981"/>
      <c r="GX12" s="981"/>
      <c r="GY12" s="981"/>
      <c r="GZ12" s="981"/>
      <c r="HA12" s="981"/>
      <c r="HB12" s="981"/>
      <c r="HC12" s="981"/>
      <c r="HD12" s="981"/>
      <c r="HE12" s="981"/>
      <c r="HF12" s="981"/>
      <c r="HG12" s="981"/>
      <c r="HH12" s="981"/>
      <c r="HI12" s="981"/>
      <c r="HJ12" s="981"/>
      <c r="HK12" s="981"/>
      <c r="HL12" s="981"/>
      <c r="HM12" s="981"/>
      <c r="HN12" s="981"/>
      <c r="HO12" s="981"/>
      <c r="HP12" s="981"/>
      <c r="HQ12" s="981"/>
      <c r="HR12" s="981"/>
      <c r="HS12" s="981"/>
      <c r="HT12" s="981"/>
      <c r="HU12" s="981"/>
      <c r="HV12" s="981"/>
      <c r="HW12" s="981"/>
      <c r="HX12" s="981"/>
      <c r="HY12" s="981"/>
      <c r="HZ12" s="981"/>
      <c r="IA12" s="981"/>
      <c r="IB12" s="981"/>
      <c r="IC12" s="981"/>
      <c r="ID12" s="981"/>
      <c r="IE12" s="981"/>
      <c r="IF12" s="981"/>
      <c r="IG12" s="981"/>
      <c r="IH12" s="981"/>
      <c r="II12" s="981"/>
      <c r="IJ12" s="981"/>
      <c r="IK12" s="981"/>
      <c r="IL12" s="981"/>
      <c r="IM12"/>
      <c r="IN12"/>
      <c r="IO12"/>
      <c r="IP12"/>
      <c r="IQ12"/>
      <c r="IR12"/>
      <c r="IS12"/>
      <c r="IT12"/>
    </row>
    <row r="13" spans="1:254" s="82" customFormat="1" ht="14.1" customHeight="1" thickBot="1" x14ac:dyDescent="0.2">
      <c r="A13" s="6"/>
      <c r="B13" s="83" t="s">
        <v>594</v>
      </c>
      <c r="C13" s="300"/>
      <c r="D13" s="300"/>
      <c r="E13" s="300"/>
      <c r="F13" s="987"/>
      <c r="G13" s="988"/>
      <c r="H13" s="988"/>
      <c r="I13" s="988"/>
      <c r="J13" s="988"/>
      <c r="K13" s="989"/>
      <c r="L13"/>
      <c r="M13" s="996"/>
      <c r="N13" s="996"/>
      <c r="O13" s="996"/>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1"/>
      <c r="BE13" s="981"/>
      <c r="BF13" s="981"/>
      <c r="BG13" s="981"/>
      <c r="BH13" s="981"/>
      <c r="BI13" s="981"/>
      <c r="BJ13" s="981"/>
      <c r="BK13" s="981"/>
      <c r="BL13" s="981"/>
      <c r="BM13" s="981"/>
      <c r="BN13" s="981"/>
      <c r="BO13" s="981"/>
      <c r="BP13" s="981"/>
      <c r="BQ13" s="981"/>
      <c r="BR13" s="981"/>
      <c r="BS13" s="981"/>
      <c r="BT13" s="981"/>
      <c r="BU13" s="981"/>
      <c r="BV13" s="981"/>
      <c r="BW13" s="981"/>
      <c r="BX13" s="981"/>
      <c r="BY13" s="981"/>
      <c r="BZ13" s="981"/>
      <c r="CA13" s="981"/>
      <c r="CB13" s="981"/>
      <c r="CC13" s="981"/>
      <c r="CD13" s="981"/>
      <c r="CE13" s="981"/>
      <c r="CF13" s="981"/>
      <c r="CG13" s="981"/>
      <c r="CH13" s="981"/>
      <c r="CI13" s="981"/>
      <c r="CJ13" s="981"/>
      <c r="CK13" s="981"/>
      <c r="CL13" s="981"/>
      <c r="CM13" s="981"/>
      <c r="CN13" s="981"/>
      <c r="CO13" s="981"/>
      <c r="CP13" s="981"/>
      <c r="CQ13" s="981"/>
      <c r="CR13" s="981"/>
      <c r="CS13" s="981"/>
      <c r="CT13" s="981"/>
      <c r="CU13" s="981"/>
      <c r="CV13" s="981"/>
      <c r="CW13" s="981"/>
      <c r="CX13" s="981"/>
      <c r="CY13" s="981"/>
      <c r="CZ13" s="981"/>
      <c r="DA13" s="981"/>
      <c r="DB13" s="981"/>
      <c r="DC13" s="981"/>
      <c r="DD13" s="981"/>
      <c r="DE13" s="981"/>
      <c r="DF13" s="981"/>
      <c r="DG13" s="981"/>
      <c r="DH13" s="981"/>
      <c r="DI13" s="981"/>
      <c r="DJ13" s="981"/>
      <c r="DK13" s="981"/>
      <c r="DL13" s="981"/>
      <c r="DM13" s="981"/>
      <c r="DN13" s="981"/>
      <c r="DO13" s="981"/>
      <c r="DP13" s="981"/>
      <c r="DQ13" s="981"/>
      <c r="DR13" s="981"/>
      <c r="DS13" s="981"/>
      <c r="DT13" s="981"/>
      <c r="DU13" s="981"/>
      <c r="DV13" s="981"/>
      <c r="DW13" s="981"/>
      <c r="DX13" s="981"/>
      <c r="DY13" s="981"/>
      <c r="DZ13" s="981"/>
      <c r="EA13" s="981"/>
      <c r="EB13" s="981"/>
      <c r="EC13" s="981"/>
      <c r="ED13" s="981"/>
      <c r="EE13" s="981"/>
      <c r="EF13" s="981"/>
      <c r="EG13" s="981"/>
      <c r="EH13" s="981"/>
      <c r="EI13" s="981"/>
      <c r="EJ13" s="981"/>
      <c r="EK13" s="981"/>
      <c r="EL13" s="981"/>
      <c r="EM13" s="981"/>
      <c r="EN13" s="981"/>
      <c r="EO13" s="981"/>
      <c r="EP13" s="981"/>
      <c r="EQ13" s="981"/>
      <c r="ER13" s="981"/>
      <c r="ES13" s="981"/>
      <c r="ET13" s="981"/>
      <c r="EU13" s="981"/>
      <c r="EV13" s="981"/>
      <c r="EW13" s="981"/>
      <c r="EX13" s="981"/>
      <c r="EY13" s="981"/>
      <c r="EZ13" s="981"/>
      <c r="FA13" s="981"/>
      <c r="FB13" s="981"/>
      <c r="FC13" s="981"/>
      <c r="FD13" s="981"/>
      <c r="FE13" s="981"/>
      <c r="FF13" s="981"/>
      <c r="FG13" s="981"/>
      <c r="FH13" s="981"/>
      <c r="FI13" s="981"/>
      <c r="FJ13" s="981"/>
      <c r="FK13" s="981"/>
      <c r="FL13" s="981"/>
      <c r="FM13" s="981"/>
      <c r="FN13" s="981"/>
      <c r="FO13" s="981"/>
      <c r="FP13" s="981"/>
      <c r="FQ13" s="981"/>
      <c r="FR13" s="981"/>
      <c r="FS13" s="981"/>
      <c r="FT13" s="981"/>
      <c r="FU13" s="981"/>
      <c r="FV13" s="981"/>
      <c r="FW13" s="981"/>
      <c r="FX13" s="981"/>
      <c r="FY13" s="981"/>
      <c r="FZ13" s="981"/>
      <c r="GA13" s="981"/>
      <c r="GB13" s="981"/>
      <c r="GC13" s="981"/>
      <c r="GD13" s="981"/>
      <c r="GE13" s="981"/>
      <c r="GF13" s="981"/>
      <c r="GG13" s="981"/>
      <c r="GH13" s="981"/>
      <c r="GI13" s="981"/>
      <c r="GJ13" s="981"/>
      <c r="GK13" s="981"/>
      <c r="GL13" s="981"/>
      <c r="GM13" s="981"/>
      <c r="GN13" s="981"/>
      <c r="GO13" s="981"/>
      <c r="GP13" s="981"/>
      <c r="GQ13" s="981"/>
      <c r="GR13" s="981"/>
      <c r="GS13" s="981"/>
      <c r="GT13" s="981"/>
      <c r="GU13" s="981"/>
      <c r="GV13" s="981"/>
      <c r="GW13" s="981"/>
      <c r="GX13" s="981"/>
      <c r="GY13" s="981"/>
      <c r="GZ13" s="981"/>
      <c r="HA13" s="981"/>
      <c r="HB13" s="981"/>
      <c r="HC13" s="981"/>
      <c r="HD13" s="981"/>
      <c r="HE13" s="981"/>
      <c r="HF13" s="981"/>
      <c r="HG13" s="981"/>
      <c r="HH13" s="981"/>
      <c r="HI13" s="981"/>
      <c r="HJ13" s="981"/>
      <c r="HK13" s="981"/>
      <c r="HL13" s="981"/>
      <c r="HM13" s="981"/>
      <c r="HN13" s="981"/>
      <c r="HO13" s="981"/>
      <c r="HP13" s="981"/>
      <c r="HQ13" s="981"/>
      <c r="HR13" s="981"/>
      <c r="HS13" s="981"/>
      <c r="HT13" s="981"/>
      <c r="HU13" s="981"/>
      <c r="HV13" s="981"/>
      <c r="HW13" s="981"/>
      <c r="HX13" s="981"/>
      <c r="HY13" s="981"/>
      <c r="HZ13" s="981"/>
      <c r="IA13" s="981"/>
      <c r="IB13" s="981"/>
      <c r="IC13" s="981"/>
      <c r="ID13" s="981"/>
      <c r="IE13" s="981"/>
      <c r="IF13" s="981"/>
      <c r="IG13" s="981"/>
      <c r="IH13" s="981"/>
      <c r="II13" s="981"/>
      <c r="IJ13" s="981"/>
      <c r="IK13" s="981"/>
      <c r="IL13" s="981"/>
      <c r="IM13"/>
      <c r="IN13"/>
      <c r="IO13"/>
      <c r="IP13"/>
      <c r="IQ13"/>
      <c r="IR13"/>
      <c r="IS13"/>
      <c r="IT13"/>
    </row>
    <row r="14" spans="1:254" s="82" customFormat="1" ht="14.1" customHeight="1" thickBot="1" x14ac:dyDescent="0.2">
      <c r="A14" s="7"/>
      <c r="B14" s="83" t="s">
        <v>595</v>
      </c>
      <c r="C14" s="300"/>
      <c r="D14" s="300"/>
      <c r="E14" s="300"/>
      <c r="F14" s="987"/>
      <c r="G14" s="988"/>
      <c r="H14" s="988"/>
      <c r="I14" s="988"/>
      <c r="J14" s="988"/>
      <c r="K14" s="989"/>
      <c r="L14" s="81"/>
      <c r="M14" s="996"/>
      <c r="N14" s="996"/>
      <c r="O14" s="996"/>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1"/>
      <c r="BE14" s="981"/>
      <c r="BF14" s="981"/>
      <c r="BG14" s="981"/>
      <c r="BH14" s="981"/>
      <c r="BI14" s="981"/>
      <c r="BJ14" s="981"/>
      <c r="BK14" s="981"/>
      <c r="BL14" s="981"/>
      <c r="BM14" s="981"/>
      <c r="BN14" s="981"/>
      <c r="BO14" s="981"/>
      <c r="BP14" s="981"/>
      <c r="BQ14" s="981"/>
      <c r="BR14" s="981"/>
      <c r="BS14" s="981"/>
      <c r="BT14" s="981"/>
      <c r="BU14" s="981"/>
      <c r="BV14" s="981"/>
      <c r="BW14" s="981"/>
      <c r="BX14" s="981"/>
      <c r="BY14" s="981"/>
      <c r="BZ14" s="981"/>
      <c r="CA14" s="981"/>
      <c r="CB14" s="981"/>
      <c r="CC14" s="981"/>
      <c r="CD14" s="981"/>
      <c r="CE14" s="981"/>
      <c r="CF14" s="981"/>
      <c r="CG14" s="981"/>
      <c r="CH14" s="981"/>
      <c r="CI14" s="981"/>
      <c r="CJ14" s="981"/>
      <c r="CK14" s="981"/>
      <c r="CL14" s="981"/>
      <c r="CM14" s="981"/>
      <c r="CN14" s="981"/>
      <c r="CO14" s="981"/>
      <c r="CP14" s="981"/>
      <c r="CQ14" s="981"/>
      <c r="CR14" s="981"/>
      <c r="CS14" s="981"/>
      <c r="CT14" s="981"/>
      <c r="CU14" s="981"/>
      <c r="CV14" s="981"/>
      <c r="CW14" s="981"/>
      <c r="CX14" s="981"/>
      <c r="CY14" s="981"/>
      <c r="CZ14" s="981"/>
      <c r="DA14" s="981"/>
      <c r="DB14" s="981"/>
      <c r="DC14" s="981"/>
      <c r="DD14" s="981"/>
      <c r="DE14" s="981"/>
      <c r="DF14" s="981"/>
      <c r="DG14" s="981"/>
      <c r="DH14" s="981"/>
      <c r="DI14" s="981"/>
      <c r="DJ14" s="981"/>
      <c r="DK14" s="981"/>
      <c r="DL14" s="981"/>
      <c r="DM14" s="981"/>
      <c r="DN14" s="981"/>
      <c r="DO14" s="981"/>
      <c r="DP14" s="981"/>
      <c r="DQ14" s="981"/>
      <c r="DR14" s="981"/>
      <c r="DS14" s="981"/>
      <c r="DT14" s="981"/>
      <c r="DU14" s="981"/>
      <c r="DV14" s="981"/>
      <c r="DW14" s="981"/>
      <c r="DX14" s="981"/>
      <c r="DY14" s="981"/>
      <c r="DZ14" s="981"/>
      <c r="EA14" s="981"/>
      <c r="EB14" s="981"/>
      <c r="EC14" s="981"/>
      <c r="ED14" s="981"/>
      <c r="EE14" s="981"/>
      <c r="EF14" s="981"/>
      <c r="EG14" s="981"/>
      <c r="EH14" s="981"/>
      <c r="EI14" s="981"/>
      <c r="EJ14" s="981"/>
      <c r="EK14" s="981"/>
      <c r="EL14" s="981"/>
      <c r="EM14" s="981"/>
      <c r="EN14" s="981"/>
      <c r="EO14" s="981"/>
      <c r="EP14" s="981"/>
      <c r="EQ14" s="981"/>
      <c r="ER14" s="981"/>
      <c r="ES14" s="981"/>
      <c r="ET14" s="981"/>
      <c r="EU14" s="981"/>
      <c r="EV14" s="981"/>
      <c r="EW14" s="981"/>
      <c r="EX14" s="981"/>
      <c r="EY14" s="981"/>
      <c r="EZ14" s="981"/>
      <c r="FA14" s="981"/>
      <c r="FB14" s="981"/>
      <c r="FC14" s="981"/>
      <c r="FD14" s="981"/>
      <c r="FE14" s="981"/>
      <c r="FF14" s="981"/>
      <c r="FG14" s="981"/>
      <c r="FH14" s="981"/>
      <c r="FI14" s="981"/>
      <c r="FJ14" s="981"/>
      <c r="FK14" s="981"/>
      <c r="FL14" s="981"/>
      <c r="FM14" s="981"/>
      <c r="FN14" s="981"/>
      <c r="FO14" s="981"/>
      <c r="FP14" s="981"/>
      <c r="FQ14" s="981"/>
      <c r="FR14" s="981"/>
      <c r="FS14" s="981"/>
      <c r="FT14" s="981"/>
      <c r="FU14" s="981"/>
      <c r="FV14" s="981"/>
      <c r="FW14" s="981"/>
      <c r="FX14" s="981"/>
      <c r="FY14" s="981"/>
      <c r="FZ14" s="981"/>
      <c r="GA14" s="981"/>
      <c r="GB14" s="981"/>
      <c r="GC14" s="981"/>
      <c r="GD14" s="981"/>
      <c r="GE14" s="981"/>
      <c r="GF14" s="981"/>
      <c r="GG14" s="981"/>
      <c r="GH14" s="981"/>
      <c r="GI14" s="981"/>
      <c r="GJ14" s="981"/>
      <c r="GK14" s="981"/>
      <c r="GL14" s="981"/>
      <c r="GM14" s="981"/>
      <c r="GN14" s="981"/>
      <c r="GO14" s="981"/>
      <c r="GP14" s="981"/>
      <c r="GQ14" s="981"/>
      <c r="GR14" s="981"/>
      <c r="GS14" s="981"/>
      <c r="GT14" s="981"/>
      <c r="GU14" s="981"/>
      <c r="GV14" s="981"/>
      <c r="GW14" s="981"/>
      <c r="GX14" s="981"/>
      <c r="GY14" s="981"/>
      <c r="GZ14" s="981"/>
      <c r="HA14" s="981"/>
      <c r="HB14" s="981"/>
      <c r="HC14" s="981"/>
      <c r="HD14" s="981"/>
      <c r="HE14" s="981"/>
      <c r="HF14" s="981"/>
      <c r="HG14" s="981"/>
      <c r="HH14" s="981"/>
      <c r="HI14" s="981"/>
      <c r="HJ14" s="981"/>
      <c r="HK14" s="981"/>
      <c r="HL14" s="981"/>
      <c r="HM14" s="981"/>
      <c r="HN14" s="981"/>
      <c r="HO14" s="981"/>
      <c r="HP14" s="981"/>
      <c r="HQ14" s="981"/>
      <c r="HR14" s="981"/>
      <c r="HS14" s="981"/>
      <c r="HT14" s="981"/>
      <c r="HU14" s="981"/>
      <c r="HV14" s="981"/>
      <c r="HW14" s="981"/>
      <c r="HX14" s="981"/>
      <c r="HY14" s="981"/>
      <c r="HZ14" s="981"/>
      <c r="IA14" s="981"/>
      <c r="IB14" s="981"/>
      <c r="IC14" s="981"/>
      <c r="ID14" s="981"/>
      <c r="IE14" s="981"/>
      <c r="IF14" s="981"/>
      <c r="IG14" s="981"/>
      <c r="IH14" s="981"/>
      <c r="II14" s="981"/>
      <c r="IJ14" s="981"/>
      <c r="IK14" s="981"/>
      <c r="IL14" s="981"/>
      <c r="IM14"/>
      <c r="IN14"/>
      <c r="IO14"/>
      <c r="IP14"/>
      <c r="IQ14"/>
      <c r="IR14"/>
      <c r="IS14"/>
      <c r="IT14"/>
    </row>
    <row r="15" spans="1:254" s="82" customFormat="1" ht="14.1" customHeight="1" thickBot="1" x14ac:dyDescent="0.2">
      <c r="A15" s="8"/>
      <c r="B15" s="83" t="s">
        <v>596</v>
      </c>
      <c r="C15" s="300"/>
      <c r="D15" s="300"/>
      <c r="E15" s="300"/>
      <c r="F15" s="990"/>
      <c r="G15" s="991"/>
      <c r="H15" s="991"/>
      <c r="I15" s="991"/>
      <c r="J15" s="991"/>
      <c r="K15" s="992"/>
      <c r="L15" s="81"/>
      <c r="M15" s="996"/>
      <c r="N15" s="996"/>
      <c r="O15" s="996"/>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1"/>
      <c r="BE15" s="981"/>
      <c r="BF15" s="981"/>
      <c r="BG15" s="981"/>
      <c r="BH15" s="981"/>
      <c r="BI15" s="981"/>
      <c r="BJ15" s="981"/>
      <c r="BK15" s="981"/>
      <c r="BL15" s="981"/>
      <c r="BM15" s="981"/>
      <c r="BN15" s="981"/>
      <c r="BO15" s="981"/>
      <c r="BP15" s="981"/>
      <c r="BQ15" s="981"/>
      <c r="BR15" s="981"/>
      <c r="BS15" s="981"/>
      <c r="BT15" s="981"/>
      <c r="BU15" s="981"/>
      <c r="BV15" s="981"/>
      <c r="BW15" s="981"/>
      <c r="BX15" s="981"/>
      <c r="BY15" s="981"/>
      <c r="BZ15" s="981"/>
      <c r="CA15" s="981"/>
      <c r="CB15" s="981"/>
      <c r="CC15" s="981"/>
      <c r="CD15" s="981"/>
      <c r="CE15" s="981"/>
      <c r="CF15" s="981"/>
      <c r="CG15" s="981"/>
      <c r="CH15" s="981"/>
      <c r="CI15" s="981"/>
      <c r="CJ15" s="981"/>
      <c r="CK15" s="981"/>
      <c r="CL15" s="981"/>
      <c r="CM15" s="981"/>
      <c r="CN15" s="981"/>
      <c r="CO15" s="981"/>
      <c r="CP15" s="981"/>
      <c r="CQ15" s="981"/>
      <c r="CR15" s="981"/>
      <c r="CS15" s="981"/>
      <c r="CT15" s="981"/>
      <c r="CU15" s="981"/>
      <c r="CV15" s="981"/>
      <c r="CW15" s="981"/>
      <c r="CX15" s="981"/>
      <c r="CY15" s="981"/>
      <c r="CZ15" s="981"/>
      <c r="DA15" s="981"/>
      <c r="DB15" s="981"/>
      <c r="DC15" s="981"/>
      <c r="DD15" s="981"/>
      <c r="DE15" s="981"/>
      <c r="DF15" s="981"/>
      <c r="DG15" s="981"/>
      <c r="DH15" s="981"/>
      <c r="DI15" s="981"/>
      <c r="DJ15" s="981"/>
      <c r="DK15" s="981"/>
      <c r="DL15" s="981"/>
      <c r="DM15" s="981"/>
      <c r="DN15" s="981"/>
      <c r="DO15" s="981"/>
      <c r="DP15" s="981"/>
      <c r="DQ15" s="981"/>
      <c r="DR15" s="981"/>
      <c r="DS15" s="981"/>
      <c r="DT15" s="981"/>
      <c r="DU15" s="981"/>
      <c r="DV15" s="981"/>
      <c r="DW15" s="981"/>
      <c r="DX15" s="981"/>
      <c r="DY15" s="981"/>
      <c r="DZ15" s="981"/>
      <c r="EA15" s="981"/>
      <c r="EB15" s="981"/>
      <c r="EC15" s="981"/>
      <c r="ED15" s="981"/>
      <c r="EE15" s="981"/>
      <c r="EF15" s="981"/>
      <c r="EG15" s="981"/>
      <c r="EH15" s="981"/>
      <c r="EI15" s="981"/>
      <c r="EJ15" s="981"/>
      <c r="EK15" s="981"/>
      <c r="EL15" s="981"/>
      <c r="EM15" s="981"/>
      <c r="EN15" s="981"/>
      <c r="EO15" s="981"/>
      <c r="EP15" s="981"/>
      <c r="EQ15" s="981"/>
      <c r="ER15" s="981"/>
      <c r="ES15" s="981"/>
      <c r="ET15" s="981"/>
      <c r="EU15" s="981"/>
      <c r="EV15" s="981"/>
      <c r="EW15" s="981"/>
      <c r="EX15" s="981"/>
      <c r="EY15" s="981"/>
      <c r="EZ15" s="981"/>
      <c r="FA15" s="981"/>
      <c r="FB15" s="981"/>
      <c r="FC15" s="981"/>
      <c r="FD15" s="981"/>
      <c r="FE15" s="981"/>
      <c r="FF15" s="981"/>
      <c r="FG15" s="981"/>
      <c r="FH15" s="981"/>
      <c r="FI15" s="981"/>
      <c r="FJ15" s="981"/>
      <c r="FK15" s="981"/>
      <c r="FL15" s="981"/>
      <c r="FM15" s="981"/>
      <c r="FN15" s="981"/>
      <c r="FO15" s="981"/>
      <c r="FP15" s="981"/>
      <c r="FQ15" s="981"/>
      <c r="FR15" s="981"/>
      <c r="FS15" s="981"/>
      <c r="FT15" s="981"/>
      <c r="FU15" s="981"/>
      <c r="FV15" s="981"/>
      <c r="FW15" s="981"/>
      <c r="FX15" s="981"/>
      <c r="FY15" s="981"/>
      <c r="FZ15" s="981"/>
      <c r="GA15" s="981"/>
      <c r="GB15" s="981"/>
      <c r="GC15" s="981"/>
      <c r="GD15" s="981"/>
      <c r="GE15" s="981"/>
      <c r="GF15" s="981"/>
      <c r="GG15" s="981"/>
      <c r="GH15" s="981"/>
      <c r="GI15" s="981"/>
      <c r="GJ15" s="981"/>
      <c r="GK15" s="981"/>
      <c r="GL15" s="981"/>
      <c r="GM15" s="981"/>
      <c r="GN15" s="981"/>
      <c r="GO15" s="981"/>
      <c r="GP15" s="981"/>
      <c r="GQ15" s="981"/>
      <c r="GR15" s="981"/>
      <c r="GS15" s="981"/>
      <c r="GT15" s="981"/>
      <c r="GU15" s="981"/>
      <c r="GV15" s="981"/>
      <c r="GW15" s="981"/>
      <c r="GX15" s="981"/>
      <c r="GY15" s="981"/>
      <c r="GZ15" s="981"/>
      <c r="HA15" s="981"/>
      <c r="HB15" s="981"/>
      <c r="HC15" s="981"/>
      <c r="HD15" s="981"/>
      <c r="HE15" s="981"/>
      <c r="HF15" s="981"/>
      <c r="HG15" s="981"/>
      <c r="HH15" s="981"/>
      <c r="HI15" s="981"/>
      <c r="HJ15" s="981"/>
      <c r="HK15" s="981"/>
      <c r="HL15" s="981"/>
      <c r="HM15" s="981"/>
      <c r="HN15" s="981"/>
      <c r="HO15" s="981"/>
      <c r="HP15" s="981"/>
      <c r="HQ15" s="981"/>
      <c r="HR15" s="981"/>
      <c r="HS15" s="981"/>
      <c r="HT15" s="981"/>
      <c r="HU15" s="981"/>
      <c r="HV15" s="981"/>
      <c r="HW15" s="981"/>
      <c r="HX15" s="981"/>
      <c r="HY15" s="981"/>
      <c r="HZ15" s="981"/>
      <c r="IA15" s="981"/>
      <c r="IB15" s="981"/>
      <c r="IC15" s="981"/>
      <c r="ID15" s="981"/>
      <c r="IE15" s="981"/>
      <c r="IF15" s="981"/>
      <c r="IG15" s="981"/>
      <c r="IH15" s="981"/>
      <c r="II15" s="981"/>
      <c r="IJ15" s="981"/>
      <c r="IK15" s="981"/>
      <c r="IL15" s="981"/>
      <c r="IM15"/>
      <c r="IN15"/>
      <c r="IO15"/>
      <c r="IP15"/>
      <c r="IQ15"/>
      <c r="IR15"/>
      <c r="IS15"/>
      <c r="IT15"/>
    </row>
    <row r="16" spans="1:254" ht="12.9" customHeight="1" thickBot="1" x14ac:dyDescent="0.2"/>
    <row r="17" spans="1:254" s="84" customFormat="1" ht="12.9" customHeight="1" thickBot="1" x14ac:dyDescent="0.2">
      <c r="A17" s="959" t="s">
        <v>383</v>
      </c>
      <c r="B17" s="959"/>
      <c r="C17" s="959"/>
      <c r="D17" s="959"/>
      <c r="E17" s="960" t="s">
        <v>401</v>
      </c>
      <c r="F17" s="960"/>
      <c r="G17" s="957" t="s">
        <v>1</v>
      </c>
      <c r="H17" s="957"/>
      <c r="I17" s="983" t="s">
        <v>257</v>
      </c>
      <c r="J17" s="983"/>
      <c r="K17" s="983"/>
      <c r="L17" s="983"/>
      <c r="M17" s="958" t="s">
        <v>592</v>
      </c>
      <c r="N17" s="949" t="s">
        <v>593</v>
      </c>
      <c r="O17" s="949" t="s">
        <v>597</v>
      </c>
      <c r="P17" s="981" t="s">
        <v>598</v>
      </c>
      <c r="Q17" s="949"/>
      <c r="R17" s="949"/>
      <c r="S17" s="949"/>
      <c r="T17" s="949"/>
      <c r="U17" s="949"/>
      <c r="V17" s="949"/>
      <c r="W17" s="949"/>
      <c r="X17" s="949"/>
      <c r="Y17" s="949"/>
      <c r="Z17" s="949"/>
      <c r="AA17" s="949"/>
      <c r="AB17" s="949"/>
      <c r="AC17" s="949"/>
      <c r="AD17" s="949"/>
      <c r="AE17" s="949"/>
      <c r="AF17" s="949"/>
      <c r="AG17" s="949"/>
      <c r="AH17" s="949"/>
      <c r="AI17" s="949"/>
      <c r="AJ17" s="949"/>
      <c r="AK17" s="949"/>
      <c r="AL17" s="949"/>
      <c r="AM17" s="949"/>
      <c r="AN17" s="949"/>
      <c r="AO17" s="949"/>
      <c r="AP17" s="949"/>
      <c r="AQ17" s="949"/>
      <c r="AR17" s="949"/>
      <c r="AS17" s="949"/>
      <c r="AT17" s="949"/>
      <c r="AU17" s="949"/>
      <c r="AV17" s="949"/>
      <c r="AW17" s="949"/>
      <c r="AX17" s="949"/>
      <c r="AY17" s="949"/>
      <c r="AZ17" s="949"/>
      <c r="BA17" s="949"/>
      <c r="BB17" s="949"/>
      <c r="BC17" s="949"/>
      <c r="BD17" s="949"/>
      <c r="BE17" s="949"/>
      <c r="BF17" s="949"/>
      <c r="BG17" s="949"/>
      <c r="BH17" s="949"/>
      <c r="BI17" s="949"/>
      <c r="BJ17" s="949"/>
      <c r="BK17" s="949"/>
      <c r="BL17" s="949"/>
      <c r="BM17" s="949"/>
      <c r="BN17" s="949"/>
      <c r="BO17" s="949"/>
      <c r="BP17" s="949"/>
      <c r="BQ17" s="949"/>
      <c r="BR17" s="949"/>
      <c r="BS17" s="949"/>
      <c r="BT17" s="949"/>
      <c r="BU17" s="949"/>
      <c r="BV17" s="949"/>
      <c r="BW17" s="949"/>
      <c r="BX17" s="949"/>
      <c r="BY17" s="949"/>
      <c r="BZ17" s="949"/>
      <c r="CA17" s="949"/>
      <c r="CB17" s="949"/>
      <c r="CC17" s="949"/>
      <c r="CD17" s="949"/>
      <c r="CE17" s="949"/>
      <c r="CF17" s="949"/>
      <c r="CG17" s="949"/>
      <c r="CH17" s="949"/>
      <c r="CI17" s="949"/>
      <c r="CJ17" s="949"/>
      <c r="CK17" s="949"/>
      <c r="CL17" s="949"/>
      <c r="CM17" s="949"/>
      <c r="CN17" s="949"/>
      <c r="CO17" s="949"/>
      <c r="CP17" s="949"/>
      <c r="CQ17" s="949"/>
      <c r="CR17" s="949"/>
      <c r="CS17" s="949"/>
      <c r="CT17" s="949"/>
      <c r="CU17" s="949"/>
      <c r="CV17" s="949"/>
      <c r="CW17" s="949"/>
      <c r="CX17" s="949"/>
      <c r="CY17" s="949"/>
      <c r="CZ17" s="949"/>
      <c r="DA17" s="949"/>
      <c r="DB17" s="949"/>
      <c r="DC17" s="949"/>
      <c r="DD17" s="949"/>
      <c r="DE17" s="949"/>
      <c r="DF17" s="949"/>
      <c r="DG17" s="949"/>
      <c r="DH17" s="949"/>
      <c r="DI17" s="949"/>
      <c r="DJ17" s="949"/>
      <c r="DK17" s="949"/>
      <c r="DL17" s="949"/>
      <c r="DM17" s="949"/>
      <c r="DN17" s="949"/>
      <c r="DO17" s="949"/>
      <c r="DP17" s="949"/>
      <c r="DQ17" s="949"/>
      <c r="DR17" s="949"/>
      <c r="DS17" s="949"/>
      <c r="DT17" s="949"/>
      <c r="DU17" s="949"/>
      <c r="DV17" s="949"/>
      <c r="DW17" s="949"/>
      <c r="DX17" s="949"/>
      <c r="DY17" s="949"/>
      <c r="DZ17" s="949"/>
      <c r="EA17" s="949"/>
      <c r="EB17" s="949"/>
      <c r="EC17" s="949"/>
      <c r="ED17" s="949"/>
      <c r="EE17" s="949"/>
      <c r="EF17" s="949"/>
      <c r="EG17" s="949"/>
      <c r="EH17" s="949"/>
      <c r="EI17" s="949"/>
      <c r="EJ17" s="949"/>
      <c r="EK17" s="949"/>
      <c r="EL17" s="949"/>
      <c r="EM17" s="949"/>
      <c r="EN17" s="949"/>
      <c r="EO17" s="949"/>
      <c r="EP17" s="949"/>
      <c r="EQ17" s="949"/>
      <c r="ER17" s="949"/>
      <c r="ES17" s="949"/>
      <c r="ET17" s="949"/>
      <c r="EU17" s="949"/>
      <c r="EV17" s="949"/>
      <c r="EW17" s="949"/>
      <c r="EX17" s="949"/>
      <c r="EY17" s="949"/>
      <c r="EZ17" s="949"/>
      <c r="FA17" s="949"/>
      <c r="FB17" s="949"/>
      <c r="FC17" s="949"/>
      <c r="FD17" s="949"/>
      <c r="FE17" s="949"/>
      <c r="FF17" s="949"/>
      <c r="FG17" s="949"/>
      <c r="FH17" s="949"/>
      <c r="FI17" s="949"/>
      <c r="FJ17" s="949"/>
      <c r="FK17" s="949"/>
      <c r="FL17" s="949"/>
      <c r="FM17" s="949"/>
      <c r="FN17" s="949"/>
      <c r="FO17" s="949"/>
      <c r="FP17" s="949"/>
      <c r="FQ17" s="949"/>
      <c r="FR17" s="949"/>
      <c r="FS17" s="949"/>
      <c r="FT17" s="949"/>
      <c r="FU17" s="949"/>
      <c r="FV17" s="949"/>
      <c r="FW17" s="949"/>
      <c r="FX17" s="949"/>
      <c r="FY17" s="949"/>
      <c r="FZ17" s="949"/>
      <c r="GA17" s="949"/>
      <c r="GB17" s="949"/>
      <c r="GC17" s="949"/>
      <c r="GD17" s="949"/>
      <c r="GE17" s="949"/>
      <c r="GF17" s="949"/>
      <c r="GG17" s="949"/>
      <c r="GH17" s="949"/>
      <c r="GI17" s="949"/>
      <c r="GJ17" s="949"/>
      <c r="GK17" s="949"/>
      <c r="GL17" s="949"/>
      <c r="GM17" s="949"/>
      <c r="GN17" s="949"/>
      <c r="GO17" s="949"/>
      <c r="GP17" s="949"/>
      <c r="GQ17" s="949"/>
      <c r="GR17" s="949"/>
      <c r="GS17" s="949"/>
      <c r="GT17" s="949"/>
      <c r="GU17" s="949"/>
      <c r="GV17" s="949"/>
      <c r="GW17" s="949"/>
      <c r="GX17" s="949"/>
      <c r="GY17" s="949"/>
      <c r="GZ17" s="949"/>
      <c r="HA17" s="949"/>
      <c r="HB17" s="949"/>
      <c r="HC17" s="949"/>
      <c r="HD17" s="949"/>
      <c r="HE17" s="949"/>
      <c r="HF17" s="949"/>
      <c r="HG17" s="949"/>
      <c r="HH17" s="949"/>
      <c r="HI17" s="949"/>
      <c r="HJ17" s="949"/>
      <c r="HK17" s="949"/>
      <c r="HL17" s="949"/>
      <c r="HM17" s="949"/>
      <c r="HN17" s="949"/>
      <c r="HO17" s="949"/>
      <c r="HP17" s="949"/>
      <c r="HQ17" s="949"/>
      <c r="HR17" s="949"/>
      <c r="HS17" s="949"/>
      <c r="HT17" s="949"/>
      <c r="HU17" s="949"/>
      <c r="HV17" s="949"/>
      <c r="HW17" s="949"/>
      <c r="HX17" s="949"/>
      <c r="HY17" s="949"/>
      <c r="HZ17" s="949"/>
      <c r="IA17" s="949"/>
      <c r="IB17" s="949"/>
      <c r="IC17" s="949"/>
      <c r="ID17" s="949"/>
      <c r="IE17" s="949"/>
      <c r="IF17" s="949"/>
      <c r="IG17" s="949"/>
      <c r="IH17" s="949"/>
      <c r="II17" s="949"/>
      <c r="IJ17" s="949"/>
      <c r="IK17" s="949"/>
      <c r="IL17" s="948"/>
      <c r="IM17" s="1"/>
      <c r="IN17" s="1"/>
      <c r="IO17" s="1"/>
      <c r="IP17" s="1"/>
      <c r="IQ17" s="1"/>
      <c r="IR17" s="1"/>
      <c r="IS17" s="1"/>
      <c r="IT17" s="1"/>
    </row>
    <row r="18" spans="1:254" s="84" customFormat="1" ht="12.9" customHeight="1" thickBot="1" x14ac:dyDescent="0.2">
      <c r="A18" s="950">
        <f>キャラシート!B3</f>
        <v>0</v>
      </c>
      <c r="B18" s="950"/>
      <c r="C18" s="950"/>
      <c r="D18" s="950"/>
      <c r="E18" s="951">
        <f>キャラシート!J3</f>
        <v>0</v>
      </c>
      <c r="F18" s="951"/>
      <c r="G18" s="980" t="str">
        <f>キャラシート!F13</f>
        <v>－</v>
      </c>
      <c r="H18" s="980"/>
      <c r="I18" s="953" t="s">
        <v>243</v>
      </c>
      <c r="J18" s="953"/>
      <c r="K18" s="953" t="s">
        <v>243</v>
      </c>
      <c r="L18" s="953"/>
      <c r="M18" s="958"/>
      <c r="N18" s="949"/>
      <c r="O18" s="949"/>
      <c r="P18" s="981"/>
      <c r="Q18" s="949"/>
      <c r="R18" s="949"/>
      <c r="S18" s="949"/>
      <c r="T18" s="949"/>
      <c r="U18" s="949"/>
      <c r="V18" s="949"/>
      <c r="W18" s="949"/>
      <c r="X18" s="949"/>
      <c r="Y18" s="949"/>
      <c r="Z18" s="949"/>
      <c r="AA18" s="949"/>
      <c r="AB18" s="949"/>
      <c r="AC18" s="949"/>
      <c r="AD18" s="949"/>
      <c r="AE18" s="949"/>
      <c r="AF18" s="949"/>
      <c r="AG18" s="949"/>
      <c r="AH18" s="949"/>
      <c r="AI18" s="949"/>
      <c r="AJ18" s="949"/>
      <c r="AK18" s="949"/>
      <c r="AL18" s="949"/>
      <c r="AM18" s="949"/>
      <c r="AN18" s="949"/>
      <c r="AO18" s="949"/>
      <c r="AP18" s="949"/>
      <c r="AQ18" s="949"/>
      <c r="AR18" s="949"/>
      <c r="AS18" s="949"/>
      <c r="AT18" s="949"/>
      <c r="AU18" s="949"/>
      <c r="AV18" s="949"/>
      <c r="AW18" s="949"/>
      <c r="AX18" s="949"/>
      <c r="AY18" s="949"/>
      <c r="AZ18" s="949"/>
      <c r="BA18" s="949"/>
      <c r="BB18" s="949"/>
      <c r="BC18" s="949"/>
      <c r="BD18" s="949"/>
      <c r="BE18" s="949"/>
      <c r="BF18" s="949"/>
      <c r="BG18" s="949"/>
      <c r="BH18" s="949"/>
      <c r="BI18" s="949"/>
      <c r="BJ18" s="949"/>
      <c r="BK18" s="949"/>
      <c r="BL18" s="949"/>
      <c r="BM18" s="949"/>
      <c r="BN18" s="949"/>
      <c r="BO18" s="949"/>
      <c r="BP18" s="949"/>
      <c r="BQ18" s="949"/>
      <c r="BR18" s="949"/>
      <c r="BS18" s="949"/>
      <c r="BT18" s="949"/>
      <c r="BU18" s="949"/>
      <c r="BV18" s="949"/>
      <c r="BW18" s="949"/>
      <c r="BX18" s="949"/>
      <c r="BY18" s="949"/>
      <c r="BZ18" s="949"/>
      <c r="CA18" s="949"/>
      <c r="CB18" s="949"/>
      <c r="CC18" s="949"/>
      <c r="CD18" s="949"/>
      <c r="CE18" s="949"/>
      <c r="CF18" s="949"/>
      <c r="CG18" s="949"/>
      <c r="CH18" s="949"/>
      <c r="CI18" s="949"/>
      <c r="CJ18" s="949"/>
      <c r="CK18" s="949"/>
      <c r="CL18" s="949"/>
      <c r="CM18" s="949"/>
      <c r="CN18" s="949"/>
      <c r="CO18" s="949"/>
      <c r="CP18" s="949"/>
      <c r="CQ18" s="949"/>
      <c r="CR18" s="949"/>
      <c r="CS18" s="949"/>
      <c r="CT18" s="949"/>
      <c r="CU18" s="949"/>
      <c r="CV18" s="949"/>
      <c r="CW18" s="949"/>
      <c r="CX18" s="949"/>
      <c r="CY18" s="949"/>
      <c r="CZ18" s="949"/>
      <c r="DA18" s="949"/>
      <c r="DB18" s="949"/>
      <c r="DC18" s="949"/>
      <c r="DD18" s="949"/>
      <c r="DE18" s="949"/>
      <c r="DF18" s="949"/>
      <c r="DG18" s="949"/>
      <c r="DH18" s="949"/>
      <c r="DI18" s="949"/>
      <c r="DJ18" s="949"/>
      <c r="DK18" s="949"/>
      <c r="DL18" s="949"/>
      <c r="DM18" s="949"/>
      <c r="DN18" s="949"/>
      <c r="DO18" s="949"/>
      <c r="DP18" s="949"/>
      <c r="DQ18" s="949"/>
      <c r="DR18" s="949"/>
      <c r="DS18" s="949"/>
      <c r="DT18" s="949"/>
      <c r="DU18" s="949"/>
      <c r="DV18" s="949"/>
      <c r="DW18" s="949"/>
      <c r="DX18" s="949"/>
      <c r="DY18" s="949"/>
      <c r="DZ18" s="949"/>
      <c r="EA18" s="949"/>
      <c r="EB18" s="949"/>
      <c r="EC18" s="949"/>
      <c r="ED18" s="949"/>
      <c r="EE18" s="949"/>
      <c r="EF18" s="949"/>
      <c r="EG18" s="949"/>
      <c r="EH18" s="949"/>
      <c r="EI18" s="949"/>
      <c r="EJ18" s="949"/>
      <c r="EK18" s="949"/>
      <c r="EL18" s="949"/>
      <c r="EM18" s="949"/>
      <c r="EN18" s="949"/>
      <c r="EO18" s="949"/>
      <c r="EP18" s="949"/>
      <c r="EQ18" s="949"/>
      <c r="ER18" s="949"/>
      <c r="ES18" s="949"/>
      <c r="ET18" s="949"/>
      <c r="EU18" s="949"/>
      <c r="EV18" s="949"/>
      <c r="EW18" s="949"/>
      <c r="EX18" s="949"/>
      <c r="EY18" s="949"/>
      <c r="EZ18" s="949"/>
      <c r="FA18" s="949"/>
      <c r="FB18" s="949"/>
      <c r="FC18" s="949"/>
      <c r="FD18" s="949"/>
      <c r="FE18" s="949"/>
      <c r="FF18" s="949"/>
      <c r="FG18" s="949"/>
      <c r="FH18" s="949"/>
      <c r="FI18" s="949"/>
      <c r="FJ18" s="949"/>
      <c r="FK18" s="949"/>
      <c r="FL18" s="949"/>
      <c r="FM18" s="949"/>
      <c r="FN18" s="949"/>
      <c r="FO18" s="949"/>
      <c r="FP18" s="949"/>
      <c r="FQ18" s="949"/>
      <c r="FR18" s="949"/>
      <c r="FS18" s="949"/>
      <c r="FT18" s="949"/>
      <c r="FU18" s="949"/>
      <c r="FV18" s="949"/>
      <c r="FW18" s="949"/>
      <c r="FX18" s="949"/>
      <c r="FY18" s="949"/>
      <c r="FZ18" s="949"/>
      <c r="GA18" s="949"/>
      <c r="GB18" s="949"/>
      <c r="GC18" s="949"/>
      <c r="GD18" s="949"/>
      <c r="GE18" s="949"/>
      <c r="GF18" s="949"/>
      <c r="GG18" s="949"/>
      <c r="GH18" s="949"/>
      <c r="GI18" s="949"/>
      <c r="GJ18" s="949"/>
      <c r="GK18" s="949"/>
      <c r="GL18" s="949"/>
      <c r="GM18" s="949"/>
      <c r="GN18" s="949"/>
      <c r="GO18" s="949"/>
      <c r="GP18" s="949"/>
      <c r="GQ18" s="949"/>
      <c r="GR18" s="949"/>
      <c r="GS18" s="949"/>
      <c r="GT18" s="949"/>
      <c r="GU18" s="949"/>
      <c r="GV18" s="949"/>
      <c r="GW18" s="949"/>
      <c r="GX18" s="949"/>
      <c r="GY18" s="949"/>
      <c r="GZ18" s="949"/>
      <c r="HA18" s="949"/>
      <c r="HB18" s="949"/>
      <c r="HC18" s="949"/>
      <c r="HD18" s="949"/>
      <c r="HE18" s="949"/>
      <c r="HF18" s="949"/>
      <c r="HG18" s="949"/>
      <c r="HH18" s="949"/>
      <c r="HI18" s="949"/>
      <c r="HJ18" s="949"/>
      <c r="HK18" s="949"/>
      <c r="HL18" s="949"/>
      <c r="HM18" s="949"/>
      <c r="HN18" s="949"/>
      <c r="HO18" s="949"/>
      <c r="HP18" s="949"/>
      <c r="HQ18" s="949"/>
      <c r="HR18" s="949"/>
      <c r="HS18" s="949"/>
      <c r="HT18" s="949"/>
      <c r="HU18" s="949"/>
      <c r="HV18" s="949"/>
      <c r="HW18" s="949"/>
      <c r="HX18" s="949"/>
      <c r="HY18" s="949"/>
      <c r="HZ18" s="949"/>
      <c r="IA18" s="949"/>
      <c r="IB18" s="949"/>
      <c r="IC18" s="949"/>
      <c r="ID18" s="949"/>
      <c r="IE18" s="949"/>
      <c r="IF18" s="949"/>
      <c r="IG18" s="949"/>
      <c r="IH18" s="949"/>
      <c r="II18" s="949"/>
      <c r="IJ18" s="949"/>
      <c r="IK18" s="949"/>
      <c r="IL18" s="949"/>
      <c r="IM18" s="1"/>
      <c r="IN18" s="1"/>
      <c r="IO18" s="1"/>
      <c r="IP18" s="1"/>
      <c r="IQ18" s="1"/>
      <c r="IR18" s="1"/>
      <c r="IS18" s="1"/>
      <c r="IT18" s="1"/>
    </row>
    <row r="19" spans="1:254" s="84" customFormat="1" ht="12.9" customHeight="1" thickBot="1" x14ac:dyDescent="0.2">
      <c r="A19" s="954" t="s">
        <v>599</v>
      </c>
      <c r="B19" s="954"/>
      <c r="C19" s="955" t="s">
        <v>389</v>
      </c>
      <c r="D19" s="955"/>
      <c r="E19" s="956" t="s">
        <v>461</v>
      </c>
      <c r="F19" s="956"/>
      <c r="G19" s="944" t="s">
        <v>4</v>
      </c>
      <c r="H19" s="944"/>
      <c r="I19" s="946" t="s">
        <v>600</v>
      </c>
      <c r="J19" s="946"/>
      <c r="K19" s="946" t="s">
        <v>601</v>
      </c>
      <c r="L19" s="946"/>
      <c r="M19" s="958"/>
      <c r="N19" s="949"/>
      <c r="O19" s="949"/>
      <c r="P19" s="981"/>
      <c r="Q19" s="949"/>
      <c r="R19" s="949"/>
      <c r="S19" s="949"/>
      <c r="T19" s="949"/>
      <c r="U19" s="949"/>
      <c r="V19" s="949"/>
      <c r="W19" s="949"/>
      <c r="X19" s="949"/>
      <c r="Y19" s="949"/>
      <c r="Z19" s="949"/>
      <c r="AA19" s="949"/>
      <c r="AB19" s="949"/>
      <c r="AC19" s="949"/>
      <c r="AD19" s="949"/>
      <c r="AE19" s="949"/>
      <c r="AF19" s="949"/>
      <c r="AG19" s="949"/>
      <c r="AH19" s="949"/>
      <c r="AI19" s="949"/>
      <c r="AJ19" s="949"/>
      <c r="AK19" s="949"/>
      <c r="AL19" s="949"/>
      <c r="AM19" s="949"/>
      <c r="AN19" s="949"/>
      <c r="AO19" s="949"/>
      <c r="AP19" s="949"/>
      <c r="AQ19" s="949"/>
      <c r="AR19" s="949"/>
      <c r="AS19" s="949"/>
      <c r="AT19" s="949"/>
      <c r="AU19" s="949"/>
      <c r="AV19" s="949"/>
      <c r="AW19" s="949"/>
      <c r="AX19" s="949"/>
      <c r="AY19" s="949"/>
      <c r="AZ19" s="949"/>
      <c r="BA19" s="949"/>
      <c r="BB19" s="949"/>
      <c r="BC19" s="949"/>
      <c r="BD19" s="949"/>
      <c r="BE19" s="949"/>
      <c r="BF19" s="949"/>
      <c r="BG19" s="949"/>
      <c r="BH19" s="949"/>
      <c r="BI19" s="949"/>
      <c r="BJ19" s="949"/>
      <c r="BK19" s="949"/>
      <c r="BL19" s="949"/>
      <c r="BM19" s="949"/>
      <c r="BN19" s="949"/>
      <c r="BO19" s="949"/>
      <c r="BP19" s="949"/>
      <c r="BQ19" s="949"/>
      <c r="BR19" s="949"/>
      <c r="BS19" s="949"/>
      <c r="BT19" s="949"/>
      <c r="BU19" s="949"/>
      <c r="BV19" s="949"/>
      <c r="BW19" s="949"/>
      <c r="BX19" s="949"/>
      <c r="BY19" s="949"/>
      <c r="BZ19" s="949"/>
      <c r="CA19" s="949"/>
      <c r="CB19" s="949"/>
      <c r="CC19" s="949"/>
      <c r="CD19" s="949"/>
      <c r="CE19" s="949"/>
      <c r="CF19" s="949"/>
      <c r="CG19" s="949"/>
      <c r="CH19" s="949"/>
      <c r="CI19" s="949"/>
      <c r="CJ19" s="949"/>
      <c r="CK19" s="949"/>
      <c r="CL19" s="949"/>
      <c r="CM19" s="949"/>
      <c r="CN19" s="949"/>
      <c r="CO19" s="949"/>
      <c r="CP19" s="949"/>
      <c r="CQ19" s="949"/>
      <c r="CR19" s="949"/>
      <c r="CS19" s="949"/>
      <c r="CT19" s="949"/>
      <c r="CU19" s="949"/>
      <c r="CV19" s="949"/>
      <c r="CW19" s="949"/>
      <c r="CX19" s="949"/>
      <c r="CY19" s="949"/>
      <c r="CZ19" s="949"/>
      <c r="DA19" s="949"/>
      <c r="DB19" s="949"/>
      <c r="DC19" s="949"/>
      <c r="DD19" s="949"/>
      <c r="DE19" s="949"/>
      <c r="DF19" s="949"/>
      <c r="DG19" s="949"/>
      <c r="DH19" s="949"/>
      <c r="DI19" s="949"/>
      <c r="DJ19" s="949"/>
      <c r="DK19" s="949"/>
      <c r="DL19" s="949"/>
      <c r="DM19" s="949"/>
      <c r="DN19" s="949"/>
      <c r="DO19" s="949"/>
      <c r="DP19" s="949"/>
      <c r="DQ19" s="949"/>
      <c r="DR19" s="949"/>
      <c r="DS19" s="949"/>
      <c r="DT19" s="949"/>
      <c r="DU19" s="949"/>
      <c r="DV19" s="949"/>
      <c r="DW19" s="949"/>
      <c r="DX19" s="949"/>
      <c r="DY19" s="949"/>
      <c r="DZ19" s="949"/>
      <c r="EA19" s="949"/>
      <c r="EB19" s="949"/>
      <c r="EC19" s="949"/>
      <c r="ED19" s="949"/>
      <c r="EE19" s="949"/>
      <c r="EF19" s="949"/>
      <c r="EG19" s="949"/>
      <c r="EH19" s="949"/>
      <c r="EI19" s="949"/>
      <c r="EJ19" s="949"/>
      <c r="EK19" s="949"/>
      <c r="EL19" s="949"/>
      <c r="EM19" s="949"/>
      <c r="EN19" s="949"/>
      <c r="EO19" s="949"/>
      <c r="EP19" s="949"/>
      <c r="EQ19" s="949"/>
      <c r="ER19" s="949"/>
      <c r="ES19" s="949"/>
      <c r="ET19" s="949"/>
      <c r="EU19" s="949"/>
      <c r="EV19" s="949"/>
      <c r="EW19" s="949"/>
      <c r="EX19" s="949"/>
      <c r="EY19" s="949"/>
      <c r="EZ19" s="949"/>
      <c r="FA19" s="949"/>
      <c r="FB19" s="949"/>
      <c r="FC19" s="949"/>
      <c r="FD19" s="949"/>
      <c r="FE19" s="949"/>
      <c r="FF19" s="949"/>
      <c r="FG19" s="949"/>
      <c r="FH19" s="949"/>
      <c r="FI19" s="949"/>
      <c r="FJ19" s="949"/>
      <c r="FK19" s="949"/>
      <c r="FL19" s="949"/>
      <c r="FM19" s="949"/>
      <c r="FN19" s="949"/>
      <c r="FO19" s="949"/>
      <c r="FP19" s="949"/>
      <c r="FQ19" s="949"/>
      <c r="FR19" s="949"/>
      <c r="FS19" s="949"/>
      <c r="FT19" s="949"/>
      <c r="FU19" s="949"/>
      <c r="FV19" s="949"/>
      <c r="FW19" s="949"/>
      <c r="FX19" s="949"/>
      <c r="FY19" s="949"/>
      <c r="FZ19" s="949"/>
      <c r="GA19" s="949"/>
      <c r="GB19" s="949"/>
      <c r="GC19" s="949"/>
      <c r="GD19" s="949"/>
      <c r="GE19" s="949"/>
      <c r="GF19" s="949"/>
      <c r="GG19" s="949"/>
      <c r="GH19" s="949"/>
      <c r="GI19" s="949"/>
      <c r="GJ19" s="949"/>
      <c r="GK19" s="949"/>
      <c r="GL19" s="949"/>
      <c r="GM19" s="949"/>
      <c r="GN19" s="949"/>
      <c r="GO19" s="949"/>
      <c r="GP19" s="949"/>
      <c r="GQ19" s="949"/>
      <c r="GR19" s="949"/>
      <c r="GS19" s="949"/>
      <c r="GT19" s="949"/>
      <c r="GU19" s="949"/>
      <c r="GV19" s="949"/>
      <c r="GW19" s="949"/>
      <c r="GX19" s="949"/>
      <c r="GY19" s="949"/>
      <c r="GZ19" s="949"/>
      <c r="HA19" s="949"/>
      <c r="HB19" s="949"/>
      <c r="HC19" s="949"/>
      <c r="HD19" s="949"/>
      <c r="HE19" s="949"/>
      <c r="HF19" s="949"/>
      <c r="HG19" s="949"/>
      <c r="HH19" s="949"/>
      <c r="HI19" s="949"/>
      <c r="HJ19" s="949"/>
      <c r="HK19" s="949"/>
      <c r="HL19" s="949"/>
      <c r="HM19" s="949"/>
      <c r="HN19" s="949"/>
      <c r="HO19" s="949"/>
      <c r="HP19" s="949"/>
      <c r="HQ19" s="949"/>
      <c r="HR19" s="949"/>
      <c r="HS19" s="949"/>
      <c r="HT19" s="949"/>
      <c r="HU19" s="949"/>
      <c r="HV19" s="949"/>
      <c r="HW19" s="949"/>
      <c r="HX19" s="949"/>
      <c r="HY19" s="949"/>
      <c r="HZ19" s="949"/>
      <c r="IA19" s="949"/>
      <c r="IB19" s="949"/>
      <c r="IC19" s="949"/>
      <c r="ID19" s="949"/>
      <c r="IE19" s="949"/>
      <c r="IF19" s="949"/>
      <c r="IG19" s="949"/>
      <c r="IH19" s="949"/>
      <c r="II19" s="949"/>
      <c r="IJ19" s="949"/>
      <c r="IK19" s="949"/>
      <c r="IL19" s="949"/>
      <c r="IM19" s="1"/>
      <c r="IN19" s="1"/>
      <c r="IO19" s="1"/>
      <c r="IP19" s="1"/>
      <c r="IQ19" s="1"/>
      <c r="IR19" s="1"/>
      <c r="IS19" s="1"/>
      <c r="IT19" s="1"/>
    </row>
    <row r="20" spans="1:254" s="84" customFormat="1" ht="12.9" customHeight="1" thickBot="1" x14ac:dyDescent="0.2">
      <c r="A20" s="85">
        <f>B20+SUM(O24:IL24)</f>
        <v>12</v>
      </c>
      <c r="B20" s="9">
        <f>J24+L24</f>
        <v>12</v>
      </c>
      <c r="C20" s="86">
        <f>D20-SUM(O25:IL25)+SUM(O26:IL26)</f>
        <v>18</v>
      </c>
      <c r="D20" s="10">
        <f>J26+L26</f>
        <v>18</v>
      </c>
      <c r="E20" s="11">
        <f>J27+L27</f>
        <v>16</v>
      </c>
      <c r="F20" s="12">
        <f>E20+SUM(O27:IL27)</f>
        <v>16</v>
      </c>
      <c r="G20" s="980" t="str">
        <f>キャラシート!C13</f>
        <v>－</v>
      </c>
      <c r="H20" s="980"/>
      <c r="I20" s="940" t="s">
        <v>18</v>
      </c>
      <c r="J20" s="940"/>
      <c r="K20" s="940" t="s">
        <v>18</v>
      </c>
      <c r="L20" s="940"/>
      <c r="M20" s="958"/>
      <c r="N20" s="958"/>
      <c r="O20" s="949"/>
      <c r="P20" s="981"/>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c r="BL20" s="949"/>
      <c r="BM20" s="949"/>
      <c r="BN20" s="949"/>
      <c r="BO20" s="949"/>
      <c r="BP20" s="949"/>
      <c r="BQ20" s="949"/>
      <c r="BR20" s="949"/>
      <c r="BS20" s="949"/>
      <c r="BT20" s="949"/>
      <c r="BU20" s="949"/>
      <c r="BV20" s="949"/>
      <c r="BW20" s="949"/>
      <c r="BX20" s="949"/>
      <c r="BY20" s="949"/>
      <c r="BZ20" s="949"/>
      <c r="CA20" s="949"/>
      <c r="CB20" s="949"/>
      <c r="CC20" s="949"/>
      <c r="CD20" s="949"/>
      <c r="CE20" s="949"/>
      <c r="CF20" s="949"/>
      <c r="CG20" s="949"/>
      <c r="CH20" s="949"/>
      <c r="CI20" s="949"/>
      <c r="CJ20" s="949"/>
      <c r="CK20" s="949"/>
      <c r="CL20" s="949"/>
      <c r="CM20" s="949"/>
      <c r="CN20" s="949"/>
      <c r="CO20" s="949"/>
      <c r="CP20" s="949"/>
      <c r="CQ20" s="949"/>
      <c r="CR20" s="949"/>
      <c r="CS20" s="949"/>
      <c r="CT20" s="949"/>
      <c r="CU20" s="949"/>
      <c r="CV20" s="949"/>
      <c r="CW20" s="949"/>
      <c r="CX20" s="949"/>
      <c r="CY20" s="949"/>
      <c r="CZ20" s="949"/>
      <c r="DA20" s="949"/>
      <c r="DB20" s="949"/>
      <c r="DC20" s="949"/>
      <c r="DD20" s="949"/>
      <c r="DE20" s="949"/>
      <c r="DF20" s="949"/>
      <c r="DG20" s="949"/>
      <c r="DH20" s="949"/>
      <c r="DI20" s="949"/>
      <c r="DJ20" s="949"/>
      <c r="DK20" s="949"/>
      <c r="DL20" s="949"/>
      <c r="DM20" s="949"/>
      <c r="DN20" s="949"/>
      <c r="DO20" s="949"/>
      <c r="DP20" s="949"/>
      <c r="DQ20" s="949"/>
      <c r="DR20" s="949"/>
      <c r="DS20" s="949"/>
      <c r="DT20" s="949"/>
      <c r="DU20" s="949"/>
      <c r="DV20" s="949"/>
      <c r="DW20" s="949"/>
      <c r="DX20" s="949"/>
      <c r="DY20" s="949"/>
      <c r="DZ20" s="949"/>
      <c r="EA20" s="949"/>
      <c r="EB20" s="949"/>
      <c r="EC20" s="949"/>
      <c r="ED20" s="949"/>
      <c r="EE20" s="949"/>
      <c r="EF20" s="949"/>
      <c r="EG20" s="949"/>
      <c r="EH20" s="949"/>
      <c r="EI20" s="949"/>
      <c r="EJ20" s="949"/>
      <c r="EK20" s="949"/>
      <c r="EL20" s="949"/>
      <c r="EM20" s="949"/>
      <c r="EN20" s="949"/>
      <c r="EO20" s="949"/>
      <c r="EP20" s="949"/>
      <c r="EQ20" s="949"/>
      <c r="ER20" s="949"/>
      <c r="ES20" s="949"/>
      <c r="ET20" s="949"/>
      <c r="EU20" s="949"/>
      <c r="EV20" s="949"/>
      <c r="EW20" s="949"/>
      <c r="EX20" s="949"/>
      <c r="EY20" s="949"/>
      <c r="EZ20" s="949"/>
      <c r="FA20" s="949"/>
      <c r="FB20" s="949"/>
      <c r="FC20" s="949"/>
      <c r="FD20" s="949"/>
      <c r="FE20" s="949"/>
      <c r="FF20" s="949"/>
      <c r="FG20" s="949"/>
      <c r="FH20" s="949"/>
      <c r="FI20" s="949"/>
      <c r="FJ20" s="949"/>
      <c r="FK20" s="949"/>
      <c r="FL20" s="949"/>
      <c r="FM20" s="949"/>
      <c r="FN20" s="949"/>
      <c r="FO20" s="949"/>
      <c r="FP20" s="949"/>
      <c r="FQ20" s="949"/>
      <c r="FR20" s="949"/>
      <c r="FS20" s="949"/>
      <c r="FT20" s="949"/>
      <c r="FU20" s="949"/>
      <c r="FV20" s="949"/>
      <c r="FW20" s="949"/>
      <c r="FX20" s="949"/>
      <c r="FY20" s="949"/>
      <c r="FZ20" s="949"/>
      <c r="GA20" s="949"/>
      <c r="GB20" s="949"/>
      <c r="GC20" s="949"/>
      <c r="GD20" s="949"/>
      <c r="GE20" s="949"/>
      <c r="GF20" s="949"/>
      <c r="GG20" s="949"/>
      <c r="GH20" s="949"/>
      <c r="GI20" s="949"/>
      <c r="GJ20" s="949"/>
      <c r="GK20" s="949"/>
      <c r="GL20" s="949"/>
      <c r="GM20" s="949"/>
      <c r="GN20" s="949"/>
      <c r="GO20" s="949"/>
      <c r="GP20" s="949"/>
      <c r="GQ20" s="949"/>
      <c r="GR20" s="949"/>
      <c r="GS20" s="949"/>
      <c r="GT20" s="949"/>
      <c r="GU20" s="949"/>
      <c r="GV20" s="949"/>
      <c r="GW20" s="949"/>
      <c r="GX20" s="949"/>
      <c r="GY20" s="949"/>
      <c r="GZ20" s="949"/>
      <c r="HA20" s="949"/>
      <c r="HB20" s="949"/>
      <c r="HC20" s="949"/>
      <c r="HD20" s="949"/>
      <c r="HE20" s="949"/>
      <c r="HF20" s="949"/>
      <c r="HG20" s="949"/>
      <c r="HH20" s="949"/>
      <c r="HI20" s="949"/>
      <c r="HJ20" s="949"/>
      <c r="HK20" s="949"/>
      <c r="HL20" s="949"/>
      <c r="HM20" s="949"/>
      <c r="HN20" s="949"/>
      <c r="HO20" s="949"/>
      <c r="HP20" s="949"/>
      <c r="HQ20" s="949"/>
      <c r="HR20" s="949"/>
      <c r="HS20" s="949"/>
      <c r="HT20" s="949"/>
      <c r="HU20" s="949"/>
      <c r="HV20" s="949"/>
      <c r="HW20" s="949"/>
      <c r="HX20" s="949"/>
      <c r="HY20" s="949"/>
      <c r="HZ20" s="949"/>
      <c r="IA20" s="949"/>
      <c r="IB20" s="949"/>
      <c r="IC20" s="949"/>
      <c r="ID20" s="949"/>
      <c r="IE20" s="949"/>
      <c r="IF20" s="949"/>
      <c r="IG20" s="949"/>
      <c r="IH20" s="949"/>
      <c r="II20" s="949"/>
      <c r="IJ20" s="949"/>
      <c r="IK20" s="949"/>
      <c r="IL20" s="949"/>
      <c r="IM20" s="1"/>
      <c r="IN20" s="1"/>
      <c r="IO20" s="1"/>
      <c r="IP20" s="1"/>
      <c r="IQ20" s="1"/>
      <c r="IR20" s="1"/>
      <c r="IS20" s="1"/>
      <c r="IT20" s="1"/>
    </row>
    <row r="21" spans="1:254" s="84" customFormat="1" ht="12" customHeight="1" thickBot="1" x14ac:dyDescent="0.2">
      <c r="A21" s="941" t="s">
        <v>395</v>
      </c>
      <c r="B21" s="942">
        <f>キャラシート!D27</f>
        <v>5</v>
      </c>
      <c r="C21" s="87" t="s">
        <v>602</v>
      </c>
      <c r="D21" s="88" t="s">
        <v>603</v>
      </c>
      <c r="E21" s="943" t="str">
        <f>IF(F20&lt;100,IF(F20&lt;50,"通常状態",IF(F20&lt;60,"暴走Lv1 ",IF(F20&lt;70,"暴走Lv2",IF(F20&lt;80,"暴走Lv3",IF(F20&lt;90,"暴走Lv4","暴走Lv5"))))),IF(F20&lt;110,"臨界Lv1",IF(F20&lt;120,"臨界Lv2",IF(F20&lt;130,"臨界Lv3",IF(F20&lt;140,"臨界Lv4",IF(F20&lt;150,"臨界Lv5",IF(F20&lt;150,"活性Lv5","因子崩壊")))))))</f>
        <v>通常状態</v>
      </c>
      <c r="F21" s="943"/>
      <c r="G21" s="944" t="s">
        <v>15</v>
      </c>
      <c r="H21" s="944"/>
      <c r="I21" s="946" t="s">
        <v>415</v>
      </c>
      <c r="J21" s="946"/>
      <c r="K21" s="946" t="s">
        <v>604</v>
      </c>
      <c r="L21" s="946"/>
      <c r="M21" s="958"/>
      <c r="N21" s="958"/>
      <c r="O21" s="949"/>
      <c r="P21" s="981"/>
      <c r="Q21" s="949"/>
      <c r="R21" s="949"/>
      <c r="S21" s="949"/>
      <c r="T21" s="949"/>
      <c r="U21" s="949"/>
      <c r="V21" s="949"/>
      <c r="W21" s="949"/>
      <c r="X21" s="949"/>
      <c r="Y21" s="949"/>
      <c r="Z21" s="949"/>
      <c r="AA21" s="949"/>
      <c r="AB21" s="949"/>
      <c r="AC21" s="949"/>
      <c r="AD21" s="949"/>
      <c r="AE21" s="949"/>
      <c r="AF21" s="949"/>
      <c r="AG21" s="949"/>
      <c r="AH21" s="949"/>
      <c r="AI21" s="949"/>
      <c r="AJ21" s="949"/>
      <c r="AK21" s="949"/>
      <c r="AL21" s="949"/>
      <c r="AM21" s="949"/>
      <c r="AN21" s="949"/>
      <c r="AO21" s="949"/>
      <c r="AP21" s="949"/>
      <c r="AQ21" s="949"/>
      <c r="AR21" s="949"/>
      <c r="AS21" s="949"/>
      <c r="AT21" s="949"/>
      <c r="AU21" s="949"/>
      <c r="AV21" s="949"/>
      <c r="AW21" s="949"/>
      <c r="AX21" s="949"/>
      <c r="AY21" s="949"/>
      <c r="AZ21" s="949"/>
      <c r="BA21" s="949"/>
      <c r="BB21" s="949"/>
      <c r="BC21" s="949"/>
      <c r="BD21" s="949"/>
      <c r="BE21" s="949"/>
      <c r="BF21" s="949"/>
      <c r="BG21" s="949"/>
      <c r="BH21" s="949"/>
      <c r="BI21" s="949"/>
      <c r="BJ21" s="949"/>
      <c r="BK21" s="949"/>
      <c r="BL21" s="949"/>
      <c r="BM21" s="949"/>
      <c r="BN21" s="949"/>
      <c r="BO21" s="949"/>
      <c r="BP21" s="949"/>
      <c r="BQ21" s="949"/>
      <c r="BR21" s="949"/>
      <c r="BS21" s="949"/>
      <c r="BT21" s="949"/>
      <c r="BU21" s="949"/>
      <c r="BV21" s="949"/>
      <c r="BW21" s="949"/>
      <c r="BX21" s="949"/>
      <c r="BY21" s="949"/>
      <c r="BZ21" s="949"/>
      <c r="CA21" s="949"/>
      <c r="CB21" s="949"/>
      <c r="CC21" s="949"/>
      <c r="CD21" s="949"/>
      <c r="CE21" s="949"/>
      <c r="CF21" s="949"/>
      <c r="CG21" s="949"/>
      <c r="CH21" s="949"/>
      <c r="CI21" s="949"/>
      <c r="CJ21" s="949"/>
      <c r="CK21" s="949"/>
      <c r="CL21" s="949"/>
      <c r="CM21" s="949"/>
      <c r="CN21" s="949"/>
      <c r="CO21" s="949"/>
      <c r="CP21" s="949"/>
      <c r="CQ21" s="949"/>
      <c r="CR21" s="949"/>
      <c r="CS21" s="949"/>
      <c r="CT21" s="949"/>
      <c r="CU21" s="949"/>
      <c r="CV21" s="949"/>
      <c r="CW21" s="949"/>
      <c r="CX21" s="949"/>
      <c r="CY21" s="949"/>
      <c r="CZ21" s="949"/>
      <c r="DA21" s="949"/>
      <c r="DB21" s="949"/>
      <c r="DC21" s="949"/>
      <c r="DD21" s="949"/>
      <c r="DE21" s="949"/>
      <c r="DF21" s="949"/>
      <c r="DG21" s="949"/>
      <c r="DH21" s="949"/>
      <c r="DI21" s="949"/>
      <c r="DJ21" s="949"/>
      <c r="DK21" s="949"/>
      <c r="DL21" s="949"/>
      <c r="DM21" s="949"/>
      <c r="DN21" s="949"/>
      <c r="DO21" s="949"/>
      <c r="DP21" s="949"/>
      <c r="DQ21" s="949"/>
      <c r="DR21" s="949"/>
      <c r="DS21" s="949"/>
      <c r="DT21" s="949"/>
      <c r="DU21" s="949"/>
      <c r="DV21" s="949"/>
      <c r="DW21" s="949"/>
      <c r="DX21" s="949"/>
      <c r="DY21" s="949"/>
      <c r="DZ21" s="949"/>
      <c r="EA21" s="949"/>
      <c r="EB21" s="949"/>
      <c r="EC21" s="949"/>
      <c r="ED21" s="949"/>
      <c r="EE21" s="949"/>
      <c r="EF21" s="949"/>
      <c r="EG21" s="949"/>
      <c r="EH21" s="949"/>
      <c r="EI21" s="949"/>
      <c r="EJ21" s="949"/>
      <c r="EK21" s="949"/>
      <c r="EL21" s="949"/>
      <c r="EM21" s="949"/>
      <c r="EN21" s="949"/>
      <c r="EO21" s="949"/>
      <c r="EP21" s="949"/>
      <c r="EQ21" s="949"/>
      <c r="ER21" s="949"/>
      <c r="ES21" s="949"/>
      <c r="ET21" s="949"/>
      <c r="EU21" s="949"/>
      <c r="EV21" s="949"/>
      <c r="EW21" s="949"/>
      <c r="EX21" s="949"/>
      <c r="EY21" s="949"/>
      <c r="EZ21" s="949"/>
      <c r="FA21" s="949"/>
      <c r="FB21" s="949"/>
      <c r="FC21" s="949"/>
      <c r="FD21" s="949"/>
      <c r="FE21" s="949"/>
      <c r="FF21" s="949"/>
      <c r="FG21" s="949"/>
      <c r="FH21" s="949"/>
      <c r="FI21" s="949"/>
      <c r="FJ21" s="949"/>
      <c r="FK21" s="949"/>
      <c r="FL21" s="949"/>
      <c r="FM21" s="949"/>
      <c r="FN21" s="949"/>
      <c r="FO21" s="949"/>
      <c r="FP21" s="949"/>
      <c r="FQ21" s="949"/>
      <c r="FR21" s="949"/>
      <c r="FS21" s="949"/>
      <c r="FT21" s="949"/>
      <c r="FU21" s="949"/>
      <c r="FV21" s="949"/>
      <c r="FW21" s="949"/>
      <c r="FX21" s="949"/>
      <c r="FY21" s="949"/>
      <c r="FZ21" s="949"/>
      <c r="GA21" s="949"/>
      <c r="GB21" s="949"/>
      <c r="GC21" s="949"/>
      <c r="GD21" s="949"/>
      <c r="GE21" s="949"/>
      <c r="GF21" s="949"/>
      <c r="GG21" s="949"/>
      <c r="GH21" s="949"/>
      <c r="GI21" s="949"/>
      <c r="GJ21" s="949"/>
      <c r="GK21" s="949"/>
      <c r="GL21" s="949"/>
      <c r="GM21" s="949"/>
      <c r="GN21" s="949"/>
      <c r="GO21" s="949"/>
      <c r="GP21" s="949"/>
      <c r="GQ21" s="949"/>
      <c r="GR21" s="949"/>
      <c r="GS21" s="949"/>
      <c r="GT21" s="949"/>
      <c r="GU21" s="949"/>
      <c r="GV21" s="949"/>
      <c r="GW21" s="949"/>
      <c r="GX21" s="949"/>
      <c r="GY21" s="949"/>
      <c r="GZ21" s="949"/>
      <c r="HA21" s="949"/>
      <c r="HB21" s="949"/>
      <c r="HC21" s="949"/>
      <c r="HD21" s="949"/>
      <c r="HE21" s="949"/>
      <c r="HF21" s="949"/>
      <c r="HG21" s="949"/>
      <c r="HH21" s="949"/>
      <c r="HI21" s="949"/>
      <c r="HJ21" s="949"/>
      <c r="HK21" s="949"/>
      <c r="HL21" s="949"/>
      <c r="HM21" s="949"/>
      <c r="HN21" s="949"/>
      <c r="HO21" s="949"/>
      <c r="HP21" s="949"/>
      <c r="HQ21" s="949"/>
      <c r="HR21" s="949"/>
      <c r="HS21" s="949"/>
      <c r="HT21" s="949"/>
      <c r="HU21" s="949"/>
      <c r="HV21" s="949"/>
      <c r="HW21" s="949"/>
      <c r="HX21" s="949"/>
      <c r="HY21" s="949"/>
      <c r="HZ21" s="949"/>
      <c r="IA21" s="949"/>
      <c r="IB21" s="949"/>
      <c r="IC21" s="949"/>
      <c r="ID21" s="949"/>
      <c r="IE21" s="949"/>
      <c r="IF21" s="949"/>
      <c r="IG21" s="949"/>
      <c r="IH21" s="949"/>
      <c r="II21" s="949"/>
      <c r="IJ21" s="949"/>
      <c r="IK21" s="949"/>
      <c r="IL21" s="949"/>
      <c r="IM21" s="1"/>
      <c r="IN21" s="1"/>
      <c r="IO21" s="1"/>
      <c r="IP21" s="1"/>
      <c r="IQ21" s="1"/>
      <c r="IR21" s="1"/>
      <c r="IS21" s="1"/>
      <c r="IT21" s="1"/>
    </row>
    <row r="22" spans="1:254" s="84" customFormat="1" ht="12.9" customHeight="1" thickBot="1" x14ac:dyDescent="0.2">
      <c r="A22" s="941"/>
      <c r="B22" s="942"/>
      <c r="C22" s="89">
        <f>SUM(L25:IQ25)</f>
        <v>0</v>
      </c>
      <c r="D22" s="13">
        <f>ROUNDDOWN((C22/5),0)+SUM(I23:IL23)</f>
        <v>0</v>
      </c>
      <c r="E22" s="947" t="str">
        <f>IF(F20&lt;50,"未活性",IF(F20&lt;60,"活性Lv1",IF(F20&lt;70,"活性Lv2",IF(F20&lt;80,"活性Lv3",IF(F20&lt;90,"活性Lv4",IF(F20&lt;100,"活性Lv5",IF(F20&lt;150,"活性Lv5","強制キャラロスト")))))))</f>
        <v>未活性</v>
      </c>
      <c r="F22" s="947"/>
      <c r="G22" s="978" t="str">
        <f>キャラシート!J6</f>
        <v>－</v>
      </c>
      <c r="H22" s="978"/>
      <c r="I22" s="979">
        <f>キャラシート!L6</f>
        <v>0</v>
      </c>
      <c r="J22" s="979"/>
      <c r="K22" s="932" t="str">
        <f>IF(OR(A20&lt;=B20/2,F20&gt;=90),IF(F20&gt;=120,"オーバーフロー","発動中"),"-")</f>
        <v>-</v>
      </c>
      <c r="L22" s="932"/>
      <c r="M22" s="958"/>
      <c r="N22" s="958"/>
      <c r="O22" s="949"/>
      <c r="P22" s="981"/>
      <c r="Q22" s="949"/>
      <c r="R22" s="949"/>
      <c r="S22" s="949"/>
      <c r="T22" s="949"/>
      <c r="U22" s="949"/>
      <c r="V22" s="949"/>
      <c r="W22" s="949"/>
      <c r="X22" s="949"/>
      <c r="Y22" s="949"/>
      <c r="Z22" s="949"/>
      <c r="AA22" s="949"/>
      <c r="AB22" s="949"/>
      <c r="AC22" s="949"/>
      <c r="AD22" s="949"/>
      <c r="AE22" s="949"/>
      <c r="AF22" s="949"/>
      <c r="AG22" s="949"/>
      <c r="AH22" s="949"/>
      <c r="AI22" s="949"/>
      <c r="AJ22" s="949"/>
      <c r="AK22" s="949"/>
      <c r="AL22" s="949"/>
      <c r="AM22" s="949"/>
      <c r="AN22" s="949"/>
      <c r="AO22" s="949"/>
      <c r="AP22" s="949"/>
      <c r="AQ22" s="949"/>
      <c r="AR22" s="949"/>
      <c r="AS22" s="949"/>
      <c r="AT22" s="949"/>
      <c r="AU22" s="949"/>
      <c r="AV22" s="949"/>
      <c r="AW22" s="949"/>
      <c r="AX22" s="949"/>
      <c r="AY22" s="949"/>
      <c r="AZ22" s="949"/>
      <c r="BA22" s="949"/>
      <c r="BB22" s="949"/>
      <c r="BC22" s="949"/>
      <c r="BD22" s="949"/>
      <c r="BE22" s="949"/>
      <c r="BF22" s="949"/>
      <c r="BG22" s="949"/>
      <c r="BH22" s="949"/>
      <c r="BI22" s="949"/>
      <c r="BJ22" s="949"/>
      <c r="BK22" s="949"/>
      <c r="BL22" s="949"/>
      <c r="BM22" s="949"/>
      <c r="BN22" s="949"/>
      <c r="BO22" s="949"/>
      <c r="BP22" s="949"/>
      <c r="BQ22" s="949"/>
      <c r="BR22" s="949"/>
      <c r="BS22" s="949"/>
      <c r="BT22" s="949"/>
      <c r="BU22" s="949"/>
      <c r="BV22" s="949"/>
      <c r="BW22" s="949"/>
      <c r="BX22" s="949"/>
      <c r="BY22" s="949"/>
      <c r="BZ22" s="949"/>
      <c r="CA22" s="949"/>
      <c r="CB22" s="949"/>
      <c r="CC22" s="949"/>
      <c r="CD22" s="949"/>
      <c r="CE22" s="949"/>
      <c r="CF22" s="949"/>
      <c r="CG22" s="949"/>
      <c r="CH22" s="949"/>
      <c r="CI22" s="949"/>
      <c r="CJ22" s="949"/>
      <c r="CK22" s="949"/>
      <c r="CL22" s="949"/>
      <c r="CM22" s="949"/>
      <c r="CN22" s="949"/>
      <c r="CO22" s="949"/>
      <c r="CP22" s="949"/>
      <c r="CQ22" s="949"/>
      <c r="CR22" s="949"/>
      <c r="CS22" s="949"/>
      <c r="CT22" s="949"/>
      <c r="CU22" s="949"/>
      <c r="CV22" s="949"/>
      <c r="CW22" s="949"/>
      <c r="CX22" s="949"/>
      <c r="CY22" s="949"/>
      <c r="CZ22" s="949"/>
      <c r="DA22" s="949"/>
      <c r="DB22" s="949"/>
      <c r="DC22" s="949"/>
      <c r="DD22" s="949"/>
      <c r="DE22" s="949"/>
      <c r="DF22" s="949"/>
      <c r="DG22" s="949"/>
      <c r="DH22" s="949"/>
      <c r="DI22" s="949"/>
      <c r="DJ22" s="949"/>
      <c r="DK22" s="949"/>
      <c r="DL22" s="949"/>
      <c r="DM22" s="949"/>
      <c r="DN22" s="949"/>
      <c r="DO22" s="949"/>
      <c r="DP22" s="949"/>
      <c r="DQ22" s="949"/>
      <c r="DR22" s="949"/>
      <c r="DS22" s="949"/>
      <c r="DT22" s="949"/>
      <c r="DU22" s="949"/>
      <c r="DV22" s="949"/>
      <c r="DW22" s="949"/>
      <c r="DX22" s="949"/>
      <c r="DY22" s="949"/>
      <c r="DZ22" s="949"/>
      <c r="EA22" s="949"/>
      <c r="EB22" s="949"/>
      <c r="EC22" s="949"/>
      <c r="ED22" s="949"/>
      <c r="EE22" s="949"/>
      <c r="EF22" s="949"/>
      <c r="EG22" s="949"/>
      <c r="EH22" s="949"/>
      <c r="EI22" s="949"/>
      <c r="EJ22" s="949"/>
      <c r="EK22" s="949"/>
      <c r="EL22" s="949"/>
      <c r="EM22" s="949"/>
      <c r="EN22" s="949"/>
      <c r="EO22" s="949"/>
      <c r="EP22" s="949"/>
      <c r="EQ22" s="949"/>
      <c r="ER22" s="949"/>
      <c r="ES22" s="949"/>
      <c r="ET22" s="949"/>
      <c r="EU22" s="949"/>
      <c r="EV22" s="949"/>
      <c r="EW22" s="949"/>
      <c r="EX22" s="949"/>
      <c r="EY22" s="949"/>
      <c r="EZ22" s="949"/>
      <c r="FA22" s="949"/>
      <c r="FB22" s="949"/>
      <c r="FC22" s="949"/>
      <c r="FD22" s="949"/>
      <c r="FE22" s="949"/>
      <c r="FF22" s="949"/>
      <c r="FG22" s="949"/>
      <c r="FH22" s="949"/>
      <c r="FI22" s="949"/>
      <c r="FJ22" s="949"/>
      <c r="FK22" s="949"/>
      <c r="FL22" s="949"/>
      <c r="FM22" s="949"/>
      <c r="FN22" s="949"/>
      <c r="FO22" s="949"/>
      <c r="FP22" s="949"/>
      <c r="FQ22" s="949"/>
      <c r="FR22" s="949"/>
      <c r="FS22" s="949"/>
      <c r="FT22" s="949"/>
      <c r="FU22" s="949"/>
      <c r="FV22" s="949"/>
      <c r="FW22" s="949"/>
      <c r="FX22" s="949"/>
      <c r="FY22" s="949"/>
      <c r="FZ22" s="949"/>
      <c r="GA22" s="949"/>
      <c r="GB22" s="949"/>
      <c r="GC22" s="949"/>
      <c r="GD22" s="949"/>
      <c r="GE22" s="949"/>
      <c r="GF22" s="949"/>
      <c r="GG22" s="949"/>
      <c r="GH22" s="949"/>
      <c r="GI22" s="949"/>
      <c r="GJ22" s="949"/>
      <c r="GK22" s="949"/>
      <c r="GL22" s="949"/>
      <c r="GM22" s="949"/>
      <c r="GN22" s="949"/>
      <c r="GO22" s="949"/>
      <c r="GP22" s="949"/>
      <c r="GQ22" s="949"/>
      <c r="GR22" s="949"/>
      <c r="GS22" s="949"/>
      <c r="GT22" s="949"/>
      <c r="GU22" s="949"/>
      <c r="GV22" s="949"/>
      <c r="GW22" s="949"/>
      <c r="GX22" s="949"/>
      <c r="GY22" s="949"/>
      <c r="GZ22" s="949"/>
      <c r="HA22" s="949"/>
      <c r="HB22" s="949"/>
      <c r="HC22" s="949"/>
      <c r="HD22" s="949"/>
      <c r="HE22" s="949"/>
      <c r="HF22" s="949"/>
      <c r="HG22" s="949"/>
      <c r="HH22" s="949"/>
      <c r="HI22" s="949"/>
      <c r="HJ22" s="949"/>
      <c r="HK22" s="949"/>
      <c r="HL22" s="949"/>
      <c r="HM22" s="949"/>
      <c r="HN22" s="949"/>
      <c r="HO22" s="949"/>
      <c r="HP22" s="949"/>
      <c r="HQ22" s="949"/>
      <c r="HR22" s="949"/>
      <c r="HS22" s="949"/>
      <c r="HT22" s="949"/>
      <c r="HU22" s="949"/>
      <c r="HV22" s="949"/>
      <c r="HW22" s="949"/>
      <c r="HX22" s="949"/>
      <c r="HY22" s="949"/>
      <c r="HZ22" s="949"/>
      <c r="IA22" s="949"/>
      <c r="IB22" s="949"/>
      <c r="IC22" s="949"/>
      <c r="ID22" s="949"/>
      <c r="IE22" s="949"/>
      <c r="IF22" s="949"/>
      <c r="IG22" s="949"/>
      <c r="IH22" s="949"/>
      <c r="II22" s="949"/>
      <c r="IJ22" s="949"/>
      <c r="IK22" s="949"/>
      <c r="IL22" s="949"/>
      <c r="IM22" s="1"/>
      <c r="IN22" s="1"/>
      <c r="IO22" s="1"/>
      <c r="IP22" s="1"/>
      <c r="IQ22" s="1"/>
      <c r="IR22" s="1"/>
      <c r="IS22" s="1"/>
      <c r="IT22" s="1"/>
    </row>
    <row r="23" spans="1:254" s="92" customFormat="1" ht="12.9" customHeight="1" thickBot="1" x14ac:dyDescent="0.2">
      <c r="A23" s="90" t="s">
        <v>387</v>
      </c>
      <c r="B23" s="14" t="str">
        <f>キャラシート!C31&amp;"+"&amp;キャラシート!D31&amp;"D6"</f>
        <v>6+1D6</v>
      </c>
      <c r="C23" s="933" t="str">
        <f>IF(G18="反応型",IF(50&gt;F20,"+0",IF(60&gt;F20,"+1",IF(70&gt;F20,"+2",IF(F20&gt;=70,"+3")))),"活性補正")</f>
        <v>活性補正</v>
      </c>
      <c r="D23" s="46" t="s">
        <v>388</v>
      </c>
      <c r="E23" s="15" t="str">
        <f>キャラシート!G31&amp;"D6"&amp;"+"&amp;キャラシート!H31</f>
        <v>0D6+0</v>
      </c>
      <c r="F23" s="934" t="str">
        <f>IF(G18="増強型",IF(50&gt;F20,"+0",IF(60&gt;F20,"+1",IF(70&gt;F20,"+2",IF(F20&gt;=70,"+3")))),"活性補正")</f>
        <v>活性補正</v>
      </c>
      <c r="G23" s="935" t="s">
        <v>605</v>
      </c>
      <c r="H23" s="935"/>
      <c r="I23" s="936" t="s">
        <v>606</v>
      </c>
      <c r="J23" s="936"/>
      <c r="K23" s="936"/>
      <c r="L23" s="936"/>
      <c r="M23" s="91" t="s">
        <v>607</v>
      </c>
      <c r="N23" s="92" t="s">
        <v>593</v>
      </c>
      <c r="O23" s="92" t="str">
        <f>キャラシート!P4</f>
        <v>－</v>
      </c>
      <c r="IL23" s="93"/>
      <c r="IM23" s="1"/>
      <c r="IN23" s="1"/>
      <c r="IO23" s="1"/>
      <c r="IP23" s="1"/>
      <c r="IQ23" s="1"/>
      <c r="IR23" s="1"/>
      <c r="IS23" s="1"/>
      <c r="IT23" s="1"/>
    </row>
    <row r="24" spans="1:254" s="98" customFormat="1" ht="12.9" customHeight="1" thickBot="1" x14ac:dyDescent="0.2">
      <c r="A24" s="21" t="s">
        <v>390</v>
      </c>
      <c r="B24" s="16" t="str">
        <f>キャラシート!C33&amp;"+"&amp;キャラシート!D33&amp;"D6"</f>
        <v>7+1D6</v>
      </c>
      <c r="C24" s="933"/>
      <c r="D24" s="20" t="s">
        <v>391</v>
      </c>
      <c r="E24" s="17" t="str">
        <f>キャラシート!G33&amp;"D6"&amp;"+"&amp;キャラシート!H33</f>
        <v>0D6+0</v>
      </c>
      <c r="F24" s="934"/>
      <c r="G24" s="937" t="s">
        <v>608</v>
      </c>
      <c r="H24" s="937"/>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33"/>
      <c r="D25" s="20" t="s">
        <v>394</v>
      </c>
      <c r="E25" s="17" t="str">
        <f>キャラシート!G35&amp;"D6"&amp;"+"&amp;キャラシート!H35</f>
        <v>0D6+0</v>
      </c>
      <c r="F25" s="934"/>
      <c r="G25" s="928" t="s">
        <v>611</v>
      </c>
      <c r="H25" s="928"/>
      <c r="I25" s="100"/>
      <c r="J25" s="101"/>
      <c r="K25" s="101"/>
      <c r="L25" s="102"/>
      <c r="M25" s="103" t="s">
        <v>612</v>
      </c>
      <c r="N25" s="104" t="s">
        <v>593</v>
      </c>
      <c r="O25" s="104"/>
      <c r="IL25" s="106"/>
      <c r="IM25" s="1"/>
      <c r="IN25" s="1"/>
      <c r="IO25" s="1"/>
      <c r="IP25" s="1"/>
      <c r="IQ25" s="1"/>
      <c r="IR25" s="1"/>
      <c r="IS25" s="1"/>
      <c r="IT25" s="1"/>
    </row>
    <row r="26" spans="1:254" s="105" customFormat="1" ht="12.9" customHeight="1" x14ac:dyDescent="0.15">
      <c r="A26" s="21" t="s">
        <v>244</v>
      </c>
      <c r="B26" s="104">
        <f>キャラシート!D23</f>
        <v>2</v>
      </c>
      <c r="C26" s="927" t="str">
        <f>IF(G18="増強型",IF(50&gt;F20,"+0",IF(60&gt;F20,"+1",IF(70&gt;F20,"+2",IF(F20&gt;=70,"+3")))),"活性補正")</f>
        <v>活性補正</v>
      </c>
      <c r="D26" s="20" t="s">
        <v>613</v>
      </c>
      <c r="E26" s="104">
        <f>キャラシート!H25</f>
        <v>4</v>
      </c>
      <c r="F26" s="18"/>
      <c r="G26" s="928" t="s">
        <v>614</v>
      </c>
      <c r="H26" s="928"/>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 customHeight="1" thickBot="1" x14ac:dyDescent="0.2">
      <c r="A27" s="21" t="s">
        <v>392</v>
      </c>
      <c r="B27" s="104">
        <f>キャラシート!D25</f>
        <v>2</v>
      </c>
      <c r="C27" s="927"/>
      <c r="D27" s="20" t="s">
        <v>397</v>
      </c>
      <c r="E27" s="104">
        <f>キャラシート!H27</f>
        <v>2</v>
      </c>
      <c r="F27" s="109" t="str">
        <f>IF(G18="覚醒型",IF(50&gt;F20,"+0",IF(60&gt;F20,"+1",IF(70&gt;F20,"+2",IF(F20&gt;=70,"+3")))),"活性補正")</f>
        <v>活性補正</v>
      </c>
      <c r="G27" s="929" t="s">
        <v>617</v>
      </c>
      <c r="H27" s="929"/>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 customHeight="1" x14ac:dyDescent="0.15">
      <c r="A28" s="90" t="s">
        <v>620</v>
      </c>
      <c r="B28" s="46" t="s">
        <v>621</v>
      </c>
      <c r="C28" s="46" t="s">
        <v>622</v>
      </c>
      <c r="D28" s="46" t="s">
        <v>620</v>
      </c>
      <c r="E28" s="46" t="s">
        <v>621</v>
      </c>
      <c r="F28" s="116" t="s">
        <v>622</v>
      </c>
      <c r="G28" s="976" t="s">
        <v>623</v>
      </c>
      <c r="H28" s="976"/>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76" t="s">
        <v>625</v>
      </c>
      <c r="H29" s="976"/>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77" t="s">
        <v>626</v>
      </c>
      <c r="H30" s="977"/>
      <c r="I30" s="972" t="s">
        <v>627</v>
      </c>
      <c r="J30" s="972"/>
      <c r="K30" s="972"/>
      <c r="L30" s="972"/>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73" t="s">
        <v>628</v>
      </c>
      <c r="J31" s="973"/>
      <c r="K31" s="973"/>
      <c r="L31" s="973"/>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74" t="str">
        <f>"HP"&amp;A20&amp;"/"&amp;"PP"&amp;C20&amp;"/暴走"&amp;F20&amp;"%/"&amp;D22&amp;"D/総消費"&amp;C22&amp;"pp"&amp;IF(J28="－","","　"&amp;G20&amp;"@"&amp;L28)&amp;IF(J29="－","","　"&amp;G22&amp;"@"&amp;L29)</f>
        <v>HP12/PP18/暴走16%/0D/総消費0pp　－@1　－@1</v>
      </c>
      <c r="J32" s="974"/>
      <c r="K32" s="974"/>
      <c r="L32" s="974"/>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75" t="s">
        <v>629</v>
      </c>
      <c r="H33" s="975"/>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 hidden="1" customHeight="1" thickBot="1" x14ac:dyDescent="0.2">
      <c r="A36" s="966" t="s">
        <v>383</v>
      </c>
      <c r="B36" s="966"/>
      <c r="C36" s="966"/>
      <c r="D36" s="966"/>
      <c r="E36" s="967" t="s">
        <v>630</v>
      </c>
      <c r="F36" s="968" t="str">
        <f>クリーチャー!F19</f>
        <v>1D6</v>
      </c>
      <c r="G36" s="969" t="s">
        <v>631</v>
      </c>
      <c r="H36" s="969"/>
      <c r="I36" s="969"/>
      <c r="J36" s="969"/>
      <c r="K36" s="969"/>
      <c r="L36" s="969"/>
      <c r="M36" s="958" t="s">
        <v>592</v>
      </c>
      <c r="N36" s="949" t="s">
        <v>593</v>
      </c>
      <c r="O36" s="949"/>
      <c r="P36" s="949"/>
      <c r="Q36" s="949"/>
      <c r="R36" s="949"/>
      <c r="S36" s="949"/>
      <c r="T36" s="949"/>
      <c r="U36" s="949"/>
      <c r="V36" s="949"/>
      <c r="W36" s="949"/>
      <c r="X36" s="949"/>
      <c r="Y36" s="949"/>
      <c r="Z36" s="949"/>
      <c r="AA36" s="949"/>
      <c r="AB36" s="949"/>
      <c r="AC36" s="949"/>
      <c r="AD36" s="949"/>
      <c r="AE36" s="949"/>
      <c r="AF36" s="949"/>
      <c r="AG36" s="949"/>
      <c r="AH36" s="949"/>
      <c r="AI36" s="949"/>
      <c r="AJ36" s="949"/>
      <c r="AK36" s="949"/>
      <c r="AL36" s="949"/>
      <c r="AM36" s="949"/>
      <c r="AN36" s="949"/>
      <c r="AO36" s="949"/>
      <c r="AP36" s="949"/>
      <c r="AQ36" s="949"/>
      <c r="AR36" s="949"/>
      <c r="AS36" s="949"/>
      <c r="AT36" s="949"/>
      <c r="AU36" s="949"/>
      <c r="AV36" s="949"/>
      <c r="AW36" s="949"/>
      <c r="AX36" s="949"/>
      <c r="AY36" s="949"/>
      <c r="AZ36" s="949"/>
      <c r="BA36" s="949"/>
      <c r="BB36" s="949"/>
      <c r="BC36" s="949"/>
      <c r="BD36" s="949"/>
      <c r="BE36" s="949"/>
      <c r="BF36" s="949"/>
      <c r="BG36" s="949"/>
      <c r="BH36" s="949"/>
      <c r="BI36" s="949"/>
      <c r="BJ36" s="949"/>
      <c r="BK36" s="949"/>
      <c r="BL36" s="949"/>
      <c r="BM36" s="949"/>
      <c r="BN36" s="949"/>
      <c r="BO36" s="949"/>
      <c r="BP36" s="949"/>
      <c r="BQ36" s="949"/>
      <c r="BR36" s="949"/>
      <c r="BS36" s="949"/>
      <c r="BT36" s="949"/>
      <c r="BU36" s="949"/>
      <c r="BV36" s="949"/>
      <c r="BW36" s="949"/>
      <c r="BX36" s="949"/>
      <c r="BY36" s="949"/>
      <c r="BZ36" s="949"/>
      <c r="CA36" s="949"/>
      <c r="CB36" s="949"/>
      <c r="CC36" s="949"/>
      <c r="CD36" s="949"/>
      <c r="CE36" s="949"/>
      <c r="CF36" s="949"/>
      <c r="CG36" s="949"/>
      <c r="CH36" s="949"/>
      <c r="CI36" s="949"/>
      <c r="CJ36" s="949"/>
      <c r="CK36" s="949"/>
      <c r="CL36" s="949"/>
      <c r="CM36" s="949"/>
      <c r="CN36" s="949"/>
      <c r="CO36" s="949"/>
      <c r="CP36" s="949"/>
      <c r="CQ36" s="949"/>
      <c r="CR36" s="949"/>
      <c r="CS36" s="949"/>
      <c r="CT36" s="949"/>
      <c r="CU36" s="949"/>
      <c r="CV36" s="949"/>
      <c r="CW36" s="949"/>
      <c r="CX36" s="949"/>
      <c r="CY36" s="949"/>
      <c r="CZ36" s="949"/>
      <c r="DA36" s="949"/>
      <c r="DB36" s="949"/>
      <c r="DC36" s="949"/>
      <c r="DD36" s="949"/>
      <c r="DE36" s="949"/>
      <c r="DF36" s="949"/>
      <c r="DG36" s="949"/>
      <c r="DH36" s="949"/>
      <c r="DI36" s="949"/>
      <c r="DJ36" s="949"/>
      <c r="DK36" s="949"/>
      <c r="DL36" s="949"/>
      <c r="DM36" s="949"/>
      <c r="DN36" s="949"/>
      <c r="DO36" s="949"/>
      <c r="DP36" s="949"/>
      <c r="DQ36" s="949"/>
      <c r="DR36" s="949"/>
      <c r="DS36" s="949"/>
      <c r="DT36" s="949"/>
      <c r="DU36" s="949"/>
      <c r="DV36" s="949"/>
      <c r="DW36" s="949"/>
      <c r="DX36" s="949"/>
      <c r="DY36" s="949"/>
      <c r="DZ36" s="949"/>
      <c r="EA36" s="949"/>
      <c r="EB36" s="949"/>
      <c r="EC36" s="949"/>
      <c r="ED36" s="949"/>
      <c r="EE36" s="949"/>
      <c r="EF36" s="949"/>
      <c r="EG36" s="949"/>
      <c r="EH36" s="949"/>
      <c r="EI36" s="949"/>
      <c r="EJ36" s="949"/>
      <c r="EK36" s="949"/>
      <c r="EL36" s="949"/>
      <c r="EM36" s="949"/>
      <c r="EN36" s="949"/>
      <c r="EO36" s="949"/>
      <c r="EP36" s="949"/>
      <c r="EQ36" s="949"/>
      <c r="ER36" s="949"/>
      <c r="ES36" s="949"/>
      <c r="ET36" s="949"/>
      <c r="EU36" s="949"/>
      <c r="EV36" s="949"/>
      <c r="EW36" s="949"/>
      <c r="EX36" s="949"/>
      <c r="EY36" s="949"/>
      <c r="EZ36" s="949"/>
      <c r="FA36" s="949"/>
      <c r="FB36" s="949"/>
      <c r="FC36" s="949"/>
      <c r="FD36" s="949"/>
      <c r="FE36" s="949"/>
      <c r="FF36" s="949"/>
      <c r="FG36" s="949"/>
      <c r="FH36" s="949"/>
      <c r="FI36" s="949"/>
      <c r="FJ36" s="949"/>
      <c r="FK36" s="949"/>
      <c r="FL36" s="949"/>
      <c r="FM36" s="949"/>
      <c r="FN36" s="949"/>
      <c r="FO36" s="949"/>
      <c r="FP36" s="949"/>
      <c r="FQ36" s="949"/>
      <c r="FR36" s="949"/>
      <c r="FS36" s="949"/>
      <c r="FT36" s="949"/>
      <c r="FU36" s="949"/>
      <c r="FV36" s="949"/>
      <c r="FW36" s="949"/>
      <c r="FX36" s="949"/>
      <c r="FY36" s="949"/>
      <c r="FZ36" s="949"/>
      <c r="GA36" s="949"/>
      <c r="GB36" s="949"/>
      <c r="GC36" s="949"/>
      <c r="GD36" s="949"/>
      <c r="GE36" s="949"/>
      <c r="GF36" s="949"/>
      <c r="GG36" s="949"/>
      <c r="GH36" s="949"/>
      <c r="GI36" s="949"/>
      <c r="GJ36" s="949"/>
      <c r="GK36" s="949"/>
      <c r="GL36" s="949"/>
      <c r="GM36" s="949"/>
      <c r="GN36" s="949"/>
      <c r="GO36" s="949"/>
      <c r="GP36" s="949"/>
      <c r="GQ36" s="949"/>
      <c r="GR36" s="949"/>
      <c r="GS36" s="949"/>
      <c r="GT36" s="949"/>
      <c r="GU36" s="949"/>
      <c r="GV36" s="949"/>
      <c r="GW36" s="949"/>
      <c r="GX36" s="949"/>
      <c r="GY36" s="949"/>
      <c r="GZ36" s="949"/>
      <c r="HA36" s="949"/>
      <c r="HB36" s="949"/>
      <c r="HC36" s="949"/>
      <c r="HD36" s="949"/>
      <c r="HE36" s="949"/>
      <c r="HF36" s="949"/>
      <c r="HG36" s="949"/>
      <c r="HH36" s="949"/>
      <c r="HI36" s="949"/>
      <c r="HJ36" s="949"/>
      <c r="HK36" s="949"/>
      <c r="HL36" s="949"/>
      <c r="HM36" s="949"/>
      <c r="HN36" s="949"/>
      <c r="HO36" s="949"/>
      <c r="HP36" s="949"/>
      <c r="HQ36" s="949"/>
      <c r="HR36" s="949"/>
      <c r="HS36" s="949"/>
      <c r="HT36" s="949"/>
      <c r="HU36" s="949"/>
      <c r="HV36" s="949"/>
      <c r="HW36" s="949"/>
      <c r="HX36" s="949"/>
      <c r="HY36" s="949"/>
      <c r="HZ36" s="949"/>
      <c r="IA36" s="949"/>
      <c r="IB36" s="949"/>
      <c r="IC36" s="949"/>
      <c r="ID36" s="949"/>
      <c r="IE36" s="949"/>
      <c r="IF36" s="949"/>
      <c r="IG36" s="949"/>
      <c r="IH36" s="949"/>
      <c r="II36" s="949"/>
      <c r="IJ36" s="949"/>
      <c r="IK36" s="949"/>
      <c r="IL36" s="948"/>
      <c r="IM36" s="1"/>
      <c r="IN36" s="1"/>
      <c r="IO36" s="1"/>
      <c r="IP36" s="1"/>
      <c r="IQ36" s="1"/>
      <c r="IR36" s="1"/>
      <c r="IS36" s="1"/>
      <c r="IT36" s="1"/>
    </row>
    <row r="37" spans="1:254" s="84" customFormat="1" ht="12.9" hidden="1" customHeight="1" thickBot="1" x14ac:dyDescent="0.2">
      <c r="A37" s="961">
        <f>クリーチャー!D2</f>
        <v>0</v>
      </c>
      <c r="B37" s="961"/>
      <c r="C37" s="961"/>
      <c r="D37" s="961"/>
      <c r="E37" s="967"/>
      <c r="F37" s="968"/>
      <c r="G37" s="24" t="s">
        <v>33</v>
      </c>
      <c r="H37" s="138" t="s">
        <v>243</v>
      </c>
      <c r="I37" s="32" t="s">
        <v>113</v>
      </c>
      <c r="J37" s="138" t="s">
        <v>243</v>
      </c>
      <c r="K37" s="33" t="s">
        <v>160</v>
      </c>
      <c r="L37" s="138" t="s">
        <v>243</v>
      </c>
      <c r="M37" s="958"/>
      <c r="N37" s="949"/>
      <c r="O37" s="949"/>
      <c r="P37" s="949"/>
      <c r="Q37" s="949"/>
      <c r="R37" s="949"/>
      <c r="S37" s="949"/>
      <c r="T37" s="949"/>
      <c r="U37" s="949"/>
      <c r="V37" s="949"/>
      <c r="W37" s="949"/>
      <c r="X37" s="949"/>
      <c r="Y37" s="949"/>
      <c r="Z37" s="949"/>
      <c r="AA37" s="949"/>
      <c r="AB37" s="949"/>
      <c r="AC37" s="949"/>
      <c r="AD37" s="949"/>
      <c r="AE37" s="949"/>
      <c r="AF37" s="949"/>
      <c r="AG37" s="949"/>
      <c r="AH37" s="949"/>
      <c r="AI37" s="949"/>
      <c r="AJ37" s="949"/>
      <c r="AK37" s="949"/>
      <c r="AL37" s="949"/>
      <c r="AM37" s="949"/>
      <c r="AN37" s="949"/>
      <c r="AO37" s="949"/>
      <c r="AP37" s="949"/>
      <c r="AQ37" s="949"/>
      <c r="AR37" s="949"/>
      <c r="AS37" s="949"/>
      <c r="AT37" s="949"/>
      <c r="AU37" s="949"/>
      <c r="AV37" s="949"/>
      <c r="AW37" s="949"/>
      <c r="AX37" s="949"/>
      <c r="AY37" s="949"/>
      <c r="AZ37" s="949"/>
      <c r="BA37" s="949"/>
      <c r="BB37" s="949"/>
      <c r="BC37" s="949"/>
      <c r="BD37" s="949"/>
      <c r="BE37" s="949"/>
      <c r="BF37" s="949"/>
      <c r="BG37" s="949"/>
      <c r="BH37" s="949"/>
      <c r="BI37" s="949"/>
      <c r="BJ37" s="949"/>
      <c r="BK37" s="949"/>
      <c r="BL37" s="949"/>
      <c r="BM37" s="949"/>
      <c r="BN37" s="949"/>
      <c r="BO37" s="949"/>
      <c r="BP37" s="949"/>
      <c r="BQ37" s="949"/>
      <c r="BR37" s="949"/>
      <c r="BS37" s="949"/>
      <c r="BT37" s="949"/>
      <c r="BU37" s="949"/>
      <c r="BV37" s="949"/>
      <c r="BW37" s="949"/>
      <c r="BX37" s="949"/>
      <c r="BY37" s="949"/>
      <c r="BZ37" s="949"/>
      <c r="CA37" s="949"/>
      <c r="CB37" s="949"/>
      <c r="CC37" s="949"/>
      <c r="CD37" s="949"/>
      <c r="CE37" s="949"/>
      <c r="CF37" s="949"/>
      <c r="CG37" s="949"/>
      <c r="CH37" s="949"/>
      <c r="CI37" s="949"/>
      <c r="CJ37" s="949"/>
      <c r="CK37" s="949"/>
      <c r="CL37" s="949"/>
      <c r="CM37" s="949"/>
      <c r="CN37" s="949"/>
      <c r="CO37" s="949"/>
      <c r="CP37" s="949"/>
      <c r="CQ37" s="949"/>
      <c r="CR37" s="949"/>
      <c r="CS37" s="949"/>
      <c r="CT37" s="949"/>
      <c r="CU37" s="949"/>
      <c r="CV37" s="949"/>
      <c r="CW37" s="949"/>
      <c r="CX37" s="949"/>
      <c r="CY37" s="949"/>
      <c r="CZ37" s="949"/>
      <c r="DA37" s="949"/>
      <c r="DB37" s="949"/>
      <c r="DC37" s="949"/>
      <c r="DD37" s="949"/>
      <c r="DE37" s="949"/>
      <c r="DF37" s="949"/>
      <c r="DG37" s="949"/>
      <c r="DH37" s="949"/>
      <c r="DI37" s="949"/>
      <c r="DJ37" s="949"/>
      <c r="DK37" s="949"/>
      <c r="DL37" s="949"/>
      <c r="DM37" s="949"/>
      <c r="DN37" s="949"/>
      <c r="DO37" s="949"/>
      <c r="DP37" s="949"/>
      <c r="DQ37" s="949"/>
      <c r="DR37" s="949"/>
      <c r="DS37" s="949"/>
      <c r="DT37" s="949"/>
      <c r="DU37" s="949"/>
      <c r="DV37" s="949"/>
      <c r="DW37" s="949"/>
      <c r="DX37" s="949"/>
      <c r="DY37" s="949"/>
      <c r="DZ37" s="949"/>
      <c r="EA37" s="949"/>
      <c r="EB37" s="949"/>
      <c r="EC37" s="949"/>
      <c r="ED37" s="949"/>
      <c r="EE37" s="949"/>
      <c r="EF37" s="949"/>
      <c r="EG37" s="949"/>
      <c r="EH37" s="949"/>
      <c r="EI37" s="949"/>
      <c r="EJ37" s="949"/>
      <c r="EK37" s="949"/>
      <c r="EL37" s="949"/>
      <c r="EM37" s="949"/>
      <c r="EN37" s="949"/>
      <c r="EO37" s="949"/>
      <c r="EP37" s="949"/>
      <c r="EQ37" s="949"/>
      <c r="ER37" s="949"/>
      <c r="ES37" s="949"/>
      <c r="ET37" s="949"/>
      <c r="EU37" s="949"/>
      <c r="EV37" s="949"/>
      <c r="EW37" s="949"/>
      <c r="EX37" s="949"/>
      <c r="EY37" s="949"/>
      <c r="EZ37" s="949"/>
      <c r="FA37" s="949"/>
      <c r="FB37" s="949"/>
      <c r="FC37" s="949"/>
      <c r="FD37" s="949"/>
      <c r="FE37" s="949"/>
      <c r="FF37" s="949"/>
      <c r="FG37" s="949"/>
      <c r="FH37" s="949"/>
      <c r="FI37" s="949"/>
      <c r="FJ37" s="949"/>
      <c r="FK37" s="949"/>
      <c r="FL37" s="949"/>
      <c r="FM37" s="949"/>
      <c r="FN37" s="949"/>
      <c r="FO37" s="949"/>
      <c r="FP37" s="949"/>
      <c r="FQ37" s="949"/>
      <c r="FR37" s="949"/>
      <c r="FS37" s="949"/>
      <c r="FT37" s="949"/>
      <c r="FU37" s="949"/>
      <c r="FV37" s="949"/>
      <c r="FW37" s="949"/>
      <c r="FX37" s="949"/>
      <c r="FY37" s="949"/>
      <c r="FZ37" s="949"/>
      <c r="GA37" s="949"/>
      <c r="GB37" s="949"/>
      <c r="GC37" s="949"/>
      <c r="GD37" s="949"/>
      <c r="GE37" s="949"/>
      <c r="GF37" s="949"/>
      <c r="GG37" s="949"/>
      <c r="GH37" s="949"/>
      <c r="GI37" s="949"/>
      <c r="GJ37" s="949"/>
      <c r="GK37" s="949"/>
      <c r="GL37" s="949"/>
      <c r="GM37" s="949"/>
      <c r="GN37" s="949"/>
      <c r="GO37" s="949"/>
      <c r="GP37" s="949"/>
      <c r="GQ37" s="949"/>
      <c r="GR37" s="949"/>
      <c r="GS37" s="949"/>
      <c r="GT37" s="949"/>
      <c r="GU37" s="949"/>
      <c r="GV37" s="949"/>
      <c r="GW37" s="949"/>
      <c r="GX37" s="949"/>
      <c r="GY37" s="949"/>
      <c r="GZ37" s="949"/>
      <c r="HA37" s="949"/>
      <c r="HB37" s="949"/>
      <c r="HC37" s="949"/>
      <c r="HD37" s="949"/>
      <c r="HE37" s="949"/>
      <c r="HF37" s="949"/>
      <c r="HG37" s="949"/>
      <c r="HH37" s="949"/>
      <c r="HI37" s="949"/>
      <c r="HJ37" s="949"/>
      <c r="HK37" s="949"/>
      <c r="HL37" s="949"/>
      <c r="HM37" s="949"/>
      <c r="HN37" s="949"/>
      <c r="HO37" s="949"/>
      <c r="HP37" s="949"/>
      <c r="HQ37" s="949"/>
      <c r="HR37" s="949"/>
      <c r="HS37" s="949"/>
      <c r="HT37" s="949"/>
      <c r="HU37" s="949"/>
      <c r="HV37" s="949"/>
      <c r="HW37" s="949"/>
      <c r="HX37" s="949"/>
      <c r="HY37" s="949"/>
      <c r="HZ37" s="949"/>
      <c r="IA37" s="949"/>
      <c r="IB37" s="949"/>
      <c r="IC37" s="949"/>
      <c r="ID37" s="949"/>
      <c r="IE37" s="949"/>
      <c r="IF37" s="949"/>
      <c r="IG37" s="949"/>
      <c r="IH37" s="949"/>
      <c r="II37" s="949"/>
      <c r="IJ37" s="949"/>
      <c r="IK37" s="949"/>
      <c r="IL37" s="949"/>
      <c r="IM37" s="1"/>
      <c r="IN37" s="1"/>
      <c r="IO37" s="1"/>
      <c r="IP37" s="1"/>
      <c r="IQ37" s="1"/>
      <c r="IR37" s="1"/>
      <c r="IS37" s="1"/>
      <c r="IT37" s="1"/>
    </row>
    <row r="38" spans="1:254" s="84" customFormat="1" ht="12.9" hidden="1" customHeight="1" thickBot="1" x14ac:dyDescent="0.2">
      <c r="A38" s="961"/>
      <c r="B38" s="961"/>
      <c r="C38" s="961"/>
      <c r="D38" s="961"/>
      <c r="E38" s="962" t="s">
        <v>632</v>
      </c>
      <c r="F38" s="963" t="str">
        <f>クリーチャー!G19</f>
        <v>1D6</v>
      </c>
      <c r="G38" s="25" t="s">
        <v>81</v>
      </c>
      <c r="H38" s="138" t="s">
        <v>243</v>
      </c>
      <c r="I38" s="34" t="s">
        <v>135</v>
      </c>
      <c r="J38" s="138" t="s">
        <v>243</v>
      </c>
      <c r="K38" s="35" t="s">
        <v>182</v>
      </c>
      <c r="L38" s="138" t="s">
        <v>243</v>
      </c>
      <c r="M38" s="958"/>
      <c r="N38" s="949"/>
      <c r="O38" s="949"/>
      <c r="P38" s="949"/>
      <c r="Q38" s="949"/>
      <c r="R38" s="949"/>
      <c r="S38" s="949"/>
      <c r="T38" s="949"/>
      <c r="U38" s="949"/>
      <c r="V38" s="949"/>
      <c r="W38" s="949"/>
      <c r="X38" s="949"/>
      <c r="Y38" s="949"/>
      <c r="Z38" s="949"/>
      <c r="AA38" s="949"/>
      <c r="AB38" s="949"/>
      <c r="AC38" s="949"/>
      <c r="AD38" s="949"/>
      <c r="AE38" s="949"/>
      <c r="AF38" s="949"/>
      <c r="AG38" s="949"/>
      <c r="AH38" s="949"/>
      <c r="AI38" s="949"/>
      <c r="AJ38" s="949"/>
      <c r="AK38" s="949"/>
      <c r="AL38" s="949"/>
      <c r="AM38" s="949"/>
      <c r="AN38" s="949"/>
      <c r="AO38" s="949"/>
      <c r="AP38" s="949"/>
      <c r="AQ38" s="949"/>
      <c r="AR38" s="949"/>
      <c r="AS38" s="949"/>
      <c r="AT38" s="949"/>
      <c r="AU38" s="949"/>
      <c r="AV38" s="949"/>
      <c r="AW38" s="949"/>
      <c r="AX38" s="949"/>
      <c r="AY38" s="949"/>
      <c r="AZ38" s="949"/>
      <c r="BA38" s="949"/>
      <c r="BB38" s="949"/>
      <c r="BC38" s="949"/>
      <c r="BD38" s="949"/>
      <c r="BE38" s="949"/>
      <c r="BF38" s="949"/>
      <c r="BG38" s="949"/>
      <c r="BH38" s="949"/>
      <c r="BI38" s="949"/>
      <c r="BJ38" s="949"/>
      <c r="BK38" s="949"/>
      <c r="BL38" s="949"/>
      <c r="BM38" s="949"/>
      <c r="BN38" s="949"/>
      <c r="BO38" s="949"/>
      <c r="BP38" s="949"/>
      <c r="BQ38" s="949"/>
      <c r="BR38" s="949"/>
      <c r="BS38" s="949"/>
      <c r="BT38" s="949"/>
      <c r="BU38" s="949"/>
      <c r="BV38" s="949"/>
      <c r="BW38" s="949"/>
      <c r="BX38" s="949"/>
      <c r="BY38" s="949"/>
      <c r="BZ38" s="949"/>
      <c r="CA38" s="949"/>
      <c r="CB38" s="949"/>
      <c r="CC38" s="949"/>
      <c r="CD38" s="949"/>
      <c r="CE38" s="949"/>
      <c r="CF38" s="949"/>
      <c r="CG38" s="949"/>
      <c r="CH38" s="949"/>
      <c r="CI38" s="949"/>
      <c r="CJ38" s="949"/>
      <c r="CK38" s="949"/>
      <c r="CL38" s="949"/>
      <c r="CM38" s="949"/>
      <c r="CN38" s="949"/>
      <c r="CO38" s="949"/>
      <c r="CP38" s="949"/>
      <c r="CQ38" s="949"/>
      <c r="CR38" s="949"/>
      <c r="CS38" s="949"/>
      <c r="CT38" s="949"/>
      <c r="CU38" s="949"/>
      <c r="CV38" s="949"/>
      <c r="CW38" s="949"/>
      <c r="CX38" s="949"/>
      <c r="CY38" s="949"/>
      <c r="CZ38" s="949"/>
      <c r="DA38" s="949"/>
      <c r="DB38" s="949"/>
      <c r="DC38" s="949"/>
      <c r="DD38" s="949"/>
      <c r="DE38" s="949"/>
      <c r="DF38" s="949"/>
      <c r="DG38" s="949"/>
      <c r="DH38" s="949"/>
      <c r="DI38" s="949"/>
      <c r="DJ38" s="949"/>
      <c r="DK38" s="949"/>
      <c r="DL38" s="949"/>
      <c r="DM38" s="949"/>
      <c r="DN38" s="949"/>
      <c r="DO38" s="949"/>
      <c r="DP38" s="949"/>
      <c r="DQ38" s="949"/>
      <c r="DR38" s="949"/>
      <c r="DS38" s="949"/>
      <c r="DT38" s="949"/>
      <c r="DU38" s="949"/>
      <c r="DV38" s="949"/>
      <c r="DW38" s="949"/>
      <c r="DX38" s="949"/>
      <c r="DY38" s="949"/>
      <c r="DZ38" s="949"/>
      <c r="EA38" s="949"/>
      <c r="EB38" s="949"/>
      <c r="EC38" s="949"/>
      <c r="ED38" s="949"/>
      <c r="EE38" s="949"/>
      <c r="EF38" s="949"/>
      <c r="EG38" s="949"/>
      <c r="EH38" s="949"/>
      <c r="EI38" s="949"/>
      <c r="EJ38" s="949"/>
      <c r="EK38" s="949"/>
      <c r="EL38" s="949"/>
      <c r="EM38" s="949"/>
      <c r="EN38" s="949"/>
      <c r="EO38" s="949"/>
      <c r="EP38" s="949"/>
      <c r="EQ38" s="949"/>
      <c r="ER38" s="949"/>
      <c r="ES38" s="949"/>
      <c r="ET38" s="949"/>
      <c r="EU38" s="949"/>
      <c r="EV38" s="949"/>
      <c r="EW38" s="949"/>
      <c r="EX38" s="949"/>
      <c r="EY38" s="949"/>
      <c r="EZ38" s="949"/>
      <c r="FA38" s="949"/>
      <c r="FB38" s="949"/>
      <c r="FC38" s="949"/>
      <c r="FD38" s="949"/>
      <c r="FE38" s="949"/>
      <c r="FF38" s="949"/>
      <c r="FG38" s="949"/>
      <c r="FH38" s="949"/>
      <c r="FI38" s="949"/>
      <c r="FJ38" s="949"/>
      <c r="FK38" s="949"/>
      <c r="FL38" s="949"/>
      <c r="FM38" s="949"/>
      <c r="FN38" s="949"/>
      <c r="FO38" s="949"/>
      <c r="FP38" s="949"/>
      <c r="FQ38" s="949"/>
      <c r="FR38" s="949"/>
      <c r="FS38" s="949"/>
      <c r="FT38" s="949"/>
      <c r="FU38" s="949"/>
      <c r="FV38" s="949"/>
      <c r="FW38" s="949"/>
      <c r="FX38" s="949"/>
      <c r="FY38" s="949"/>
      <c r="FZ38" s="949"/>
      <c r="GA38" s="949"/>
      <c r="GB38" s="949"/>
      <c r="GC38" s="949"/>
      <c r="GD38" s="949"/>
      <c r="GE38" s="949"/>
      <c r="GF38" s="949"/>
      <c r="GG38" s="949"/>
      <c r="GH38" s="949"/>
      <c r="GI38" s="949"/>
      <c r="GJ38" s="949"/>
      <c r="GK38" s="949"/>
      <c r="GL38" s="949"/>
      <c r="GM38" s="949"/>
      <c r="GN38" s="949"/>
      <c r="GO38" s="949"/>
      <c r="GP38" s="949"/>
      <c r="GQ38" s="949"/>
      <c r="GR38" s="949"/>
      <c r="GS38" s="949"/>
      <c r="GT38" s="949"/>
      <c r="GU38" s="949"/>
      <c r="GV38" s="949"/>
      <c r="GW38" s="949"/>
      <c r="GX38" s="949"/>
      <c r="GY38" s="949"/>
      <c r="GZ38" s="949"/>
      <c r="HA38" s="949"/>
      <c r="HB38" s="949"/>
      <c r="HC38" s="949"/>
      <c r="HD38" s="949"/>
      <c r="HE38" s="949"/>
      <c r="HF38" s="949"/>
      <c r="HG38" s="949"/>
      <c r="HH38" s="949"/>
      <c r="HI38" s="949"/>
      <c r="HJ38" s="949"/>
      <c r="HK38" s="949"/>
      <c r="HL38" s="949"/>
      <c r="HM38" s="949"/>
      <c r="HN38" s="949"/>
      <c r="HO38" s="949"/>
      <c r="HP38" s="949"/>
      <c r="HQ38" s="949"/>
      <c r="HR38" s="949"/>
      <c r="HS38" s="949"/>
      <c r="HT38" s="949"/>
      <c r="HU38" s="949"/>
      <c r="HV38" s="949"/>
      <c r="HW38" s="949"/>
      <c r="HX38" s="949"/>
      <c r="HY38" s="949"/>
      <c r="HZ38" s="949"/>
      <c r="IA38" s="949"/>
      <c r="IB38" s="949"/>
      <c r="IC38" s="949"/>
      <c r="ID38" s="949"/>
      <c r="IE38" s="949"/>
      <c r="IF38" s="949"/>
      <c r="IG38" s="949"/>
      <c r="IH38" s="949"/>
      <c r="II38" s="949"/>
      <c r="IJ38" s="949"/>
      <c r="IK38" s="949"/>
      <c r="IL38" s="949"/>
      <c r="IM38" s="1"/>
      <c r="IN38" s="1"/>
      <c r="IO38" s="1"/>
      <c r="IP38" s="1"/>
      <c r="IQ38" s="1"/>
      <c r="IR38" s="1"/>
      <c r="IS38" s="1"/>
      <c r="IT38" s="1"/>
    </row>
    <row r="39" spans="1:254" s="84" customFormat="1" ht="12.9" hidden="1" customHeight="1" thickBot="1" x14ac:dyDescent="0.2">
      <c r="A39" s="961"/>
      <c r="B39" s="961"/>
      <c r="C39" s="961"/>
      <c r="D39" s="961"/>
      <c r="E39" s="962"/>
      <c r="F39" s="963"/>
      <c r="G39" s="26" t="s">
        <v>203</v>
      </c>
      <c r="H39" s="138" t="s">
        <v>243</v>
      </c>
      <c r="I39" s="35" t="s">
        <v>236</v>
      </c>
      <c r="J39" s="138" t="s">
        <v>243</v>
      </c>
      <c r="K39" s="35" t="s">
        <v>273</v>
      </c>
      <c r="L39" s="138" t="s">
        <v>243</v>
      </c>
      <c r="M39" s="958"/>
      <c r="N39" s="958"/>
      <c r="O39" s="949"/>
      <c r="P39" s="949"/>
      <c r="Q39" s="949"/>
      <c r="R39" s="949"/>
      <c r="S39" s="949"/>
      <c r="T39" s="949"/>
      <c r="U39" s="949"/>
      <c r="V39" s="949"/>
      <c r="W39" s="949"/>
      <c r="X39" s="949"/>
      <c r="Y39" s="949"/>
      <c r="Z39" s="949"/>
      <c r="AA39" s="949"/>
      <c r="AB39" s="949"/>
      <c r="AC39" s="949"/>
      <c r="AD39" s="949"/>
      <c r="AE39" s="949"/>
      <c r="AF39" s="949"/>
      <c r="AG39" s="949"/>
      <c r="AH39" s="949"/>
      <c r="AI39" s="949"/>
      <c r="AJ39" s="949"/>
      <c r="AK39" s="949"/>
      <c r="AL39" s="949"/>
      <c r="AM39" s="949"/>
      <c r="AN39" s="949"/>
      <c r="AO39" s="949"/>
      <c r="AP39" s="949"/>
      <c r="AQ39" s="949"/>
      <c r="AR39" s="949"/>
      <c r="AS39" s="949"/>
      <c r="AT39" s="949"/>
      <c r="AU39" s="949"/>
      <c r="AV39" s="949"/>
      <c r="AW39" s="949"/>
      <c r="AX39" s="949"/>
      <c r="AY39" s="949"/>
      <c r="AZ39" s="949"/>
      <c r="BA39" s="949"/>
      <c r="BB39" s="949"/>
      <c r="BC39" s="949"/>
      <c r="BD39" s="949"/>
      <c r="BE39" s="949"/>
      <c r="BF39" s="949"/>
      <c r="BG39" s="949"/>
      <c r="BH39" s="949"/>
      <c r="BI39" s="949"/>
      <c r="BJ39" s="949"/>
      <c r="BK39" s="949"/>
      <c r="BL39" s="949"/>
      <c r="BM39" s="949"/>
      <c r="BN39" s="949"/>
      <c r="BO39" s="949"/>
      <c r="BP39" s="949"/>
      <c r="BQ39" s="949"/>
      <c r="BR39" s="949"/>
      <c r="BS39" s="949"/>
      <c r="BT39" s="949"/>
      <c r="BU39" s="949"/>
      <c r="BV39" s="949"/>
      <c r="BW39" s="949"/>
      <c r="BX39" s="949"/>
      <c r="BY39" s="949"/>
      <c r="BZ39" s="949"/>
      <c r="CA39" s="949"/>
      <c r="CB39" s="949"/>
      <c r="CC39" s="949"/>
      <c r="CD39" s="949"/>
      <c r="CE39" s="949"/>
      <c r="CF39" s="949"/>
      <c r="CG39" s="949"/>
      <c r="CH39" s="949"/>
      <c r="CI39" s="949"/>
      <c r="CJ39" s="949"/>
      <c r="CK39" s="949"/>
      <c r="CL39" s="949"/>
      <c r="CM39" s="949"/>
      <c r="CN39" s="949"/>
      <c r="CO39" s="949"/>
      <c r="CP39" s="949"/>
      <c r="CQ39" s="949"/>
      <c r="CR39" s="949"/>
      <c r="CS39" s="949"/>
      <c r="CT39" s="949"/>
      <c r="CU39" s="949"/>
      <c r="CV39" s="949"/>
      <c r="CW39" s="949"/>
      <c r="CX39" s="949"/>
      <c r="CY39" s="949"/>
      <c r="CZ39" s="949"/>
      <c r="DA39" s="949"/>
      <c r="DB39" s="949"/>
      <c r="DC39" s="949"/>
      <c r="DD39" s="949"/>
      <c r="DE39" s="949"/>
      <c r="DF39" s="949"/>
      <c r="DG39" s="949"/>
      <c r="DH39" s="949"/>
      <c r="DI39" s="949"/>
      <c r="DJ39" s="949"/>
      <c r="DK39" s="949"/>
      <c r="DL39" s="949"/>
      <c r="DM39" s="949"/>
      <c r="DN39" s="949"/>
      <c r="DO39" s="949"/>
      <c r="DP39" s="949"/>
      <c r="DQ39" s="949"/>
      <c r="DR39" s="949"/>
      <c r="DS39" s="949"/>
      <c r="DT39" s="949"/>
      <c r="DU39" s="949"/>
      <c r="DV39" s="949"/>
      <c r="DW39" s="949"/>
      <c r="DX39" s="949"/>
      <c r="DY39" s="949"/>
      <c r="DZ39" s="949"/>
      <c r="EA39" s="949"/>
      <c r="EB39" s="949"/>
      <c r="EC39" s="949"/>
      <c r="ED39" s="949"/>
      <c r="EE39" s="949"/>
      <c r="EF39" s="949"/>
      <c r="EG39" s="949"/>
      <c r="EH39" s="949"/>
      <c r="EI39" s="949"/>
      <c r="EJ39" s="949"/>
      <c r="EK39" s="949"/>
      <c r="EL39" s="949"/>
      <c r="EM39" s="949"/>
      <c r="EN39" s="949"/>
      <c r="EO39" s="949"/>
      <c r="EP39" s="949"/>
      <c r="EQ39" s="949"/>
      <c r="ER39" s="949"/>
      <c r="ES39" s="949"/>
      <c r="ET39" s="949"/>
      <c r="EU39" s="949"/>
      <c r="EV39" s="949"/>
      <c r="EW39" s="949"/>
      <c r="EX39" s="949"/>
      <c r="EY39" s="949"/>
      <c r="EZ39" s="949"/>
      <c r="FA39" s="949"/>
      <c r="FB39" s="949"/>
      <c r="FC39" s="949"/>
      <c r="FD39" s="949"/>
      <c r="FE39" s="949"/>
      <c r="FF39" s="949"/>
      <c r="FG39" s="949"/>
      <c r="FH39" s="949"/>
      <c r="FI39" s="949"/>
      <c r="FJ39" s="949"/>
      <c r="FK39" s="949"/>
      <c r="FL39" s="949"/>
      <c r="FM39" s="949"/>
      <c r="FN39" s="949"/>
      <c r="FO39" s="949"/>
      <c r="FP39" s="949"/>
      <c r="FQ39" s="949"/>
      <c r="FR39" s="949"/>
      <c r="FS39" s="949"/>
      <c r="FT39" s="949"/>
      <c r="FU39" s="949"/>
      <c r="FV39" s="949"/>
      <c r="FW39" s="949"/>
      <c r="FX39" s="949"/>
      <c r="FY39" s="949"/>
      <c r="FZ39" s="949"/>
      <c r="GA39" s="949"/>
      <c r="GB39" s="949"/>
      <c r="GC39" s="949"/>
      <c r="GD39" s="949"/>
      <c r="GE39" s="949"/>
      <c r="GF39" s="949"/>
      <c r="GG39" s="949"/>
      <c r="GH39" s="949"/>
      <c r="GI39" s="949"/>
      <c r="GJ39" s="949"/>
      <c r="GK39" s="949"/>
      <c r="GL39" s="949"/>
      <c r="GM39" s="949"/>
      <c r="GN39" s="949"/>
      <c r="GO39" s="949"/>
      <c r="GP39" s="949"/>
      <c r="GQ39" s="949"/>
      <c r="GR39" s="949"/>
      <c r="GS39" s="949"/>
      <c r="GT39" s="949"/>
      <c r="GU39" s="949"/>
      <c r="GV39" s="949"/>
      <c r="GW39" s="949"/>
      <c r="GX39" s="949"/>
      <c r="GY39" s="949"/>
      <c r="GZ39" s="949"/>
      <c r="HA39" s="949"/>
      <c r="HB39" s="949"/>
      <c r="HC39" s="949"/>
      <c r="HD39" s="949"/>
      <c r="HE39" s="949"/>
      <c r="HF39" s="949"/>
      <c r="HG39" s="949"/>
      <c r="HH39" s="949"/>
      <c r="HI39" s="949"/>
      <c r="HJ39" s="949"/>
      <c r="HK39" s="949"/>
      <c r="HL39" s="949"/>
      <c r="HM39" s="949"/>
      <c r="HN39" s="949"/>
      <c r="HO39" s="949"/>
      <c r="HP39" s="949"/>
      <c r="HQ39" s="949"/>
      <c r="HR39" s="949"/>
      <c r="HS39" s="949"/>
      <c r="HT39" s="949"/>
      <c r="HU39" s="949"/>
      <c r="HV39" s="949"/>
      <c r="HW39" s="949"/>
      <c r="HX39" s="949"/>
      <c r="HY39" s="949"/>
      <c r="HZ39" s="949"/>
      <c r="IA39" s="949"/>
      <c r="IB39" s="949"/>
      <c r="IC39" s="949"/>
      <c r="ID39" s="949"/>
      <c r="IE39" s="949"/>
      <c r="IF39" s="949"/>
      <c r="IG39" s="949"/>
      <c r="IH39" s="949"/>
      <c r="II39" s="949"/>
      <c r="IJ39" s="949"/>
      <c r="IK39" s="949"/>
      <c r="IL39" s="949"/>
      <c r="IM39" s="1"/>
      <c r="IN39" s="1"/>
      <c r="IO39" s="1"/>
      <c r="IP39" s="1"/>
      <c r="IQ39" s="1"/>
      <c r="IR39" s="1"/>
      <c r="IS39" s="1"/>
      <c r="IT39" s="1"/>
    </row>
    <row r="40" spans="1:254" s="84" customFormat="1" ht="12" hidden="1" customHeight="1" thickBot="1" x14ac:dyDescent="0.2">
      <c r="A40" s="964" t="s">
        <v>599</v>
      </c>
      <c r="B40" s="964"/>
      <c r="C40" s="965" t="s">
        <v>395</v>
      </c>
      <c r="D40" s="970">
        <f>クリーチャー!C16+クリーチャー!D16</f>
        <v>0</v>
      </c>
      <c r="E40" s="965" t="s">
        <v>633</v>
      </c>
      <c r="F40" s="971">
        <f>クリーチャー!H5</f>
        <v>4</v>
      </c>
      <c r="G40" s="27" t="s">
        <v>221</v>
      </c>
      <c r="H40" s="138" t="s">
        <v>243</v>
      </c>
      <c r="I40" s="36" t="s">
        <v>252</v>
      </c>
      <c r="J40" s="138" t="s">
        <v>243</v>
      </c>
      <c r="K40" s="36" t="s">
        <v>209</v>
      </c>
      <c r="L40" s="138" t="s">
        <v>243</v>
      </c>
      <c r="M40" s="958"/>
      <c r="N40" s="958"/>
      <c r="O40" s="949"/>
      <c r="P40" s="949"/>
      <c r="Q40" s="949"/>
      <c r="R40" s="949"/>
      <c r="S40" s="949"/>
      <c r="T40" s="949"/>
      <c r="U40" s="949"/>
      <c r="V40" s="949"/>
      <c r="W40" s="949"/>
      <c r="X40" s="949"/>
      <c r="Y40" s="949"/>
      <c r="Z40" s="949"/>
      <c r="AA40" s="949"/>
      <c r="AB40" s="949"/>
      <c r="AC40" s="949"/>
      <c r="AD40" s="949"/>
      <c r="AE40" s="949"/>
      <c r="AF40" s="949"/>
      <c r="AG40" s="949"/>
      <c r="AH40" s="949"/>
      <c r="AI40" s="949"/>
      <c r="AJ40" s="949"/>
      <c r="AK40" s="949"/>
      <c r="AL40" s="949"/>
      <c r="AM40" s="949"/>
      <c r="AN40" s="949"/>
      <c r="AO40" s="949"/>
      <c r="AP40" s="949"/>
      <c r="AQ40" s="949"/>
      <c r="AR40" s="949"/>
      <c r="AS40" s="949"/>
      <c r="AT40" s="949"/>
      <c r="AU40" s="949"/>
      <c r="AV40" s="949"/>
      <c r="AW40" s="949"/>
      <c r="AX40" s="949"/>
      <c r="AY40" s="949"/>
      <c r="AZ40" s="949"/>
      <c r="BA40" s="949"/>
      <c r="BB40" s="949"/>
      <c r="BC40" s="949"/>
      <c r="BD40" s="949"/>
      <c r="BE40" s="949"/>
      <c r="BF40" s="949"/>
      <c r="BG40" s="949"/>
      <c r="BH40" s="949"/>
      <c r="BI40" s="949"/>
      <c r="BJ40" s="949"/>
      <c r="BK40" s="949"/>
      <c r="BL40" s="949"/>
      <c r="BM40" s="949"/>
      <c r="BN40" s="949"/>
      <c r="BO40" s="949"/>
      <c r="BP40" s="949"/>
      <c r="BQ40" s="949"/>
      <c r="BR40" s="949"/>
      <c r="BS40" s="949"/>
      <c r="BT40" s="949"/>
      <c r="BU40" s="949"/>
      <c r="BV40" s="949"/>
      <c r="BW40" s="949"/>
      <c r="BX40" s="949"/>
      <c r="BY40" s="949"/>
      <c r="BZ40" s="949"/>
      <c r="CA40" s="949"/>
      <c r="CB40" s="949"/>
      <c r="CC40" s="949"/>
      <c r="CD40" s="949"/>
      <c r="CE40" s="949"/>
      <c r="CF40" s="949"/>
      <c r="CG40" s="949"/>
      <c r="CH40" s="949"/>
      <c r="CI40" s="949"/>
      <c r="CJ40" s="949"/>
      <c r="CK40" s="949"/>
      <c r="CL40" s="949"/>
      <c r="CM40" s="949"/>
      <c r="CN40" s="949"/>
      <c r="CO40" s="949"/>
      <c r="CP40" s="949"/>
      <c r="CQ40" s="949"/>
      <c r="CR40" s="949"/>
      <c r="CS40" s="949"/>
      <c r="CT40" s="949"/>
      <c r="CU40" s="949"/>
      <c r="CV40" s="949"/>
      <c r="CW40" s="949"/>
      <c r="CX40" s="949"/>
      <c r="CY40" s="949"/>
      <c r="CZ40" s="949"/>
      <c r="DA40" s="949"/>
      <c r="DB40" s="949"/>
      <c r="DC40" s="949"/>
      <c r="DD40" s="949"/>
      <c r="DE40" s="949"/>
      <c r="DF40" s="949"/>
      <c r="DG40" s="949"/>
      <c r="DH40" s="949"/>
      <c r="DI40" s="949"/>
      <c r="DJ40" s="949"/>
      <c r="DK40" s="949"/>
      <c r="DL40" s="949"/>
      <c r="DM40" s="949"/>
      <c r="DN40" s="949"/>
      <c r="DO40" s="949"/>
      <c r="DP40" s="949"/>
      <c r="DQ40" s="949"/>
      <c r="DR40" s="949"/>
      <c r="DS40" s="949"/>
      <c r="DT40" s="949"/>
      <c r="DU40" s="949"/>
      <c r="DV40" s="949"/>
      <c r="DW40" s="949"/>
      <c r="DX40" s="949"/>
      <c r="DY40" s="949"/>
      <c r="DZ40" s="949"/>
      <c r="EA40" s="949"/>
      <c r="EB40" s="949"/>
      <c r="EC40" s="949"/>
      <c r="ED40" s="949"/>
      <c r="EE40" s="949"/>
      <c r="EF40" s="949"/>
      <c r="EG40" s="949"/>
      <c r="EH40" s="949"/>
      <c r="EI40" s="949"/>
      <c r="EJ40" s="949"/>
      <c r="EK40" s="949"/>
      <c r="EL40" s="949"/>
      <c r="EM40" s="949"/>
      <c r="EN40" s="949"/>
      <c r="EO40" s="949"/>
      <c r="EP40" s="949"/>
      <c r="EQ40" s="949"/>
      <c r="ER40" s="949"/>
      <c r="ES40" s="949"/>
      <c r="ET40" s="949"/>
      <c r="EU40" s="949"/>
      <c r="EV40" s="949"/>
      <c r="EW40" s="949"/>
      <c r="EX40" s="949"/>
      <c r="EY40" s="949"/>
      <c r="EZ40" s="949"/>
      <c r="FA40" s="949"/>
      <c r="FB40" s="949"/>
      <c r="FC40" s="949"/>
      <c r="FD40" s="949"/>
      <c r="FE40" s="949"/>
      <c r="FF40" s="949"/>
      <c r="FG40" s="949"/>
      <c r="FH40" s="949"/>
      <c r="FI40" s="949"/>
      <c r="FJ40" s="949"/>
      <c r="FK40" s="949"/>
      <c r="FL40" s="949"/>
      <c r="FM40" s="949"/>
      <c r="FN40" s="949"/>
      <c r="FO40" s="949"/>
      <c r="FP40" s="949"/>
      <c r="FQ40" s="949"/>
      <c r="FR40" s="949"/>
      <c r="FS40" s="949"/>
      <c r="FT40" s="949"/>
      <c r="FU40" s="949"/>
      <c r="FV40" s="949"/>
      <c r="FW40" s="949"/>
      <c r="FX40" s="949"/>
      <c r="FY40" s="949"/>
      <c r="FZ40" s="949"/>
      <c r="GA40" s="949"/>
      <c r="GB40" s="949"/>
      <c r="GC40" s="949"/>
      <c r="GD40" s="949"/>
      <c r="GE40" s="949"/>
      <c r="GF40" s="949"/>
      <c r="GG40" s="949"/>
      <c r="GH40" s="949"/>
      <c r="GI40" s="949"/>
      <c r="GJ40" s="949"/>
      <c r="GK40" s="949"/>
      <c r="GL40" s="949"/>
      <c r="GM40" s="949"/>
      <c r="GN40" s="949"/>
      <c r="GO40" s="949"/>
      <c r="GP40" s="949"/>
      <c r="GQ40" s="949"/>
      <c r="GR40" s="949"/>
      <c r="GS40" s="949"/>
      <c r="GT40" s="949"/>
      <c r="GU40" s="949"/>
      <c r="GV40" s="949"/>
      <c r="GW40" s="949"/>
      <c r="GX40" s="949"/>
      <c r="GY40" s="949"/>
      <c r="GZ40" s="949"/>
      <c r="HA40" s="949"/>
      <c r="HB40" s="949"/>
      <c r="HC40" s="949"/>
      <c r="HD40" s="949"/>
      <c r="HE40" s="949"/>
      <c r="HF40" s="949"/>
      <c r="HG40" s="949"/>
      <c r="HH40" s="949"/>
      <c r="HI40" s="949"/>
      <c r="HJ40" s="949"/>
      <c r="HK40" s="949"/>
      <c r="HL40" s="949"/>
      <c r="HM40" s="949"/>
      <c r="HN40" s="949"/>
      <c r="HO40" s="949"/>
      <c r="HP40" s="949"/>
      <c r="HQ40" s="949"/>
      <c r="HR40" s="949"/>
      <c r="HS40" s="949"/>
      <c r="HT40" s="949"/>
      <c r="HU40" s="949"/>
      <c r="HV40" s="949"/>
      <c r="HW40" s="949"/>
      <c r="HX40" s="949"/>
      <c r="HY40" s="949"/>
      <c r="HZ40" s="949"/>
      <c r="IA40" s="949"/>
      <c r="IB40" s="949"/>
      <c r="IC40" s="949"/>
      <c r="ID40" s="949"/>
      <c r="IE40" s="949"/>
      <c r="IF40" s="949"/>
      <c r="IG40" s="949"/>
      <c r="IH40" s="949"/>
      <c r="II40" s="949"/>
      <c r="IJ40" s="949"/>
      <c r="IK40" s="949"/>
      <c r="IL40" s="949"/>
      <c r="IM40" s="1"/>
      <c r="IN40" s="1"/>
      <c r="IO40" s="1"/>
      <c r="IP40" s="1"/>
      <c r="IQ40" s="1"/>
      <c r="IR40" s="1"/>
      <c r="IS40" s="1"/>
      <c r="IT40" s="1"/>
    </row>
    <row r="41" spans="1:254" s="84" customFormat="1" ht="12.9" hidden="1" customHeight="1" thickBot="1" x14ac:dyDescent="0.2">
      <c r="A41" s="85">
        <f>B41+SUM(O42:IL42)</f>
        <v>0</v>
      </c>
      <c r="B41" s="9">
        <f>J42</f>
        <v>0</v>
      </c>
      <c r="C41" s="965"/>
      <c r="D41" s="970"/>
      <c r="E41" s="965"/>
      <c r="F41" s="971"/>
      <c r="G41" s="28"/>
      <c r="H41" s="28"/>
      <c r="I41" s="28"/>
      <c r="J41" s="28"/>
      <c r="K41" s="28"/>
      <c r="L41" s="37"/>
      <c r="M41" s="958"/>
      <c r="N41" s="958"/>
      <c r="O41" s="949"/>
      <c r="P41" s="949"/>
      <c r="Q41" s="949"/>
      <c r="R41" s="949"/>
      <c r="S41" s="949"/>
      <c r="T41" s="949"/>
      <c r="U41" s="949"/>
      <c r="V41" s="949"/>
      <c r="W41" s="949"/>
      <c r="X41" s="949"/>
      <c r="Y41" s="949"/>
      <c r="Z41" s="949"/>
      <c r="AA41" s="949"/>
      <c r="AB41" s="949"/>
      <c r="AC41" s="949"/>
      <c r="AD41" s="949"/>
      <c r="AE41" s="949"/>
      <c r="AF41" s="949"/>
      <c r="AG41" s="949"/>
      <c r="AH41" s="949"/>
      <c r="AI41" s="949"/>
      <c r="AJ41" s="949"/>
      <c r="AK41" s="949"/>
      <c r="AL41" s="949"/>
      <c r="AM41" s="949"/>
      <c r="AN41" s="949"/>
      <c r="AO41" s="949"/>
      <c r="AP41" s="949"/>
      <c r="AQ41" s="949"/>
      <c r="AR41" s="949"/>
      <c r="AS41" s="949"/>
      <c r="AT41" s="949"/>
      <c r="AU41" s="949"/>
      <c r="AV41" s="949"/>
      <c r="AW41" s="949"/>
      <c r="AX41" s="949"/>
      <c r="AY41" s="949"/>
      <c r="AZ41" s="949"/>
      <c r="BA41" s="949"/>
      <c r="BB41" s="949"/>
      <c r="BC41" s="949"/>
      <c r="BD41" s="949"/>
      <c r="BE41" s="949"/>
      <c r="BF41" s="949"/>
      <c r="BG41" s="949"/>
      <c r="BH41" s="949"/>
      <c r="BI41" s="949"/>
      <c r="BJ41" s="949"/>
      <c r="BK41" s="949"/>
      <c r="BL41" s="949"/>
      <c r="BM41" s="949"/>
      <c r="BN41" s="949"/>
      <c r="BO41" s="949"/>
      <c r="BP41" s="949"/>
      <c r="BQ41" s="949"/>
      <c r="BR41" s="949"/>
      <c r="BS41" s="949"/>
      <c r="BT41" s="949"/>
      <c r="BU41" s="949"/>
      <c r="BV41" s="949"/>
      <c r="BW41" s="949"/>
      <c r="BX41" s="949"/>
      <c r="BY41" s="949"/>
      <c r="BZ41" s="949"/>
      <c r="CA41" s="949"/>
      <c r="CB41" s="949"/>
      <c r="CC41" s="949"/>
      <c r="CD41" s="949"/>
      <c r="CE41" s="949"/>
      <c r="CF41" s="949"/>
      <c r="CG41" s="949"/>
      <c r="CH41" s="949"/>
      <c r="CI41" s="949"/>
      <c r="CJ41" s="949"/>
      <c r="CK41" s="949"/>
      <c r="CL41" s="949"/>
      <c r="CM41" s="949"/>
      <c r="CN41" s="949"/>
      <c r="CO41" s="949"/>
      <c r="CP41" s="949"/>
      <c r="CQ41" s="949"/>
      <c r="CR41" s="949"/>
      <c r="CS41" s="949"/>
      <c r="CT41" s="949"/>
      <c r="CU41" s="949"/>
      <c r="CV41" s="949"/>
      <c r="CW41" s="949"/>
      <c r="CX41" s="949"/>
      <c r="CY41" s="949"/>
      <c r="CZ41" s="949"/>
      <c r="DA41" s="949"/>
      <c r="DB41" s="949"/>
      <c r="DC41" s="949"/>
      <c r="DD41" s="949"/>
      <c r="DE41" s="949"/>
      <c r="DF41" s="949"/>
      <c r="DG41" s="949"/>
      <c r="DH41" s="949"/>
      <c r="DI41" s="949"/>
      <c r="DJ41" s="949"/>
      <c r="DK41" s="949"/>
      <c r="DL41" s="949"/>
      <c r="DM41" s="949"/>
      <c r="DN41" s="949"/>
      <c r="DO41" s="949"/>
      <c r="DP41" s="949"/>
      <c r="DQ41" s="949"/>
      <c r="DR41" s="949"/>
      <c r="DS41" s="949"/>
      <c r="DT41" s="949"/>
      <c r="DU41" s="949"/>
      <c r="DV41" s="949"/>
      <c r="DW41" s="949"/>
      <c r="DX41" s="949"/>
      <c r="DY41" s="949"/>
      <c r="DZ41" s="949"/>
      <c r="EA41" s="949"/>
      <c r="EB41" s="949"/>
      <c r="EC41" s="949"/>
      <c r="ED41" s="949"/>
      <c r="EE41" s="949"/>
      <c r="EF41" s="949"/>
      <c r="EG41" s="949"/>
      <c r="EH41" s="949"/>
      <c r="EI41" s="949"/>
      <c r="EJ41" s="949"/>
      <c r="EK41" s="949"/>
      <c r="EL41" s="949"/>
      <c r="EM41" s="949"/>
      <c r="EN41" s="949"/>
      <c r="EO41" s="949"/>
      <c r="EP41" s="949"/>
      <c r="EQ41" s="949"/>
      <c r="ER41" s="949"/>
      <c r="ES41" s="949"/>
      <c r="ET41" s="949"/>
      <c r="EU41" s="949"/>
      <c r="EV41" s="949"/>
      <c r="EW41" s="949"/>
      <c r="EX41" s="949"/>
      <c r="EY41" s="949"/>
      <c r="EZ41" s="949"/>
      <c r="FA41" s="949"/>
      <c r="FB41" s="949"/>
      <c r="FC41" s="949"/>
      <c r="FD41" s="949"/>
      <c r="FE41" s="949"/>
      <c r="FF41" s="949"/>
      <c r="FG41" s="949"/>
      <c r="FH41" s="949"/>
      <c r="FI41" s="949"/>
      <c r="FJ41" s="949"/>
      <c r="FK41" s="949"/>
      <c r="FL41" s="949"/>
      <c r="FM41" s="949"/>
      <c r="FN41" s="949"/>
      <c r="FO41" s="949"/>
      <c r="FP41" s="949"/>
      <c r="FQ41" s="949"/>
      <c r="FR41" s="949"/>
      <c r="FS41" s="949"/>
      <c r="FT41" s="949"/>
      <c r="FU41" s="949"/>
      <c r="FV41" s="949"/>
      <c r="FW41" s="949"/>
      <c r="FX41" s="949"/>
      <c r="FY41" s="949"/>
      <c r="FZ41" s="949"/>
      <c r="GA41" s="949"/>
      <c r="GB41" s="949"/>
      <c r="GC41" s="949"/>
      <c r="GD41" s="949"/>
      <c r="GE41" s="949"/>
      <c r="GF41" s="949"/>
      <c r="GG41" s="949"/>
      <c r="GH41" s="949"/>
      <c r="GI41" s="949"/>
      <c r="GJ41" s="949"/>
      <c r="GK41" s="949"/>
      <c r="GL41" s="949"/>
      <c r="GM41" s="949"/>
      <c r="GN41" s="949"/>
      <c r="GO41" s="949"/>
      <c r="GP41" s="949"/>
      <c r="GQ41" s="949"/>
      <c r="GR41" s="949"/>
      <c r="GS41" s="949"/>
      <c r="GT41" s="949"/>
      <c r="GU41" s="949"/>
      <c r="GV41" s="949"/>
      <c r="GW41" s="949"/>
      <c r="GX41" s="949"/>
      <c r="GY41" s="949"/>
      <c r="GZ41" s="949"/>
      <c r="HA41" s="949"/>
      <c r="HB41" s="949"/>
      <c r="HC41" s="949"/>
      <c r="HD41" s="949"/>
      <c r="HE41" s="949"/>
      <c r="HF41" s="949"/>
      <c r="HG41" s="949"/>
      <c r="HH41" s="949"/>
      <c r="HI41" s="949"/>
      <c r="HJ41" s="949"/>
      <c r="HK41" s="949"/>
      <c r="HL41" s="949"/>
      <c r="HM41" s="949"/>
      <c r="HN41" s="949"/>
      <c r="HO41" s="949"/>
      <c r="HP41" s="949"/>
      <c r="HQ41" s="949"/>
      <c r="HR41" s="949"/>
      <c r="HS41" s="949"/>
      <c r="HT41" s="949"/>
      <c r="HU41" s="949"/>
      <c r="HV41" s="949"/>
      <c r="HW41" s="949"/>
      <c r="HX41" s="949"/>
      <c r="HY41" s="949"/>
      <c r="HZ41" s="949"/>
      <c r="IA41" s="949"/>
      <c r="IB41" s="949"/>
      <c r="IC41" s="949"/>
      <c r="ID41" s="949"/>
      <c r="IE41" s="949"/>
      <c r="IF41" s="949"/>
      <c r="IG41" s="949"/>
      <c r="IH41" s="949"/>
      <c r="II41" s="949"/>
      <c r="IJ41" s="949"/>
      <c r="IK41" s="949"/>
      <c r="IL41" s="949"/>
      <c r="IM41" s="1"/>
      <c r="IN41" s="1"/>
      <c r="IO41" s="1"/>
      <c r="IP41" s="1"/>
      <c r="IQ41" s="1"/>
      <c r="IR41" s="1"/>
      <c r="IS41" s="1"/>
      <c r="IT41" s="1"/>
    </row>
    <row r="42" spans="1:254" s="98" customFormat="1" ht="12.9"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37" t="s">
        <v>608</v>
      </c>
      <c r="H42" s="937"/>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 hidden="1" customHeight="1" thickBot="1" x14ac:dyDescent="0.2">
      <c r="A45" s="966" t="s">
        <v>383</v>
      </c>
      <c r="B45" s="966"/>
      <c r="C45" s="966"/>
      <c r="D45" s="966"/>
      <c r="E45" s="967" t="s">
        <v>630</v>
      </c>
      <c r="F45" s="968" t="str">
        <f>クリーチャー_2!F19</f>
        <v>1D6</v>
      </c>
      <c r="G45" s="969" t="s">
        <v>631</v>
      </c>
      <c r="H45" s="969"/>
      <c r="I45" s="969"/>
      <c r="J45" s="969"/>
      <c r="K45" s="969"/>
      <c r="L45" s="969"/>
      <c r="M45" s="958" t="s">
        <v>592</v>
      </c>
      <c r="N45" s="949" t="s">
        <v>593</v>
      </c>
      <c r="O45" s="949"/>
      <c r="P45" s="949"/>
      <c r="Q45" s="949"/>
      <c r="R45" s="949"/>
      <c r="S45" s="949"/>
      <c r="T45" s="949"/>
      <c r="U45" s="949"/>
      <c r="V45" s="949"/>
      <c r="W45" s="949"/>
      <c r="X45" s="949"/>
      <c r="Y45" s="949"/>
      <c r="Z45" s="949"/>
      <c r="AA45" s="949"/>
      <c r="AB45" s="949"/>
      <c r="AC45" s="949"/>
      <c r="AD45" s="949"/>
      <c r="AE45" s="949"/>
      <c r="AF45" s="949"/>
      <c r="AG45" s="949"/>
      <c r="AH45" s="949"/>
      <c r="AI45" s="949"/>
      <c r="AJ45" s="949"/>
      <c r="AK45" s="949"/>
      <c r="AL45" s="949"/>
      <c r="AM45" s="949"/>
      <c r="AN45" s="949"/>
      <c r="AO45" s="949"/>
      <c r="AP45" s="949"/>
      <c r="AQ45" s="949"/>
      <c r="AR45" s="949"/>
      <c r="AS45" s="949"/>
      <c r="AT45" s="949"/>
      <c r="AU45" s="949"/>
      <c r="AV45" s="949"/>
      <c r="AW45" s="949"/>
      <c r="AX45" s="949"/>
      <c r="AY45" s="949"/>
      <c r="AZ45" s="949"/>
      <c r="BA45" s="949"/>
      <c r="BB45" s="949"/>
      <c r="BC45" s="949"/>
      <c r="BD45" s="949"/>
      <c r="BE45" s="949"/>
      <c r="BF45" s="949"/>
      <c r="BG45" s="949"/>
      <c r="BH45" s="949"/>
      <c r="BI45" s="949"/>
      <c r="BJ45" s="949"/>
      <c r="BK45" s="949"/>
      <c r="BL45" s="949"/>
      <c r="BM45" s="949"/>
      <c r="BN45" s="949"/>
      <c r="BO45" s="949"/>
      <c r="BP45" s="949"/>
      <c r="BQ45" s="949"/>
      <c r="BR45" s="949"/>
      <c r="BS45" s="949"/>
      <c r="BT45" s="949"/>
      <c r="BU45" s="949"/>
      <c r="BV45" s="949"/>
      <c r="BW45" s="949"/>
      <c r="BX45" s="949"/>
      <c r="BY45" s="949"/>
      <c r="BZ45" s="949"/>
      <c r="CA45" s="949"/>
      <c r="CB45" s="949"/>
      <c r="CC45" s="949"/>
      <c r="CD45" s="949"/>
      <c r="CE45" s="949"/>
      <c r="CF45" s="949"/>
      <c r="CG45" s="949"/>
      <c r="CH45" s="949"/>
      <c r="CI45" s="949"/>
      <c r="CJ45" s="949"/>
      <c r="CK45" s="949"/>
      <c r="CL45" s="949"/>
      <c r="CM45" s="949"/>
      <c r="CN45" s="949"/>
      <c r="CO45" s="949"/>
      <c r="CP45" s="949"/>
      <c r="CQ45" s="949"/>
      <c r="CR45" s="949"/>
      <c r="CS45" s="949"/>
      <c r="CT45" s="949"/>
      <c r="CU45" s="949"/>
      <c r="CV45" s="949"/>
      <c r="CW45" s="949"/>
      <c r="CX45" s="949"/>
      <c r="CY45" s="949"/>
      <c r="CZ45" s="949"/>
      <c r="DA45" s="949"/>
      <c r="DB45" s="949"/>
      <c r="DC45" s="949"/>
      <c r="DD45" s="949"/>
      <c r="DE45" s="949"/>
      <c r="DF45" s="949"/>
      <c r="DG45" s="949"/>
      <c r="DH45" s="949"/>
      <c r="DI45" s="949"/>
      <c r="DJ45" s="949"/>
      <c r="DK45" s="949"/>
      <c r="DL45" s="949"/>
      <c r="DM45" s="949"/>
      <c r="DN45" s="949"/>
      <c r="DO45" s="949"/>
      <c r="DP45" s="949"/>
      <c r="DQ45" s="949"/>
      <c r="DR45" s="949"/>
      <c r="DS45" s="949"/>
      <c r="DT45" s="949"/>
      <c r="DU45" s="949"/>
      <c r="DV45" s="949"/>
      <c r="DW45" s="949"/>
      <c r="DX45" s="949"/>
      <c r="DY45" s="949"/>
      <c r="DZ45" s="949"/>
      <c r="EA45" s="949"/>
      <c r="EB45" s="949"/>
      <c r="EC45" s="949"/>
      <c r="ED45" s="949"/>
      <c r="EE45" s="949"/>
      <c r="EF45" s="949"/>
      <c r="EG45" s="949"/>
      <c r="EH45" s="949"/>
      <c r="EI45" s="949"/>
      <c r="EJ45" s="949"/>
      <c r="EK45" s="949"/>
      <c r="EL45" s="949"/>
      <c r="EM45" s="949"/>
      <c r="EN45" s="949"/>
      <c r="EO45" s="949"/>
      <c r="EP45" s="949"/>
      <c r="EQ45" s="949"/>
      <c r="ER45" s="949"/>
      <c r="ES45" s="949"/>
      <c r="ET45" s="949"/>
      <c r="EU45" s="949"/>
      <c r="EV45" s="949"/>
      <c r="EW45" s="949"/>
      <c r="EX45" s="949"/>
      <c r="EY45" s="949"/>
      <c r="EZ45" s="949"/>
      <c r="FA45" s="949"/>
      <c r="FB45" s="949"/>
      <c r="FC45" s="949"/>
      <c r="FD45" s="949"/>
      <c r="FE45" s="949"/>
      <c r="FF45" s="949"/>
      <c r="FG45" s="949"/>
      <c r="FH45" s="949"/>
      <c r="FI45" s="949"/>
      <c r="FJ45" s="949"/>
      <c r="FK45" s="949"/>
      <c r="FL45" s="949"/>
      <c r="FM45" s="949"/>
      <c r="FN45" s="949"/>
      <c r="FO45" s="949"/>
      <c r="FP45" s="949"/>
      <c r="FQ45" s="949"/>
      <c r="FR45" s="949"/>
      <c r="FS45" s="949"/>
      <c r="FT45" s="949"/>
      <c r="FU45" s="949"/>
      <c r="FV45" s="949"/>
      <c r="FW45" s="949"/>
      <c r="FX45" s="949"/>
      <c r="FY45" s="949"/>
      <c r="FZ45" s="949"/>
      <c r="GA45" s="949"/>
      <c r="GB45" s="949"/>
      <c r="GC45" s="949"/>
      <c r="GD45" s="949"/>
      <c r="GE45" s="949"/>
      <c r="GF45" s="949"/>
      <c r="GG45" s="949"/>
      <c r="GH45" s="949"/>
      <c r="GI45" s="949"/>
      <c r="GJ45" s="949"/>
      <c r="GK45" s="949"/>
      <c r="GL45" s="949"/>
      <c r="GM45" s="949"/>
      <c r="GN45" s="949"/>
      <c r="GO45" s="949"/>
      <c r="GP45" s="949"/>
      <c r="GQ45" s="949"/>
      <c r="GR45" s="949"/>
      <c r="GS45" s="949"/>
      <c r="GT45" s="949"/>
      <c r="GU45" s="949"/>
      <c r="GV45" s="949"/>
      <c r="GW45" s="949"/>
      <c r="GX45" s="949"/>
      <c r="GY45" s="949"/>
      <c r="GZ45" s="949"/>
      <c r="HA45" s="949"/>
      <c r="HB45" s="949"/>
      <c r="HC45" s="949"/>
      <c r="HD45" s="949"/>
      <c r="HE45" s="949"/>
      <c r="HF45" s="949"/>
      <c r="HG45" s="949"/>
      <c r="HH45" s="949"/>
      <c r="HI45" s="949"/>
      <c r="HJ45" s="949"/>
      <c r="HK45" s="949"/>
      <c r="HL45" s="949"/>
      <c r="HM45" s="949"/>
      <c r="HN45" s="949"/>
      <c r="HO45" s="949"/>
      <c r="HP45" s="949"/>
      <c r="HQ45" s="949"/>
      <c r="HR45" s="949"/>
      <c r="HS45" s="949"/>
      <c r="HT45" s="949"/>
      <c r="HU45" s="949"/>
      <c r="HV45" s="949"/>
      <c r="HW45" s="949"/>
      <c r="HX45" s="949"/>
      <c r="HY45" s="949"/>
      <c r="HZ45" s="949"/>
      <c r="IA45" s="949"/>
      <c r="IB45" s="949"/>
      <c r="IC45" s="949"/>
      <c r="ID45" s="949"/>
      <c r="IE45" s="949"/>
      <c r="IF45" s="949"/>
      <c r="IG45" s="949"/>
      <c r="IH45" s="949"/>
      <c r="II45" s="949"/>
      <c r="IJ45" s="949"/>
      <c r="IK45" s="949"/>
      <c r="IL45" s="948"/>
      <c r="IM45" s="1"/>
      <c r="IN45" s="1"/>
      <c r="IO45" s="1"/>
      <c r="IP45" s="1"/>
      <c r="IQ45" s="1"/>
      <c r="IR45" s="1"/>
      <c r="IS45" s="1"/>
      <c r="IT45" s="1"/>
    </row>
    <row r="46" spans="1:254" s="84" customFormat="1" ht="12.9" hidden="1" customHeight="1" thickBot="1" x14ac:dyDescent="0.2">
      <c r="A46" s="961">
        <f>クリーチャー_2!D2</f>
        <v>0</v>
      </c>
      <c r="B46" s="961"/>
      <c r="C46" s="961"/>
      <c r="D46" s="961"/>
      <c r="E46" s="967"/>
      <c r="F46" s="968"/>
      <c r="G46" s="24" t="s">
        <v>33</v>
      </c>
      <c r="H46" s="138" t="s">
        <v>243</v>
      </c>
      <c r="I46" s="32" t="s">
        <v>113</v>
      </c>
      <c r="J46" s="138" t="s">
        <v>243</v>
      </c>
      <c r="K46" s="33" t="s">
        <v>160</v>
      </c>
      <c r="L46" s="138" t="s">
        <v>243</v>
      </c>
      <c r="M46" s="958"/>
      <c r="N46" s="949"/>
      <c r="O46" s="949"/>
      <c r="P46" s="949"/>
      <c r="Q46" s="949"/>
      <c r="R46" s="949"/>
      <c r="S46" s="949"/>
      <c r="T46" s="949"/>
      <c r="U46" s="949"/>
      <c r="V46" s="949"/>
      <c r="W46" s="949"/>
      <c r="X46" s="949"/>
      <c r="Y46" s="949"/>
      <c r="Z46" s="949"/>
      <c r="AA46" s="949"/>
      <c r="AB46" s="949"/>
      <c r="AC46" s="949"/>
      <c r="AD46" s="949"/>
      <c r="AE46" s="949"/>
      <c r="AF46" s="949"/>
      <c r="AG46" s="949"/>
      <c r="AH46" s="949"/>
      <c r="AI46" s="949"/>
      <c r="AJ46" s="949"/>
      <c r="AK46" s="949"/>
      <c r="AL46" s="949"/>
      <c r="AM46" s="949"/>
      <c r="AN46" s="949"/>
      <c r="AO46" s="949"/>
      <c r="AP46" s="949"/>
      <c r="AQ46" s="949"/>
      <c r="AR46" s="949"/>
      <c r="AS46" s="949"/>
      <c r="AT46" s="949"/>
      <c r="AU46" s="949"/>
      <c r="AV46" s="949"/>
      <c r="AW46" s="949"/>
      <c r="AX46" s="949"/>
      <c r="AY46" s="949"/>
      <c r="AZ46" s="949"/>
      <c r="BA46" s="949"/>
      <c r="BB46" s="949"/>
      <c r="BC46" s="949"/>
      <c r="BD46" s="949"/>
      <c r="BE46" s="949"/>
      <c r="BF46" s="949"/>
      <c r="BG46" s="949"/>
      <c r="BH46" s="949"/>
      <c r="BI46" s="949"/>
      <c r="BJ46" s="949"/>
      <c r="BK46" s="949"/>
      <c r="BL46" s="949"/>
      <c r="BM46" s="949"/>
      <c r="BN46" s="949"/>
      <c r="BO46" s="949"/>
      <c r="BP46" s="949"/>
      <c r="BQ46" s="949"/>
      <c r="BR46" s="949"/>
      <c r="BS46" s="949"/>
      <c r="BT46" s="949"/>
      <c r="BU46" s="949"/>
      <c r="BV46" s="949"/>
      <c r="BW46" s="949"/>
      <c r="BX46" s="949"/>
      <c r="BY46" s="949"/>
      <c r="BZ46" s="949"/>
      <c r="CA46" s="949"/>
      <c r="CB46" s="949"/>
      <c r="CC46" s="949"/>
      <c r="CD46" s="949"/>
      <c r="CE46" s="949"/>
      <c r="CF46" s="949"/>
      <c r="CG46" s="949"/>
      <c r="CH46" s="949"/>
      <c r="CI46" s="949"/>
      <c r="CJ46" s="949"/>
      <c r="CK46" s="949"/>
      <c r="CL46" s="949"/>
      <c r="CM46" s="949"/>
      <c r="CN46" s="949"/>
      <c r="CO46" s="949"/>
      <c r="CP46" s="949"/>
      <c r="CQ46" s="949"/>
      <c r="CR46" s="949"/>
      <c r="CS46" s="949"/>
      <c r="CT46" s="949"/>
      <c r="CU46" s="949"/>
      <c r="CV46" s="949"/>
      <c r="CW46" s="949"/>
      <c r="CX46" s="949"/>
      <c r="CY46" s="949"/>
      <c r="CZ46" s="949"/>
      <c r="DA46" s="949"/>
      <c r="DB46" s="949"/>
      <c r="DC46" s="949"/>
      <c r="DD46" s="949"/>
      <c r="DE46" s="949"/>
      <c r="DF46" s="949"/>
      <c r="DG46" s="949"/>
      <c r="DH46" s="949"/>
      <c r="DI46" s="949"/>
      <c r="DJ46" s="949"/>
      <c r="DK46" s="949"/>
      <c r="DL46" s="949"/>
      <c r="DM46" s="949"/>
      <c r="DN46" s="949"/>
      <c r="DO46" s="949"/>
      <c r="DP46" s="949"/>
      <c r="DQ46" s="949"/>
      <c r="DR46" s="949"/>
      <c r="DS46" s="949"/>
      <c r="DT46" s="949"/>
      <c r="DU46" s="949"/>
      <c r="DV46" s="949"/>
      <c r="DW46" s="949"/>
      <c r="DX46" s="949"/>
      <c r="DY46" s="949"/>
      <c r="DZ46" s="949"/>
      <c r="EA46" s="949"/>
      <c r="EB46" s="949"/>
      <c r="EC46" s="949"/>
      <c r="ED46" s="949"/>
      <c r="EE46" s="949"/>
      <c r="EF46" s="949"/>
      <c r="EG46" s="949"/>
      <c r="EH46" s="949"/>
      <c r="EI46" s="949"/>
      <c r="EJ46" s="949"/>
      <c r="EK46" s="949"/>
      <c r="EL46" s="949"/>
      <c r="EM46" s="949"/>
      <c r="EN46" s="949"/>
      <c r="EO46" s="949"/>
      <c r="EP46" s="949"/>
      <c r="EQ46" s="949"/>
      <c r="ER46" s="949"/>
      <c r="ES46" s="949"/>
      <c r="ET46" s="949"/>
      <c r="EU46" s="949"/>
      <c r="EV46" s="949"/>
      <c r="EW46" s="949"/>
      <c r="EX46" s="949"/>
      <c r="EY46" s="949"/>
      <c r="EZ46" s="949"/>
      <c r="FA46" s="949"/>
      <c r="FB46" s="949"/>
      <c r="FC46" s="949"/>
      <c r="FD46" s="949"/>
      <c r="FE46" s="949"/>
      <c r="FF46" s="949"/>
      <c r="FG46" s="949"/>
      <c r="FH46" s="949"/>
      <c r="FI46" s="949"/>
      <c r="FJ46" s="949"/>
      <c r="FK46" s="949"/>
      <c r="FL46" s="949"/>
      <c r="FM46" s="949"/>
      <c r="FN46" s="949"/>
      <c r="FO46" s="949"/>
      <c r="FP46" s="949"/>
      <c r="FQ46" s="949"/>
      <c r="FR46" s="949"/>
      <c r="FS46" s="949"/>
      <c r="FT46" s="949"/>
      <c r="FU46" s="949"/>
      <c r="FV46" s="949"/>
      <c r="FW46" s="949"/>
      <c r="FX46" s="949"/>
      <c r="FY46" s="949"/>
      <c r="FZ46" s="949"/>
      <c r="GA46" s="949"/>
      <c r="GB46" s="949"/>
      <c r="GC46" s="949"/>
      <c r="GD46" s="949"/>
      <c r="GE46" s="949"/>
      <c r="GF46" s="949"/>
      <c r="GG46" s="949"/>
      <c r="GH46" s="949"/>
      <c r="GI46" s="949"/>
      <c r="GJ46" s="949"/>
      <c r="GK46" s="949"/>
      <c r="GL46" s="949"/>
      <c r="GM46" s="949"/>
      <c r="GN46" s="949"/>
      <c r="GO46" s="949"/>
      <c r="GP46" s="949"/>
      <c r="GQ46" s="949"/>
      <c r="GR46" s="949"/>
      <c r="GS46" s="949"/>
      <c r="GT46" s="949"/>
      <c r="GU46" s="949"/>
      <c r="GV46" s="949"/>
      <c r="GW46" s="949"/>
      <c r="GX46" s="949"/>
      <c r="GY46" s="949"/>
      <c r="GZ46" s="949"/>
      <c r="HA46" s="949"/>
      <c r="HB46" s="949"/>
      <c r="HC46" s="949"/>
      <c r="HD46" s="949"/>
      <c r="HE46" s="949"/>
      <c r="HF46" s="949"/>
      <c r="HG46" s="949"/>
      <c r="HH46" s="949"/>
      <c r="HI46" s="949"/>
      <c r="HJ46" s="949"/>
      <c r="HK46" s="949"/>
      <c r="HL46" s="949"/>
      <c r="HM46" s="949"/>
      <c r="HN46" s="949"/>
      <c r="HO46" s="949"/>
      <c r="HP46" s="949"/>
      <c r="HQ46" s="949"/>
      <c r="HR46" s="949"/>
      <c r="HS46" s="949"/>
      <c r="HT46" s="949"/>
      <c r="HU46" s="949"/>
      <c r="HV46" s="949"/>
      <c r="HW46" s="949"/>
      <c r="HX46" s="949"/>
      <c r="HY46" s="949"/>
      <c r="HZ46" s="949"/>
      <c r="IA46" s="949"/>
      <c r="IB46" s="949"/>
      <c r="IC46" s="949"/>
      <c r="ID46" s="949"/>
      <c r="IE46" s="949"/>
      <c r="IF46" s="949"/>
      <c r="IG46" s="949"/>
      <c r="IH46" s="949"/>
      <c r="II46" s="949"/>
      <c r="IJ46" s="949"/>
      <c r="IK46" s="949"/>
      <c r="IL46" s="949"/>
      <c r="IM46" s="1"/>
      <c r="IN46" s="1"/>
      <c r="IO46" s="1"/>
      <c r="IP46" s="1"/>
      <c r="IQ46" s="1"/>
      <c r="IR46" s="1"/>
      <c r="IS46" s="1"/>
      <c r="IT46" s="1"/>
    </row>
    <row r="47" spans="1:254" s="84" customFormat="1" ht="12.9" hidden="1" customHeight="1" thickBot="1" x14ac:dyDescent="0.2">
      <c r="A47" s="961"/>
      <c r="B47" s="961"/>
      <c r="C47" s="961"/>
      <c r="D47" s="961"/>
      <c r="E47" s="962" t="s">
        <v>632</v>
      </c>
      <c r="F47" s="963" t="str">
        <f>クリーチャー_2!G19</f>
        <v>1D6</v>
      </c>
      <c r="G47" s="25" t="s">
        <v>81</v>
      </c>
      <c r="H47" s="138" t="s">
        <v>243</v>
      </c>
      <c r="I47" s="34" t="s">
        <v>135</v>
      </c>
      <c r="J47" s="138" t="s">
        <v>243</v>
      </c>
      <c r="K47" s="35" t="s">
        <v>182</v>
      </c>
      <c r="L47" s="138" t="s">
        <v>243</v>
      </c>
      <c r="M47" s="958"/>
      <c r="N47" s="949"/>
      <c r="O47" s="949"/>
      <c r="P47" s="949"/>
      <c r="Q47" s="949"/>
      <c r="R47" s="949"/>
      <c r="S47" s="949"/>
      <c r="T47" s="949"/>
      <c r="U47" s="949"/>
      <c r="V47" s="949"/>
      <c r="W47" s="949"/>
      <c r="X47" s="949"/>
      <c r="Y47" s="949"/>
      <c r="Z47" s="949"/>
      <c r="AA47" s="949"/>
      <c r="AB47" s="949"/>
      <c r="AC47" s="949"/>
      <c r="AD47" s="949"/>
      <c r="AE47" s="949"/>
      <c r="AF47" s="949"/>
      <c r="AG47" s="949"/>
      <c r="AH47" s="949"/>
      <c r="AI47" s="949"/>
      <c r="AJ47" s="949"/>
      <c r="AK47" s="949"/>
      <c r="AL47" s="949"/>
      <c r="AM47" s="949"/>
      <c r="AN47" s="949"/>
      <c r="AO47" s="949"/>
      <c r="AP47" s="949"/>
      <c r="AQ47" s="949"/>
      <c r="AR47" s="949"/>
      <c r="AS47" s="949"/>
      <c r="AT47" s="949"/>
      <c r="AU47" s="949"/>
      <c r="AV47" s="949"/>
      <c r="AW47" s="949"/>
      <c r="AX47" s="949"/>
      <c r="AY47" s="949"/>
      <c r="AZ47" s="949"/>
      <c r="BA47" s="949"/>
      <c r="BB47" s="949"/>
      <c r="BC47" s="949"/>
      <c r="BD47" s="949"/>
      <c r="BE47" s="949"/>
      <c r="BF47" s="949"/>
      <c r="BG47" s="949"/>
      <c r="BH47" s="949"/>
      <c r="BI47" s="949"/>
      <c r="BJ47" s="949"/>
      <c r="BK47" s="949"/>
      <c r="BL47" s="949"/>
      <c r="BM47" s="949"/>
      <c r="BN47" s="949"/>
      <c r="BO47" s="949"/>
      <c r="BP47" s="949"/>
      <c r="BQ47" s="949"/>
      <c r="BR47" s="949"/>
      <c r="BS47" s="949"/>
      <c r="BT47" s="949"/>
      <c r="BU47" s="949"/>
      <c r="BV47" s="949"/>
      <c r="BW47" s="949"/>
      <c r="BX47" s="949"/>
      <c r="BY47" s="949"/>
      <c r="BZ47" s="949"/>
      <c r="CA47" s="949"/>
      <c r="CB47" s="949"/>
      <c r="CC47" s="949"/>
      <c r="CD47" s="949"/>
      <c r="CE47" s="949"/>
      <c r="CF47" s="949"/>
      <c r="CG47" s="949"/>
      <c r="CH47" s="949"/>
      <c r="CI47" s="949"/>
      <c r="CJ47" s="949"/>
      <c r="CK47" s="949"/>
      <c r="CL47" s="949"/>
      <c r="CM47" s="949"/>
      <c r="CN47" s="949"/>
      <c r="CO47" s="949"/>
      <c r="CP47" s="949"/>
      <c r="CQ47" s="949"/>
      <c r="CR47" s="949"/>
      <c r="CS47" s="949"/>
      <c r="CT47" s="949"/>
      <c r="CU47" s="949"/>
      <c r="CV47" s="949"/>
      <c r="CW47" s="949"/>
      <c r="CX47" s="949"/>
      <c r="CY47" s="949"/>
      <c r="CZ47" s="949"/>
      <c r="DA47" s="949"/>
      <c r="DB47" s="949"/>
      <c r="DC47" s="949"/>
      <c r="DD47" s="949"/>
      <c r="DE47" s="949"/>
      <c r="DF47" s="949"/>
      <c r="DG47" s="949"/>
      <c r="DH47" s="949"/>
      <c r="DI47" s="949"/>
      <c r="DJ47" s="949"/>
      <c r="DK47" s="949"/>
      <c r="DL47" s="949"/>
      <c r="DM47" s="949"/>
      <c r="DN47" s="949"/>
      <c r="DO47" s="949"/>
      <c r="DP47" s="949"/>
      <c r="DQ47" s="949"/>
      <c r="DR47" s="949"/>
      <c r="DS47" s="949"/>
      <c r="DT47" s="949"/>
      <c r="DU47" s="949"/>
      <c r="DV47" s="949"/>
      <c r="DW47" s="949"/>
      <c r="DX47" s="949"/>
      <c r="DY47" s="949"/>
      <c r="DZ47" s="949"/>
      <c r="EA47" s="949"/>
      <c r="EB47" s="949"/>
      <c r="EC47" s="949"/>
      <c r="ED47" s="949"/>
      <c r="EE47" s="949"/>
      <c r="EF47" s="949"/>
      <c r="EG47" s="949"/>
      <c r="EH47" s="949"/>
      <c r="EI47" s="949"/>
      <c r="EJ47" s="949"/>
      <c r="EK47" s="949"/>
      <c r="EL47" s="949"/>
      <c r="EM47" s="949"/>
      <c r="EN47" s="949"/>
      <c r="EO47" s="949"/>
      <c r="EP47" s="949"/>
      <c r="EQ47" s="949"/>
      <c r="ER47" s="949"/>
      <c r="ES47" s="949"/>
      <c r="ET47" s="949"/>
      <c r="EU47" s="949"/>
      <c r="EV47" s="949"/>
      <c r="EW47" s="949"/>
      <c r="EX47" s="949"/>
      <c r="EY47" s="949"/>
      <c r="EZ47" s="949"/>
      <c r="FA47" s="949"/>
      <c r="FB47" s="949"/>
      <c r="FC47" s="949"/>
      <c r="FD47" s="949"/>
      <c r="FE47" s="949"/>
      <c r="FF47" s="949"/>
      <c r="FG47" s="949"/>
      <c r="FH47" s="949"/>
      <c r="FI47" s="949"/>
      <c r="FJ47" s="949"/>
      <c r="FK47" s="949"/>
      <c r="FL47" s="949"/>
      <c r="FM47" s="949"/>
      <c r="FN47" s="949"/>
      <c r="FO47" s="949"/>
      <c r="FP47" s="949"/>
      <c r="FQ47" s="949"/>
      <c r="FR47" s="949"/>
      <c r="FS47" s="949"/>
      <c r="FT47" s="949"/>
      <c r="FU47" s="949"/>
      <c r="FV47" s="949"/>
      <c r="FW47" s="949"/>
      <c r="FX47" s="949"/>
      <c r="FY47" s="949"/>
      <c r="FZ47" s="949"/>
      <c r="GA47" s="949"/>
      <c r="GB47" s="949"/>
      <c r="GC47" s="949"/>
      <c r="GD47" s="949"/>
      <c r="GE47" s="949"/>
      <c r="GF47" s="949"/>
      <c r="GG47" s="949"/>
      <c r="GH47" s="949"/>
      <c r="GI47" s="949"/>
      <c r="GJ47" s="949"/>
      <c r="GK47" s="949"/>
      <c r="GL47" s="949"/>
      <c r="GM47" s="949"/>
      <c r="GN47" s="949"/>
      <c r="GO47" s="949"/>
      <c r="GP47" s="949"/>
      <c r="GQ47" s="949"/>
      <c r="GR47" s="949"/>
      <c r="GS47" s="949"/>
      <c r="GT47" s="949"/>
      <c r="GU47" s="949"/>
      <c r="GV47" s="949"/>
      <c r="GW47" s="949"/>
      <c r="GX47" s="949"/>
      <c r="GY47" s="949"/>
      <c r="GZ47" s="949"/>
      <c r="HA47" s="949"/>
      <c r="HB47" s="949"/>
      <c r="HC47" s="949"/>
      <c r="HD47" s="949"/>
      <c r="HE47" s="949"/>
      <c r="HF47" s="949"/>
      <c r="HG47" s="949"/>
      <c r="HH47" s="949"/>
      <c r="HI47" s="949"/>
      <c r="HJ47" s="949"/>
      <c r="HK47" s="949"/>
      <c r="HL47" s="949"/>
      <c r="HM47" s="949"/>
      <c r="HN47" s="949"/>
      <c r="HO47" s="949"/>
      <c r="HP47" s="949"/>
      <c r="HQ47" s="949"/>
      <c r="HR47" s="949"/>
      <c r="HS47" s="949"/>
      <c r="HT47" s="949"/>
      <c r="HU47" s="949"/>
      <c r="HV47" s="949"/>
      <c r="HW47" s="949"/>
      <c r="HX47" s="949"/>
      <c r="HY47" s="949"/>
      <c r="HZ47" s="949"/>
      <c r="IA47" s="949"/>
      <c r="IB47" s="949"/>
      <c r="IC47" s="949"/>
      <c r="ID47" s="949"/>
      <c r="IE47" s="949"/>
      <c r="IF47" s="949"/>
      <c r="IG47" s="949"/>
      <c r="IH47" s="949"/>
      <c r="II47" s="949"/>
      <c r="IJ47" s="949"/>
      <c r="IK47" s="949"/>
      <c r="IL47" s="949"/>
      <c r="IM47" s="1"/>
      <c r="IN47" s="1"/>
      <c r="IO47" s="1"/>
      <c r="IP47" s="1"/>
      <c r="IQ47" s="1"/>
      <c r="IR47" s="1"/>
      <c r="IS47" s="1"/>
      <c r="IT47" s="1"/>
    </row>
    <row r="48" spans="1:254" s="84" customFormat="1" ht="12.9" hidden="1" customHeight="1" thickBot="1" x14ac:dyDescent="0.2">
      <c r="A48" s="961"/>
      <c r="B48" s="961"/>
      <c r="C48" s="961"/>
      <c r="D48" s="961"/>
      <c r="E48" s="962"/>
      <c r="F48" s="963"/>
      <c r="G48" s="26" t="s">
        <v>203</v>
      </c>
      <c r="H48" s="138" t="s">
        <v>243</v>
      </c>
      <c r="I48" s="35" t="s">
        <v>236</v>
      </c>
      <c r="J48" s="138" t="s">
        <v>243</v>
      </c>
      <c r="K48" s="35" t="s">
        <v>273</v>
      </c>
      <c r="L48" s="138" t="s">
        <v>243</v>
      </c>
      <c r="M48" s="958"/>
      <c r="N48" s="958"/>
      <c r="O48" s="949"/>
      <c r="P48" s="949"/>
      <c r="Q48" s="949"/>
      <c r="R48" s="949"/>
      <c r="S48" s="949"/>
      <c r="T48" s="949"/>
      <c r="U48" s="949"/>
      <c r="V48" s="949"/>
      <c r="W48" s="949"/>
      <c r="X48" s="949"/>
      <c r="Y48" s="949"/>
      <c r="Z48" s="949"/>
      <c r="AA48" s="949"/>
      <c r="AB48" s="949"/>
      <c r="AC48" s="949"/>
      <c r="AD48" s="949"/>
      <c r="AE48" s="949"/>
      <c r="AF48" s="949"/>
      <c r="AG48" s="949"/>
      <c r="AH48" s="949"/>
      <c r="AI48" s="949"/>
      <c r="AJ48" s="949"/>
      <c r="AK48" s="949"/>
      <c r="AL48" s="949"/>
      <c r="AM48" s="949"/>
      <c r="AN48" s="949"/>
      <c r="AO48" s="949"/>
      <c r="AP48" s="949"/>
      <c r="AQ48" s="949"/>
      <c r="AR48" s="949"/>
      <c r="AS48" s="949"/>
      <c r="AT48" s="949"/>
      <c r="AU48" s="949"/>
      <c r="AV48" s="949"/>
      <c r="AW48" s="949"/>
      <c r="AX48" s="949"/>
      <c r="AY48" s="949"/>
      <c r="AZ48" s="949"/>
      <c r="BA48" s="949"/>
      <c r="BB48" s="949"/>
      <c r="BC48" s="949"/>
      <c r="BD48" s="949"/>
      <c r="BE48" s="949"/>
      <c r="BF48" s="949"/>
      <c r="BG48" s="949"/>
      <c r="BH48" s="949"/>
      <c r="BI48" s="949"/>
      <c r="BJ48" s="949"/>
      <c r="BK48" s="949"/>
      <c r="BL48" s="949"/>
      <c r="BM48" s="949"/>
      <c r="BN48" s="949"/>
      <c r="BO48" s="949"/>
      <c r="BP48" s="949"/>
      <c r="BQ48" s="949"/>
      <c r="BR48" s="949"/>
      <c r="BS48" s="949"/>
      <c r="BT48" s="949"/>
      <c r="BU48" s="949"/>
      <c r="BV48" s="949"/>
      <c r="BW48" s="949"/>
      <c r="BX48" s="949"/>
      <c r="BY48" s="949"/>
      <c r="BZ48" s="949"/>
      <c r="CA48" s="949"/>
      <c r="CB48" s="949"/>
      <c r="CC48" s="949"/>
      <c r="CD48" s="949"/>
      <c r="CE48" s="949"/>
      <c r="CF48" s="949"/>
      <c r="CG48" s="949"/>
      <c r="CH48" s="949"/>
      <c r="CI48" s="949"/>
      <c r="CJ48" s="949"/>
      <c r="CK48" s="949"/>
      <c r="CL48" s="949"/>
      <c r="CM48" s="949"/>
      <c r="CN48" s="949"/>
      <c r="CO48" s="949"/>
      <c r="CP48" s="949"/>
      <c r="CQ48" s="949"/>
      <c r="CR48" s="949"/>
      <c r="CS48" s="949"/>
      <c r="CT48" s="949"/>
      <c r="CU48" s="949"/>
      <c r="CV48" s="949"/>
      <c r="CW48" s="949"/>
      <c r="CX48" s="949"/>
      <c r="CY48" s="949"/>
      <c r="CZ48" s="949"/>
      <c r="DA48" s="949"/>
      <c r="DB48" s="949"/>
      <c r="DC48" s="949"/>
      <c r="DD48" s="949"/>
      <c r="DE48" s="949"/>
      <c r="DF48" s="949"/>
      <c r="DG48" s="949"/>
      <c r="DH48" s="949"/>
      <c r="DI48" s="949"/>
      <c r="DJ48" s="949"/>
      <c r="DK48" s="949"/>
      <c r="DL48" s="949"/>
      <c r="DM48" s="949"/>
      <c r="DN48" s="949"/>
      <c r="DO48" s="949"/>
      <c r="DP48" s="949"/>
      <c r="DQ48" s="949"/>
      <c r="DR48" s="949"/>
      <c r="DS48" s="949"/>
      <c r="DT48" s="949"/>
      <c r="DU48" s="949"/>
      <c r="DV48" s="949"/>
      <c r="DW48" s="949"/>
      <c r="DX48" s="949"/>
      <c r="DY48" s="949"/>
      <c r="DZ48" s="949"/>
      <c r="EA48" s="949"/>
      <c r="EB48" s="949"/>
      <c r="EC48" s="949"/>
      <c r="ED48" s="949"/>
      <c r="EE48" s="949"/>
      <c r="EF48" s="949"/>
      <c r="EG48" s="949"/>
      <c r="EH48" s="949"/>
      <c r="EI48" s="949"/>
      <c r="EJ48" s="949"/>
      <c r="EK48" s="949"/>
      <c r="EL48" s="949"/>
      <c r="EM48" s="949"/>
      <c r="EN48" s="949"/>
      <c r="EO48" s="949"/>
      <c r="EP48" s="949"/>
      <c r="EQ48" s="949"/>
      <c r="ER48" s="949"/>
      <c r="ES48" s="949"/>
      <c r="ET48" s="949"/>
      <c r="EU48" s="949"/>
      <c r="EV48" s="949"/>
      <c r="EW48" s="949"/>
      <c r="EX48" s="949"/>
      <c r="EY48" s="949"/>
      <c r="EZ48" s="949"/>
      <c r="FA48" s="949"/>
      <c r="FB48" s="949"/>
      <c r="FC48" s="949"/>
      <c r="FD48" s="949"/>
      <c r="FE48" s="949"/>
      <c r="FF48" s="949"/>
      <c r="FG48" s="949"/>
      <c r="FH48" s="949"/>
      <c r="FI48" s="949"/>
      <c r="FJ48" s="949"/>
      <c r="FK48" s="949"/>
      <c r="FL48" s="949"/>
      <c r="FM48" s="949"/>
      <c r="FN48" s="949"/>
      <c r="FO48" s="949"/>
      <c r="FP48" s="949"/>
      <c r="FQ48" s="949"/>
      <c r="FR48" s="949"/>
      <c r="FS48" s="949"/>
      <c r="FT48" s="949"/>
      <c r="FU48" s="949"/>
      <c r="FV48" s="949"/>
      <c r="FW48" s="949"/>
      <c r="FX48" s="949"/>
      <c r="FY48" s="949"/>
      <c r="FZ48" s="949"/>
      <c r="GA48" s="949"/>
      <c r="GB48" s="949"/>
      <c r="GC48" s="949"/>
      <c r="GD48" s="949"/>
      <c r="GE48" s="949"/>
      <c r="GF48" s="949"/>
      <c r="GG48" s="949"/>
      <c r="GH48" s="949"/>
      <c r="GI48" s="949"/>
      <c r="GJ48" s="949"/>
      <c r="GK48" s="949"/>
      <c r="GL48" s="949"/>
      <c r="GM48" s="949"/>
      <c r="GN48" s="949"/>
      <c r="GO48" s="949"/>
      <c r="GP48" s="949"/>
      <c r="GQ48" s="949"/>
      <c r="GR48" s="949"/>
      <c r="GS48" s="949"/>
      <c r="GT48" s="949"/>
      <c r="GU48" s="949"/>
      <c r="GV48" s="949"/>
      <c r="GW48" s="949"/>
      <c r="GX48" s="949"/>
      <c r="GY48" s="949"/>
      <c r="GZ48" s="949"/>
      <c r="HA48" s="949"/>
      <c r="HB48" s="949"/>
      <c r="HC48" s="949"/>
      <c r="HD48" s="949"/>
      <c r="HE48" s="949"/>
      <c r="HF48" s="949"/>
      <c r="HG48" s="949"/>
      <c r="HH48" s="949"/>
      <c r="HI48" s="949"/>
      <c r="HJ48" s="949"/>
      <c r="HK48" s="949"/>
      <c r="HL48" s="949"/>
      <c r="HM48" s="949"/>
      <c r="HN48" s="949"/>
      <c r="HO48" s="949"/>
      <c r="HP48" s="949"/>
      <c r="HQ48" s="949"/>
      <c r="HR48" s="949"/>
      <c r="HS48" s="949"/>
      <c r="HT48" s="949"/>
      <c r="HU48" s="949"/>
      <c r="HV48" s="949"/>
      <c r="HW48" s="949"/>
      <c r="HX48" s="949"/>
      <c r="HY48" s="949"/>
      <c r="HZ48" s="949"/>
      <c r="IA48" s="949"/>
      <c r="IB48" s="949"/>
      <c r="IC48" s="949"/>
      <c r="ID48" s="949"/>
      <c r="IE48" s="949"/>
      <c r="IF48" s="949"/>
      <c r="IG48" s="949"/>
      <c r="IH48" s="949"/>
      <c r="II48" s="949"/>
      <c r="IJ48" s="949"/>
      <c r="IK48" s="949"/>
      <c r="IL48" s="949"/>
      <c r="IM48" s="1"/>
      <c r="IN48" s="1"/>
      <c r="IO48" s="1"/>
      <c r="IP48" s="1"/>
      <c r="IQ48" s="1"/>
      <c r="IR48" s="1"/>
      <c r="IS48" s="1"/>
      <c r="IT48" s="1"/>
    </row>
    <row r="49" spans="1:254" s="84" customFormat="1" ht="12" hidden="1" customHeight="1" thickBot="1" x14ac:dyDescent="0.2">
      <c r="A49" s="964" t="s">
        <v>599</v>
      </c>
      <c r="B49" s="964"/>
      <c r="C49" s="965" t="s">
        <v>395</v>
      </c>
      <c r="D49" s="970">
        <f>クリーチャー_2!C16+クリーチャー_2!D16</f>
        <v>0</v>
      </c>
      <c r="E49" s="965" t="s">
        <v>633</v>
      </c>
      <c r="F49" s="971">
        <f>クリーチャー_2!H5</f>
        <v>4</v>
      </c>
      <c r="G49" s="27" t="s">
        <v>221</v>
      </c>
      <c r="H49" s="138" t="s">
        <v>243</v>
      </c>
      <c r="I49" s="36" t="s">
        <v>252</v>
      </c>
      <c r="J49" s="138" t="s">
        <v>243</v>
      </c>
      <c r="K49" s="36" t="s">
        <v>209</v>
      </c>
      <c r="L49" s="138" t="s">
        <v>243</v>
      </c>
      <c r="M49" s="958"/>
      <c r="N49" s="958"/>
      <c r="O49" s="949"/>
      <c r="P49" s="949"/>
      <c r="Q49" s="949"/>
      <c r="R49" s="949"/>
      <c r="S49" s="949"/>
      <c r="T49" s="949"/>
      <c r="U49" s="949"/>
      <c r="V49" s="949"/>
      <c r="W49" s="949"/>
      <c r="X49" s="949"/>
      <c r="Y49" s="949"/>
      <c r="Z49" s="949"/>
      <c r="AA49" s="949"/>
      <c r="AB49" s="949"/>
      <c r="AC49" s="949"/>
      <c r="AD49" s="949"/>
      <c r="AE49" s="949"/>
      <c r="AF49" s="949"/>
      <c r="AG49" s="949"/>
      <c r="AH49" s="949"/>
      <c r="AI49" s="949"/>
      <c r="AJ49" s="949"/>
      <c r="AK49" s="949"/>
      <c r="AL49" s="949"/>
      <c r="AM49" s="949"/>
      <c r="AN49" s="949"/>
      <c r="AO49" s="949"/>
      <c r="AP49" s="949"/>
      <c r="AQ49" s="949"/>
      <c r="AR49" s="949"/>
      <c r="AS49" s="949"/>
      <c r="AT49" s="949"/>
      <c r="AU49" s="949"/>
      <c r="AV49" s="949"/>
      <c r="AW49" s="949"/>
      <c r="AX49" s="949"/>
      <c r="AY49" s="949"/>
      <c r="AZ49" s="949"/>
      <c r="BA49" s="949"/>
      <c r="BB49" s="949"/>
      <c r="BC49" s="949"/>
      <c r="BD49" s="949"/>
      <c r="BE49" s="949"/>
      <c r="BF49" s="949"/>
      <c r="BG49" s="949"/>
      <c r="BH49" s="949"/>
      <c r="BI49" s="949"/>
      <c r="BJ49" s="949"/>
      <c r="BK49" s="949"/>
      <c r="BL49" s="949"/>
      <c r="BM49" s="949"/>
      <c r="BN49" s="949"/>
      <c r="BO49" s="949"/>
      <c r="BP49" s="949"/>
      <c r="BQ49" s="949"/>
      <c r="BR49" s="949"/>
      <c r="BS49" s="949"/>
      <c r="BT49" s="949"/>
      <c r="BU49" s="949"/>
      <c r="BV49" s="949"/>
      <c r="BW49" s="949"/>
      <c r="BX49" s="949"/>
      <c r="BY49" s="949"/>
      <c r="BZ49" s="949"/>
      <c r="CA49" s="949"/>
      <c r="CB49" s="949"/>
      <c r="CC49" s="949"/>
      <c r="CD49" s="949"/>
      <c r="CE49" s="949"/>
      <c r="CF49" s="949"/>
      <c r="CG49" s="949"/>
      <c r="CH49" s="949"/>
      <c r="CI49" s="949"/>
      <c r="CJ49" s="949"/>
      <c r="CK49" s="949"/>
      <c r="CL49" s="949"/>
      <c r="CM49" s="949"/>
      <c r="CN49" s="949"/>
      <c r="CO49" s="949"/>
      <c r="CP49" s="949"/>
      <c r="CQ49" s="949"/>
      <c r="CR49" s="949"/>
      <c r="CS49" s="949"/>
      <c r="CT49" s="949"/>
      <c r="CU49" s="949"/>
      <c r="CV49" s="949"/>
      <c r="CW49" s="949"/>
      <c r="CX49" s="949"/>
      <c r="CY49" s="949"/>
      <c r="CZ49" s="949"/>
      <c r="DA49" s="949"/>
      <c r="DB49" s="949"/>
      <c r="DC49" s="949"/>
      <c r="DD49" s="949"/>
      <c r="DE49" s="949"/>
      <c r="DF49" s="949"/>
      <c r="DG49" s="949"/>
      <c r="DH49" s="949"/>
      <c r="DI49" s="949"/>
      <c r="DJ49" s="949"/>
      <c r="DK49" s="949"/>
      <c r="DL49" s="949"/>
      <c r="DM49" s="949"/>
      <c r="DN49" s="949"/>
      <c r="DO49" s="949"/>
      <c r="DP49" s="949"/>
      <c r="DQ49" s="949"/>
      <c r="DR49" s="949"/>
      <c r="DS49" s="949"/>
      <c r="DT49" s="949"/>
      <c r="DU49" s="949"/>
      <c r="DV49" s="949"/>
      <c r="DW49" s="949"/>
      <c r="DX49" s="949"/>
      <c r="DY49" s="949"/>
      <c r="DZ49" s="949"/>
      <c r="EA49" s="949"/>
      <c r="EB49" s="949"/>
      <c r="EC49" s="949"/>
      <c r="ED49" s="949"/>
      <c r="EE49" s="949"/>
      <c r="EF49" s="949"/>
      <c r="EG49" s="949"/>
      <c r="EH49" s="949"/>
      <c r="EI49" s="949"/>
      <c r="EJ49" s="949"/>
      <c r="EK49" s="949"/>
      <c r="EL49" s="949"/>
      <c r="EM49" s="949"/>
      <c r="EN49" s="949"/>
      <c r="EO49" s="949"/>
      <c r="EP49" s="949"/>
      <c r="EQ49" s="949"/>
      <c r="ER49" s="949"/>
      <c r="ES49" s="949"/>
      <c r="ET49" s="949"/>
      <c r="EU49" s="949"/>
      <c r="EV49" s="949"/>
      <c r="EW49" s="949"/>
      <c r="EX49" s="949"/>
      <c r="EY49" s="949"/>
      <c r="EZ49" s="949"/>
      <c r="FA49" s="949"/>
      <c r="FB49" s="949"/>
      <c r="FC49" s="949"/>
      <c r="FD49" s="949"/>
      <c r="FE49" s="949"/>
      <c r="FF49" s="949"/>
      <c r="FG49" s="949"/>
      <c r="FH49" s="949"/>
      <c r="FI49" s="949"/>
      <c r="FJ49" s="949"/>
      <c r="FK49" s="949"/>
      <c r="FL49" s="949"/>
      <c r="FM49" s="949"/>
      <c r="FN49" s="949"/>
      <c r="FO49" s="949"/>
      <c r="FP49" s="949"/>
      <c r="FQ49" s="949"/>
      <c r="FR49" s="949"/>
      <c r="FS49" s="949"/>
      <c r="FT49" s="949"/>
      <c r="FU49" s="949"/>
      <c r="FV49" s="949"/>
      <c r="FW49" s="949"/>
      <c r="FX49" s="949"/>
      <c r="FY49" s="949"/>
      <c r="FZ49" s="949"/>
      <c r="GA49" s="949"/>
      <c r="GB49" s="949"/>
      <c r="GC49" s="949"/>
      <c r="GD49" s="949"/>
      <c r="GE49" s="949"/>
      <c r="GF49" s="949"/>
      <c r="GG49" s="949"/>
      <c r="GH49" s="949"/>
      <c r="GI49" s="949"/>
      <c r="GJ49" s="949"/>
      <c r="GK49" s="949"/>
      <c r="GL49" s="949"/>
      <c r="GM49" s="949"/>
      <c r="GN49" s="949"/>
      <c r="GO49" s="949"/>
      <c r="GP49" s="949"/>
      <c r="GQ49" s="949"/>
      <c r="GR49" s="949"/>
      <c r="GS49" s="949"/>
      <c r="GT49" s="949"/>
      <c r="GU49" s="949"/>
      <c r="GV49" s="949"/>
      <c r="GW49" s="949"/>
      <c r="GX49" s="949"/>
      <c r="GY49" s="949"/>
      <c r="GZ49" s="949"/>
      <c r="HA49" s="949"/>
      <c r="HB49" s="949"/>
      <c r="HC49" s="949"/>
      <c r="HD49" s="949"/>
      <c r="HE49" s="949"/>
      <c r="HF49" s="949"/>
      <c r="HG49" s="949"/>
      <c r="HH49" s="949"/>
      <c r="HI49" s="949"/>
      <c r="HJ49" s="949"/>
      <c r="HK49" s="949"/>
      <c r="HL49" s="949"/>
      <c r="HM49" s="949"/>
      <c r="HN49" s="949"/>
      <c r="HO49" s="949"/>
      <c r="HP49" s="949"/>
      <c r="HQ49" s="949"/>
      <c r="HR49" s="949"/>
      <c r="HS49" s="949"/>
      <c r="HT49" s="949"/>
      <c r="HU49" s="949"/>
      <c r="HV49" s="949"/>
      <c r="HW49" s="949"/>
      <c r="HX49" s="949"/>
      <c r="HY49" s="949"/>
      <c r="HZ49" s="949"/>
      <c r="IA49" s="949"/>
      <c r="IB49" s="949"/>
      <c r="IC49" s="949"/>
      <c r="ID49" s="949"/>
      <c r="IE49" s="949"/>
      <c r="IF49" s="949"/>
      <c r="IG49" s="949"/>
      <c r="IH49" s="949"/>
      <c r="II49" s="949"/>
      <c r="IJ49" s="949"/>
      <c r="IK49" s="949"/>
      <c r="IL49" s="949"/>
      <c r="IM49" s="1"/>
      <c r="IN49" s="1"/>
      <c r="IO49" s="1"/>
      <c r="IP49" s="1"/>
      <c r="IQ49" s="1"/>
      <c r="IR49" s="1"/>
      <c r="IS49" s="1"/>
      <c r="IT49" s="1"/>
    </row>
    <row r="50" spans="1:254" s="84" customFormat="1" ht="12.9" hidden="1" customHeight="1" thickBot="1" x14ac:dyDescent="0.2">
      <c r="A50" s="85">
        <f>B50+SUM(O51:IL51)</f>
        <v>0</v>
      </c>
      <c r="B50" s="9">
        <f>J51</f>
        <v>0</v>
      </c>
      <c r="C50" s="965"/>
      <c r="D50" s="970"/>
      <c r="E50" s="965"/>
      <c r="F50" s="971"/>
      <c r="G50" s="28"/>
      <c r="H50" s="28"/>
      <c r="I50" s="28"/>
      <c r="J50" s="28"/>
      <c r="K50" s="28"/>
      <c r="L50" s="37"/>
      <c r="M50" s="958"/>
      <c r="N50" s="958"/>
      <c r="O50" s="949"/>
      <c r="P50" s="949"/>
      <c r="Q50" s="949"/>
      <c r="R50" s="949"/>
      <c r="S50" s="949"/>
      <c r="T50" s="949"/>
      <c r="U50" s="949"/>
      <c r="V50" s="949"/>
      <c r="W50" s="949"/>
      <c r="X50" s="949"/>
      <c r="Y50" s="949"/>
      <c r="Z50" s="949"/>
      <c r="AA50" s="949"/>
      <c r="AB50" s="949"/>
      <c r="AC50" s="949"/>
      <c r="AD50" s="949"/>
      <c r="AE50" s="949"/>
      <c r="AF50" s="949"/>
      <c r="AG50" s="949"/>
      <c r="AH50" s="949"/>
      <c r="AI50" s="949"/>
      <c r="AJ50" s="949"/>
      <c r="AK50" s="949"/>
      <c r="AL50" s="949"/>
      <c r="AM50" s="949"/>
      <c r="AN50" s="949"/>
      <c r="AO50" s="949"/>
      <c r="AP50" s="949"/>
      <c r="AQ50" s="949"/>
      <c r="AR50" s="949"/>
      <c r="AS50" s="949"/>
      <c r="AT50" s="949"/>
      <c r="AU50" s="949"/>
      <c r="AV50" s="949"/>
      <c r="AW50" s="949"/>
      <c r="AX50" s="949"/>
      <c r="AY50" s="949"/>
      <c r="AZ50" s="949"/>
      <c r="BA50" s="949"/>
      <c r="BB50" s="949"/>
      <c r="BC50" s="949"/>
      <c r="BD50" s="949"/>
      <c r="BE50" s="949"/>
      <c r="BF50" s="949"/>
      <c r="BG50" s="949"/>
      <c r="BH50" s="949"/>
      <c r="BI50" s="949"/>
      <c r="BJ50" s="949"/>
      <c r="BK50" s="949"/>
      <c r="BL50" s="949"/>
      <c r="BM50" s="949"/>
      <c r="BN50" s="949"/>
      <c r="BO50" s="949"/>
      <c r="BP50" s="949"/>
      <c r="BQ50" s="949"/>
      <c r="BR50" s="949"/>
      <c r="BS50" s="949"/>
      <c r="BT50" s="949"/>
      <c r="BU50" s="949"/>
      <c r="BV50" s="949"/>
      <c r="BW50" s="949"/>
      <c r="BX50" s="949"/>
      <c r="BY50" s="949"/>
      <c r="BZ50" s="949"/>
      <c r="CA50" s="949"/>
      <c r="CB50" s="949"/>
      <c r="CC50" s="949"/>
      <c r="CD50" s="949"/>
      <c r="CE50" s="949"/>
      <c r="CF50" s="949"/>
      <c r="CG50" s="949"/>
      <c r="CH50" s="949"/>
      <c r="CI50" s="949"/>
      <c r="CJ50" s="949"/>
      <c r="CK50" s="949"/>
      <c r="CL50" s="949"/>
      <c r="CM50" s="949"/>
      <c r="CN50" s="949"/>
      <c r="CO50" s="949"/>
      <c r="CP50" s="949"/>
      <c r="CQ50" s="949"/>
      <c r="CR50" s="949"/>
      <c r="CS50" s="949"/>
      <c r="CT50" s="949"/>
      <c r="CU50" s="949"/>
      <c r="CV50" s="949"/>
      <c r="CW50" s="949"/>
      <c r="CX50" s="949"/>
      <c r="CY50" s="949"/>
      <c r="CZ50" s="949"/>
      <c r="DA50" s="949"/>
      <c r="DB50" s="949"/>
      <c r="DC50" s="949"/>
      <c r="DD50" s="949"/>
      <c r="DE50" s="949"/>
      <c r="DF50" s="949"/>
      <c r="DG50" s="949"/>
      <c r="DH50" s="949"/>
      <c r="DI50" s="949"/>
      <c r="DJ50" s="949"/>
      <c r="DK50" s="949"/>
      <c r="DL50" s="949"/>
      <c r="DM50" s="949"/>
      <c r="DN50" s="949"/>
      <c r="DO50" s="949"/>
      <c r="DP50" s="949"/>
      <c r="DQ50" s="949"/>
      <c r="DR50" s="949"/>
      <c r="DS50" s="949"/>
      <c r="DT50" s="949"/>
      <c r="DU50" s="949"/>
      <c r="DV50" s="949"/>
      <c r="DW50" s="949"/>
      <c r="DX50" s="949"/>
      <c r="DY50" s="949"/>
      <c r="DZ50" s="949"/>
      <c r="EA50" s="949"/>
      <c r="EB50" s="949"/>
      <c r="EC50" s="949"/>
      <c r="ED50" s="949"/>
      <c r="EE50" s="949"/>
      <c r="EF50" s="949"/>
      <c r="EG50" s="949"/>
      <c r="EH50" s="949"/>
      <c r="EI50" s="949"/>
      <c r="EJ50" s="949"/>
      <c r="EK50" s="949"/>
      <c r="EL50" s="949"/>
      <c r="EM50" s="949"/>
      <c r="EN50" s="949"/>
      <c r="EO50" s="949"/>
      <c r="EP50" s="949"/>
      <c r="EQ50" s="949"/>
      <c r="ER50" s="949"/>
      <c r="ES50" s="949"/>
      <c r="ET50" s="949"/>
      <c r="EU50" s="949"/>
      <c r="EV50" s="949"/>
      <c r="EW50" s="949"/>
      <c r="EX50" s="949"/>
      <c r="EY50" s="949"/>
      <c r="EZ50" s="949"/>
      <c r="FA50" s="949"/>
      <c r="FB50" s="949"/>
      <c r="FC50" s="949"/>
      <c r="FD50" s="949"/>
      <c r="FE50" s="949"/>
      <c r="FF50" s="949"/>
      <c r="FG50" s="949"/>
      <c r="FH50" s="949"/>
      <c r="FI50" s="949"/>
      <c r="FJ50" s="949"/>
      <c r="FK50" s="949"/>
      <c r="FL50" s="949"/>
      <c r="FM50" s="949"/>
      <c r="FN50" s="949"/>
      <c r="FO50" s="949"/>
      <c r="FP50" s="949"/>
      <c r="FQ50" s="949"/>
      <c r="FR50" s="949"/>
      <c r="FS50" s="949"/>
      <c r="FT50" s="949"/>
      <c r="FU50" s="949"/>
      <c r="FV50" s="949"/>
      <c r="FW50" s="949"/>
      <c r="FX50" s="949"/>
      <c r="FY50" s="949"/>
      <c r="FZ50" s="949"/>
      <c r="GA50" s="949"/>
      <c r="GB50" s="949"/>
      <c r="GC50" s="949"/>
      <c r="GD50" s="949"/>
      <c r="GE50" s="949"/>
      <c r="GF50" s="949"/>
      <c r="GG50" s="949"/>
      <c r="GH50" s="949"/>
      <c r="GI50" s="949"/>
      <c r="GJ50" s="949"/>
      <c r="GK50" s="949"/>
      <c r="GL50" s="949"/>
      <c r="GM50" s="949"/>
      <c r="GN50" s="949"/>
      <c r="GO50" s="949"/>
      <c r="GP50" s="949"/>
      <c r="GQ50" s="949"/>
      <c r="GR50" s="949"/>
      <c r="GS50" s="949"/>
      <c r="GT50" s="949"/>
      <c r="GU50" s="949"/>
      <c r="GV50" s="949"/>
      <c r="GW50" s="949"/>
      <c r="GX50" s="949"/>
      <c r="GY50" s="949"/>
      <c r="GZ50" s="949"/>
      <c r="HA50" s="949"/>
      <c r="HB50" s="949"/>
      <c r="HC50" s="949"/>
      <c r="HD50" s="949"/>
      <c r="HE50" s="949"/>
      <c r="HF50" s="949"/>
      <c r="HG50" s="949"/>
      <c r="HH50" s="949"/>
      <c r="HI50" s="949"/>
      <c r="HJ50" s="949"/>
      <c r="HK50" s="949"/>
      <c r="HL50" s="949"/>
      <c r="HM50" s="949"/>
      <c r="HN50" s="949"/>
      <c r="HO50" s="949"/>
      <c r="HP50" s="949"/>
      <c r="HQ50" s="949"/>
      <c r="HR50" s="949"/>
      <c r="HS50" s="949"/>
      <c r="HT50" s="949"/>
      <c r="HU50" s="949"/>
      <c r="HV50" s="949"/>
      <c r="HW50" s="949"/>
      <c r="HX50" s="949"/>
      <c r="HY50" s="949"/>
      <c r="HZ50" s="949"/>
      <c r="IA50" s="949"/>
      <c r="IB50" s="949"/>
      <c r="IC50" s="949"/>
      <c r="ID50" s="949"/>
      <c r="IE50" s="949"/>
      <c r="IF50" s="949"/>
      <c r="IG50" s="949"/>
      <c r="IH50" s="949"/>
      <c r="II50" s="949"/>
      <c r="IJ50" s="949"/>
      <c r="IK50" s="949"/>
      <c r="IL50" s="949"/>
      <c r="IM50" s="1"/>
      <c r="IN50" s="1"/>
      <c r="IO50" s="1"/>
      <c r="IP50" s="1"/>
      <c r="IQ50" s="1"/>
      <c r="IR50" s="1"/>
      <c r="IS50" s="1"/>
      <c r="IT50" s="1"/>
    </row>
    <row r="51" spans="1:254" s="98" customFormat="1" ht="12.9"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37" t="s">
        <v>608</v>
      </c>
      <c r="H51" s="937"/>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 hidden="1" customHeight="1" thickBot="1" x14ac:dyDescent="0.2">
      <c r="A54" s="966" t="s">
        <v>383</v>
      </c>
      <c r="B54" s="966"/>
      <c r="C54" s="966"/>
      <c r="D54" s="966"/>
      <c r="E54" s="967" t="s">
        <v>630</v>
      </c>
      <c r="F54" s="968" t="str">
        <f>クリーチャー_3!F19</f>
        <v>1D6</v>
      </c>
      <c r="G54" s="969" t="s">
        <v>631</v>
      </c>
      <c r="H54" s="969"/>
      <c r="I54" s="969"/>
      <c r="J54" s="969"/>
      <c r="K54" s="969"/>
      <c r="L54" s="969"/>
      <c r="M54" s="958" t="s">
        <v>592</v>
      </c>
      <c r="N54" s="949" t="s">
        <v>593</v>
      </c>
      <c r="O54" s="949"/>
      <c r="P54" s="949"/>
      <c r="Q54" s="949"/>
      <c r="R54" s="949"/>
      <c r="S54" s="949"/>
      <c r="T54" s="949"/>
      <c r="U54" s="949"/>
      <c r="V54" s="949"/>
      <c r="W54" s="949"/>
      <c r="X54" s="949"/>
      <c r="Y54" s="949"/>
      <c r="Z54" s="949"/>
      <c r="AA54" s="949"/>
      <c r="AB54" s="949"/>
      <c r="AC54" s="949"/>
      <c r="AD54" s="949"/>
      <c r="AE54" s="949"/>
      <c r="AF54" s="949"/>
      <c r="AG54" s="949"/>
      <c r="AH54" s="949"/>
      <c r="AI54" s="949"/>
      <c r="AJ54" s="949"/>
      <c r="AK54" s="949"/>
      <c r="AL54" s="949"/>
      <c r="AM54" s="949"/>
      <c r="AN54" s="949"/>
      <c r="AO54" s="949"/>
      <c r="AP54" s="949"/>
      <c r="AQ54" s="949"/>
      <c r="AR54" s="949"/>
      <c r="AS54" s="949"/>
      <c r="AT54" s="949"/>
      <c r="AU54" s="949"/>
      <c r="AV54" s="949"/>
      <c r="AW54" s="949"/>
      <c r="AX54" s="949"/>
      <c r="AY54" s="949"/>
      <c r="AZ54" s="949"/>
      <c r="BA54" s="949"/>
      <c r="BB54" s="949"/>
      <c r="BC54" s="949"/>
      <c r="BD54" s="949"/>
      <c r="BE54" s="949"/>
      <c r="BF54" s="949"/>
      <c r="BG54" s="949"/>
      <c r="BH54" s="949"/>
      <c r="BI54" s="949"/>
      <c r="BJ54" s="949"/>
      <c r="BK54" s="949"/>
      <c r="BL54" s="949"/>
      <c r="BM54" s="949"/>
      <c r="BN54" s="949"/>
      <c r="BO54" s="949"/>
      <c r="BP54" s="949"/>
      <c r="BQ54" s="949"/>
      <c r="BR54" s="949"/>
      <c r="BS54" s="949"/>
      <c r="BT54" s="949"/>
      <c r="BU54" s="949"/>
      <c r="BV54" s="949"/>
      <c r="BW54" s="949"/>
      <c r="BX54" s="949"/>
      <c r="BY54" s="949"/>
      <c r="BZ54" s="949"/>
      <c r="CA54" s="949"/>
      <c r="CB54" s="949"/>
      <c r="CC54" s="949"/>
      <c r="CD54" s="949"/>
      <c r="CE54" s="949"/>
      <c r="CF54" s="949"/>
      <c r="CG54" s="949"/>
      <c r="CH54" s="949"/>
      <c r="CI54" s="949"/>
      <c r="CJ54" s="949"/>
      <c r="CK54" s="949"/>
      <c r="CL54" s="949"/>
      <c r="CM54" s="949"/>
      <c r="CN54" s="949"/>
      <c r="CO54" s="949"/>
      <c r="CP54" s="949"/>
      <c r="CQ54" s="949"/>
      <c r="CR54" s="949"/>
      <c r="CS54" s="949"/>
      <c r="CT54" s="949"/>
      <c r="CU54" s="949"/>
      <c r="CV54" s="949"/>
      <c r="CW54" s="949"/>
      <c r="CX54" s="949"/>
      <c r="CY54" s="949"/>
      <c r="CZ54" s="949"/>
      <c r="DA54" s="949"/>
      <c r="DB54" s="949"/>
      <c r="DC54" s="949"/>
      <c r="DD54" s="949"/>
      <c r="DE54" s="949"/>
      <c r="DF54" s="949"/>
      <c r="DG54" s="949"/>
      <c r="DH54" s="949"/>
      <c r="DI54" s="949"/>
      <c r="DJ54" s="949"/>
      <c r="DK54" s="949"/>
      <c r="DL54" s="949"/>
      <c r="DM54" s="949"/>
      <c r="DN54" s="949"/>
      <c r="DO54" s="949"/>
      <c r="DP54" s="949"/>
      <c r="DQ54" s="949"/>
      <c r="DR54" s="949"/>
      <c r="DS54" s="949"/>
      <c r="DT54" s="949"/>
      <c r="DU54" s="949"/>
      <c r="DV54" s="949"/>
      <c r="DW54" s="949"/>
      <c r="DX54" s="949"/>
      <c r="DY54" s="949"/>
      <c r="DZ54" s="949"/>
      <c r="EA54" s="949"/>
      <c r="EB54" s="949"/>
      <c r="EC54" s="949"/>
      <c r="ED54" s="949"/>
      <c r="EE54" s="949"/>
      <c r="EF54" s="949"/>
      <c r="EG54" s="949"/>
      <c r="EH54" s="949"/>
      <c r="EI54" s="949"/>
      <c r="EJ54" s="949"/>
      <c r="EK54" s="949"/>
      <c r="EL54" s="949"/>
      <c r="EM54" s="949"/>
      <c r="EN54" s="949"/>
      <c r="EO54" s="949"/>
      <c r="EP54" s="949"/>
      <c r="EQ54" s="949"/>
      <c r="ER54" s="949"/>
      <c r="ES54" s="949"/>
      <c r="ET54" s="949"/>
      <c r="EU54" s="949"/>
      <c r="EV54" s="949"/>
      <c r="EW54" s="949"/>
      <c r="EX54" s="949"/>
      <c r="EY54" s="949"/>
      <c r="EZ54" s="949"/>
      <c r="FA54" s="949"/>
      <c r="FB54" s="949"/>
      <c r="FC54" s="949"/>
      <c r="FD54" s="949"/>
      <c r="FE54" s="949"/>
      <c r="FF54" s="949"/>
      <c r="FG54" s="949"/>
      <c r="FH54" s="949"/>
      <c r="FI54" s="949"/>
      <c r="FJ54" s="949"/>
      <c r="FK54" s="949"/>
      <c r="FL54" s="949"/>
      <c r="FM54" s="949"/>
      <c r="FN54" s="949"/>
      <c r="FO54" s="949"/>
      <c r="FP54" s="949"/>
      <c r="FQ54" s="949"/>
      <c r="FR54" s="949"/>
      <c r="FS54" s="949"/>
      <c r="FT54" s="949"/>
      <c r="FU54" s="949"/>
      <c r="FV54" s="949"/>
      <c r="FW54" s="949"/>
      <c r="FX54" s="949"/>
      <c r="FY54" s="949"/>
      <c r="FZ54" s="949"/>
      <c r="GA54" s="949"/>
      <c r="GB54" s="949"/>
      <c r="GC54" s="949"/>
      <c r="GD54" s="949"/>
      <c r="GE54" s="949"/>
      <c r="GF54" s="949"/>
      <c r="GG54" s="949"/>
      <c r="GH54" s="949"/>
      <c r="GI54" s="949"/>
      <c r="GJ54" s="949"/>
      <c r="GK54" s="949"/>
      <c r="GL54" s="949"/>
      <c r="GM54" s="949"/>
      <c r="GN54" s="949"/>
      <c r="GO54" s="949"/>
      <c r="GP54" s="949"/>
      <c r="GQ54" s="949"/>
      <c r="GR54" s="949"/>
      <c r="GS54" s="949"/>
      <c r="GT54" s="949"/>
      <c r="GU54" s="949"/>
      <c r="GV54" s="949"/>
      <c r="GW54" s="949"/>
      <c r="GX54" s="949"/>
      <c r="GY54" s="949"/>
      <c r="GZ54" s="949"/>
      <c r="HA54" s="949"/>
      <c r="HB54" s="949"/>
      <c r="HC54" s="949"/>
      <c r="HD54" s="949"/>
      <c r="HE54" s="949"/>
      <c r="HF54" s="949"/>
      <c r="HG54" s="949"/>
      <c r="HH54" s="949"/>
      <c r="HI54" s="949"/>
      <c r="HJ54" s="949"/>
      <c r="HK54" s="949"/>
      <c r="HL54" s="949"/>
      <c r="HM54" s="949"/>
      <c r="HN54" s="949"/>
      <c r="HO54" s="949"/>
      <c r="HP54" s="949"/>
      <c r="HQ54" s="949"/>
      <c r="HR54" s="949"/>
      <c r="HS54" s="949"/>
      <c r="HT54" s="949"/>
      <c r="HU54" s="949"/>
      <c r="HV54" s="949"/>
      <c r="HW54" s="949"/>
      <c r="HX54" s="949"/>
      <c r="HY54" s="949"/>
      <c r="HZ54" s="949"/>
      <c r="IA54" s="949"/>
      <c r="IB54" s="949"/>
      <c r="IC54" s="949"/>
      <c r="ID54" s="949"/>
      <c r="IE54" s="949"/>
      <c r="IF54" s="949"/>
      <c r="IG54" s="949"/>
      <c r="IH54" s="949"/>
      <c r="II54" s="949"/>
      <c r="IJ54" s="949"/>
      <c r="IK54" s="949"/>
      <c r="IL54" s="948"/>
      <c r="IM54" s="1"/>
      <c r="IN54" s="1"/>
      <c r="IO54" s="1"/>
      <c r="IP54" s="1"/>
      <c r="IQ54" s="1"/>
      <c r="IR54" s="1"/>
      <c r="IS54" s="1"/>
      <c r="IT54" s="1"/>
    </row>
    <row r="55" spans="1:254" s="84" customFormat="1" ht="12.9" hidden="1" customHeight="1" thickBot="1" x14ac:dyDescent="0.2">
      <c r="A55" s="961">
        <f>クリーチャー_3!D2</f>
        <v>0</v>
      </c>
      <c r="B55" s="961"/>
      <c r="C55" s="961"/>
      <c r="D55" s="961"/>
      <c r="E55" s="967"/>
      <c r="F55" s="968"/>
      <c r="G55" s="24" t="s">
        <v>33</v>
      </c>
      <c r="H55" s="138" t="s">
        <v>243</v>
      </c>
      <c r="I55" s="32" t="s">
        <v>113</v>
      </c>
      <c r="J55" s="138" t="s">
        <v>243</v>
      </c>
      <c r="K55" s="33" t="s">
        <v>160</v>
      </c>
      <c r="L55" s="138" t="s">
        <v>243</v>
      </c>
      <c r="M55" s="958"/>
      <c r="N55" s="949"/>
      <c r="O55" s="949"/>
      <c r="P55" s="949"/>
      <c r="Q55" s="949"/>
      <c r="R55" s="949"/>
      <c r="S55" s="949"/>
      <c r="T55" s="949"/>
      <c r="U55" s="949"/>
      <c r="V55" s="949"/>
      <c r="W55" s="949"/>
      <c r="X55" s="949"/>
      <c r="Y55" s="949"/>
      <c r="Z55" s="949"/>
      <c r="AA55" s="949"/>
      <c r="AB55" s="949"/>
      <c r="AC55" s="949"/>
      <c r="AD55" s="949"/>
      <c r="AE55" s="949"/>
      <c r="AF55" s="949"/>
      <c r="AG55" s="949"/>
      <c r="AH55" s="949"/>
      <c r="AI55" s="949"/>
      <c r="AJ55" s="949"/>
      <c r="AK55" s="949"/>
      <c r="AL55" s="949"/>
      <c r="AM55" s="949"/>
      <c r="AN55" s="949"/>
      <c r="AO55" s="949"/>
      <c r="AP55" s="949"/>
      <c r="AQ55" s="949"/>
      <c r="AR55" s="949"/>
      <c r="AS55" s="949"/>
      <c r="AT55" s="949"/>
      <c r="AU55" s="949"/>
      <c r="AV55" s="949"/>
      <c r="AW55" s="949"/>
      <c r="AX55" s="949"/>
      <c r="AY55" s="949"/>
      <c r="AZ55" s="949"/>
      <c r="BA55" s="949"/>
      <c r="BB55" s="949"/>
      <c r="BC55" s="949"/>
      <c r="BD55" s="949"/>
      <c r="BE55" s="949"/>
      <c r="BF55" s="949"/>
      <c r="BG55" s="949"/>
      <c r="BH55" s="949"/>
      <c r="BI55" s="949"/>
      <c r="BJ55" s="949"/>
      <c r="BK55" s="949"/>
      <c r="BL55" s="949"/>
      <c r="BM55" s="949"/>
      <c r="BN55" s="949"/>
      <c r="BO55" s="949"/>
      <c r="BP55" s="949"/>
      <c r="BQ55" s="949"/>
      <c r="BR55" s="949"/>
      <c r="BS55" s="949"/>
      <c r="BT55" s="949"/>
      <c r="BU55" s="949"/>
      <c r="BV55" s="949"/>
      <c r="BW55" s="949"/>
      <c r="BX55" s="949"/>
      <c r="BY55" s="949"/>
      <c r="BZ55" s="949"/>
      <c r="CA55" s="949"/>
      <c r="CB55" s="949"/>
      <c r="CC55" s="949"/>
      <c r="CD55" s="949"/>
      <c r="CE55" s="949"/>
      <c r="CF55" s="949"/>
      <c r="CG55" s="949"/>
      <c r="CH55" s="949"/>
      <c r="CI55" s="949"/>
      <c r="CJ55" s="949"/>
      <c r="CK55" s="949"/>
      <c r="CL55" s="949"/>
      <c r="CM55" s="949"/>
      <c r="CN55" s="949"/>
      <c r="CO55" s="949"/>
      <c r="CP55" s="949"/>
      <c r="CQ55" s="949"/>
      <c r="CR55" s="949"/>
      <c r="CS55" s="949"/>
      <c r="CT55" s="949"/>
      <c r="CU55" s="949"/>
      <c r="CV55" s="949"/>
      <c r="CW55" s="949"/>
      <c r="CX55" s="949"/>
      <c r="CY55" s="949"/>
      <c r="CZ55" s="949"/>
      <c r="DA55" s="949"/>
      <c r="DB55" s="949"/>
      <c r="DC55" s="949"/>
      <c r="DD55" s="949"/>
      <c r="DE55" s="949"/>
      <c r="DF55" s="949"/>
      <c r="DG55" s="949"/>
      <c r="DH55" s="949"/>
      <c r="DI55" s="949"/>
      <c r="DJ55" s="949"/>
      <c r="DK55" s="949"/>
      <c r="DL55" s="949"/>
      <c r="DM55" s="949"/>
      <c r="DN55" s="949"/>
      <c r="DO55" s="949"/>
      <c r="DP55" s="949"/>
      <c r="DQ55" s="949"/>
      <c r="DR55" s="949"/>
      <c r="DS55" s="949"/>
      <c r="DT55" s="949"/>
      <c r="DU55" s="949"/>
      <c r="DV55" s="949"/>
      <c r="DW55" s="949"/>
      <c r="DX55" s="949"/>
      <c r="DY55" s="949"/>
      <c r="DZ55" s="949"/>
      <c r="EA55" s="949"/>
      <c r="EB55" s="949"/>
      <c r="EC55" s="949"/>
      <c r="ED55" s="949"/>
      <c r="EE55" s="949"/>
      <c r="EF55" s="949"/>
      <c r="EG55" s="949"/>
      <c r="EH55" s="949"/>
      <c r="EI55" s="949"/>
      <c r="EJ55" s="949"/>
      <c r="EK55" s="949"/>
      <c r="EL55" s="949"/>
      <c r="EM55" s="949"/>
      <c r="EN55" s="949"/>
      <c r="EO55" s="949"/>
      <c r="EP55" s="949"/>
      <c r="EQ55" s="949"/>
      <c r="ER55" s="949"/>
      <c r="ES55" s="949"/>
      <c r="ET55" s="949"/>
      <c r="EU55" s="949"/>
      <c r="EV55" s="949"/>
      <c r="EW55" s="949"/>
      <c r="EX55" s="949"/>
      <c r="EY55" s="949"/>
      <c r="EZ55" s="949"/>
      <c r="FA55" s="949"/>
      <c r="FB55" s="949"/>
      <c r="FC55" s="949"/>
      <c r="FD55" s="949"/>
      <c r="FE55" s="949"/>
      <c r="FF55" s="949"/>
      <c r="FG55" s="949"/>
      <c r="FH55" s="949"/>
      <c r="FI55" s="949"/>
      <c r="FJ55" s="949"/>
      <c r="FK55" s="949"/>
      <c r="FL55" s="949"/>
      <c r="FM55" s="949"/>
      <c r="FN55" s="949"/>
      <c r="FO55" s="949"/>
      <c r="FP55" s="949"/>
      <c r="FQ55" s="949"/>
      <c r="FR55" s="949"/>
      <c r="FS55" s="949"/>
      <c r="FT55" s="949"/>
      <c r="FU55" s="949"/>
      <c r="FV55" s="949"/>
      <c r="FW55" s="949"/>
      <c r="FX55" s="949"/>
      <c r="FY55" s="949"/>
      <c r="FZ55" s="949"/>
      <c r="GA55" s="949"/>
      <c r="GB55" s="949"/>
      <c r="GC55" s="949"/>
      <c r="GD55" s="949"/>
      <c r="GE55" s="949"/>
      <c r="GF55" s="949"/>
      <c r="GG55" s="949"/>
      <c r="GH55" s="949"/>
      <c r="GI55" s="949"/>
      <c r="GJ55" s="949"/>
      <c r="GK55" s="949"/>
      <c r="GL55" s="949"/>
      <c r="GM55" s="949"/>
      <c r="GN55" s="949"/>
      <c r="GO55" s="949"/>
      <c r="GP55" s="949"/>
      <c r="GQ55" s="949"/>
      <c r="GR55" s="949"/>
      <c r="GS55" s="949"/>
      <c r="GT55" s="949"/>
      <c r="GU55" s="949"/>
      <c r="GV55" s="949"/>
      <c r="GW55" s="949"/>
      <c r="GX55" s="949"/>
      <c r="GY55" s="949"/>
      <c r="GZ55" s="949"/>
      <c r="HA55" s="949"/>
      <c r="HB55" s="949"/>
      <c r="HC55" s="949"/>
      <c r="HD55" s="949"/>
      <c r="HE55" s="949"/>
      <c r="HF55" s="949"/>
      <c r="HG55" s="949"/>
      <c r="HH55" s="949"/>
      <c r="HI55" s="949"/>
      <c r="HJ55" s="949"/>
      <c r="HK55" s="949"/>
      <c r="HL55" s="949"/>
      <c r="HM55" s="949"/>
      <c r="HN55" s="949"/>
      <c r="HO55" s="949"/>
      <c r="HP55" s="949"/>
      <c r="HQ55" s="949"/>
      <c r="HR55" s="949"/>
      <c r="HS55" s="949"/>
      <c r="HT55" s="949"/>
      <c r="HU55" s="949"/>
      <c r="HV55" s="949"/>
      <c r="HW55" s="949"/>
      <c r="HX55" s="949"/>
      <c r="HY55" s="949"/>
      <c r="HZ55" s="949"/>
      <c r="IA55" s="949"/>
      <c r="IB55" s="949"/>
      <c r="IC55" s="949"/>
      <c r="ID55" s="949"/>
      <c r="IE55" s="949"/>
      <c r="IF55" s="949"/>
      <c r="IG55" s="949"/>
      <c r="IH55" s="949"/>
      <c r="II55" s="949"/>
      <c r="IJ55" s="949"/>
      <c r="IK55" s="949"/>
      <c r="IL55" s="949"/>
      <c r="IM55" s="1"/>
      <c r="IN55" s="1"/>
      <c r="IO55" s="1"/>
      <c r="IP55" s="1"/>
      <c r="IQ55" s="1"/>
      <c r="IR55" s="1"/>
      <c r="IS55" s="1"/>
      <c r="IT55" s="1"/>
    </row>
    <row r="56" spans="1:254" s="84" customFormat="1" ht="12.9" hidden="1" customHeight="1" thickBot="1" x14ac:dyDescent="0.2">
      <c r="A56" s="961"/>
      <c r="B56" s="961"/>
      <c r="C56" s="961"/>
      <c r="D56" s="961"/>
      <c r="E56" s="962" t="s">
        <v>632</v>
      </c>
      <c r="F56" s="963" t="str">
        <f>クリーチャー_3!G19</f>
        <v>1D6</v>
      </c>
      <c r="G56" s="25" t="s">
        <v>81</v>
      </c>
      <c r="H56" s="138" t="s">
        <v>243</v>
      </c>
      <c r="I56" s="34" t="s">
        <v>135</v>
      </c>
      <c r="J56" s="138" t="s">
        <v>243</v>
      </c>
      <c r="K56" s="35" t="s">
        <v>182</v>
      </c>
      <c r="L56" s="138" t="s">
        <v>243</v>
      </c>
      <c r="M56" s="958"/>
      <c r="N56" s="949"/>
      <c r="O56" s="949"/>
      <c r="P56" s="949"/>
      <c r="Q56" s="949"/>
      <c r="R56" s="949"/>
      <c r="S56" s="949"/>
      <c r="T56" s="949"/>
      <c r="U56" s="949"/>
      <c r="V56" s="949"/>
      <c r="W56" s="949"/>
      <c r="X56" s="949"/>
      <c r="Y56" s="949"/>
      <c r="Z56" s="949"/>
      <c r="AA56" s="949"/>
      <c r="AB56" s="949"/>
      <c r="AC56" s="949"/>
      <c r="AD56" s="949"/>
      <c r="AE56" s="949"/>
      <c r="AF56" s="949"/>
      <c r="AG56" s="949"/>
      <c r="AH56" s="949"/>
      <c r="AI56" s="949"/>
      <c r="AJ56" s="949"/>
      <c r="AK56" s="949"/>
      <c r="AL56" s="949"/>
      <c r="AM56" s="949"/>
      <c r="AN56" s="949"/>
      <c r="AO56" s="949"/>
      <c r="AP56" s="949"/>
      <c r="AQ56" s="949"/>
      <c r="AR56" s="949"/>
      <c r="AS56" s="949"/>
      <c r="AT56" s="949"/>
      <c r="AU56" s="949"/>
      <c r="AV56" s="949"/>
      <c r="AW56" s="949"/>
      <c r="AX56" s="949"/>
      <c r="AY56" s="949"/>
      <c r="AZ56" s="949"/>
      <c r="BA56" s="949"/>
      <c r="BB56" s="949"/>
      <c r="BC56" s="949"/>
      <c r="BD56" s="949"/>
      <c r="BE56" s="949"/>
      <c r="BF56" s="949"/>
      <c r="BG56" s="949"/>
      <c r="BH56" s="949"/>
      <c r="BI56" s="949"/>
      <c r="BJ56" s="949"/>
      <c r="BK56" s="949"/>
      <c r="BL56" s="949"/>
      <c r="BM56" s="949"/>
      <c r="BN56" s="949"/>
      <c r="BO56" s="949"/>
      <c r="BP56" s="949"/>
      <c r="BQ56" s="949"/>
      <c r="BR56" s="949"/>
      <c r="BS56" s="949"/>
      <c r="BT56" s="949"/>
      <c r="BU56" s="949"/>
      <c r="BV56" s="949"/>
      <c r="BW56" s="949"/>
      <c r="BX56" s="949"/>
      <c r="BY56" s="949"/>
      <c r="BZ56" s="949"/>
      <c r="CA56" s="949"/>
      <c r="CB56" s="949"/>
      <c r="CC56" s="949"/>
      <c r="CD56" s="949"/>
      <c r="CE56" s="949"/>
      <c r="CF56" s="949"/>
      <c r="CG56" s="949"/>
      <c r="CH56" s="949"/>
      <c r="CI56" s="949"/>
      <c r="CJ56" s="949"/>
      <c r="CK56" s="949"/>
      <c r="CL56" s="949"/>
      <c r="CM56" s="949"/>
      <c r="CN56" s="949"/>
      <c r="CO56" s="949"/>
      <c r="CP56" s="949"/>
      <c r="CQ56" s="949"/>
      <c r="CR56" s="949"/>
      <c r="CS56" s="949"/>
      <c r="CT56" s="949"/>
      <c r="CU56" s="949"/>
      <c r="CV56" s="949"/>
      <c r="CW56" s="949"/>
      <c r="CX56" s="949"/>
      <c r="CY56" s="949"/>
      <c r="CZ56" s="949"/>
      <c r="DA56" s="949"/>
      <c r="DB56" s="949"/>
      <c r="DC56" s="949"/>
      <c r="DD56" s="949"/>
      <c r="DE56" s="949"/>
      <c r="DF56" s="949"/>
      <c r="DG56" s="949"/>
      <c r="DH56" s="949"/>
      <c r="DI56" s="949"/>
      <c r="DJ56" s="949"/>
      <c r="DK56" s="949"/>
      <c r="DL56" s="949"/>
      <c r="DM56" s="949"/>
      <c r="DN56" s="949"/>
      <c r="DO56" s="949"/>
      <c r="DP56" s="949"/>
      <c r="DQ56" s="949"/>
      <c r="DR56" s="949"/>
      <c r="DS56" s="949"/>
      <c r="DT56" s="949"/>
      <c r="DU56" s="949"/>
      <c r="DV56" s="949"/>
      <c r="DW56" s="949"/>
      <c r="DX56" s="949"/>
      <c r="DY56" s="949"/>
      <c r="DZ56" s="949"/>
      <c r="EA56" s="949"/>
      <c r="EB56" s="949"/>
      <c r="EC56" s="949"/>
      <c r="ED56" s="949"/>
      <c r="EE56" s="949"/>
      <c r="EF56" s="949"/>
      <c r="EG56" s="949"/>
      <c r="EH56" s="949"/>
      <c r="EI56" s="949"/>
      <c r="EJ56" s="949"/>
      <c r="EK56" s="949"/>
      <c r="EL56" s="949"/>
      <c r="EM56" s="949"/>
      <c r="EN56" s="949"/>
      <c r="EO56" s="949"/>
      <c r="EP56" s="949"/>
      <c r="EQ56" s="949"/>
      <c r="ER56" s="949"/>
      <c r="ES56" s="949"/>
      <c r="ET56" s="949"/>
      <c r="EU56" s="949"/>
      <c r="EV56" s="949"/>
      <c r="EW56" s="949"/>
      <c r="EX56" s="949"/>
      <c r="EY56" s="949"/>
      <c r="EZ56" s="949"/>
      <c r="FA56" s="949"/>
      <c r="FB56" s="949"/>
      <c r="FC56" s="949"/>
      <c r="FD56" s="949"/>
      <c r="FE56" s="949"/>
      <c r="FF56" s="949"/>
      <c r="FG56" s="949"/>
      <c r="FH56" s="949"/>
      <c r="FI56" s="949"/>
      <c r="FJ56" s="949"/>
      <c r="FK56" s="949"/>
      <c r="FL56" s="949"/>
      <c r="FM56" s="949"/>
      <c r="FN56" s="949"/>
      <c r="FO56" s="949"/>
      <c r="FP56" s="949"/>
      <c r="FQ56" s="949"/>
      <c r="FR56" s="949"/>
      <c r="FS56" s="949"/>
      <c r="FT56" s="949"/>
      <c r="FU56" s="949"/>
      <c r="FV56" s="949"/>
      <c r="FW56" s="949"/>
      <c r="FX56" s="949"/>
      <c r="FY56" s="949"/>
      <c r="FZ56" s="949"/>
      <c r="GA56" s="949"/>
      <c r="GB56" s="949"/>
      <c r="GC56" s="949"/>
      <c r="GD56" s="949"/>
      <c r="GE56" s="949"/>
      <c r="GF56" s="949"/>
      <c r="GG56" s="949"/>
      <c r="GH56" s="949"/>
      <c r="GI56" s="949"/>
      <c r="GJ56" s="949"/>
      <c r="GK56" s="949"/>
      <c r="GL56" s="949"/>
      <c r="GM56" s="949"/>
      <c r="GN56" s="949"/>
      <c r="GO56" s="949"/>
      <c r="GP56" s="949"/>
      <c r="GQ56" s="949"/>
      <c r="GR56" s="949"/>
      <c r="GS56" s="949"/>
      <c r="GT56" s="949"/>
      <c r="GU56" s="949"/>
      <c r="GV56" s="949"/>
      <c r="GW56" s="949"/>
      <c r="GX56" s="949"/>
      <c r="GY56" s="949"/>
      <c r="GZ56" s="949"/>
      <c r="HA56" s="949"/>
      <c r="HB56" s="949"/>
      <c r="HC56" s="949"/>
      <c r="HD56" s="949"/>
      <c r="HE56" s="949"/>
      <c r="HF56" s="949"/>
      <c r="HG56" s="949"/>
      <c r="HH56" s="949"/>
      <c r="HI56" s="949"/>
      <c r="HJ56" s="949"/>
      <c r="HK56" s="949"/>
      <c r="HL56" s="949"/>
      <c r="HM56" s="949"/>
      <c r="HN56" s="949"/>
      <c r="HO56" s="949"/>
      <c r="HP56" s="949"/>
      <c r="HQ56" s="949"/>
      <c r="HR56" s="949"/>
      <c r="HS56" s="949"/>
      <c r="HT56" s="949"/>
      <c r="HU56" s="949"/>
      <c r="HV56" s="949"/>
      <c r="HW56" s="949"/>
      <c r="HX56" s="949"/>
      <c r="HY56" s="949"/>
      <c r="HZ56" s="949"/>
      <c r="IA56" s="949"/>
      <c r="IB56" s="949"/>
      <c r="IC56" s="949"/>
      <c r="ID56" s="949"/>
      <c r="IE56" s="949"/>
      <c r="IF56" s="949"/>
      <c r="IG56" s="949"/>
      <c r="IH56" s="949"/>
      <c r="II56" s="949"/>
      <c r="IJ56" s="949"/>
      <c r="IK56" s="949"/>
      <c r="IL56" s="949"/>
      <c r="IM56" s="1"/>
      <c r="IN56" s="1"/>
      <c r="IO56" s="1"/>
      <c r="IP56" s="1"/>
      <c r="IQ56" s="1"/>
      <c r="IR56" s="1"/>
      <c r="IS56" s="1"/>
      <c r="IT56" s="1"/>
    </row>
    <row r="57" spans="1:254" s="84" customFormat="1" ht="12.9" hidden="1" customHeight="1" thickBot="1" x14ac:dyDescent="0.2">
      <c r="A57" s="961"/>
      <c r="B57" s="961"/>
      <c r="C57" s="961"/>
      <c r="D57" s="961"/>
      <c r="E57" s="962"/>
      <c r="F57" s="963"/>
      <c r="G57" s="26" t="s">
        <v>203</v>
      </c>
      <c r="H57" s="138" t="s">
        <v>243</v>
      </c>
      <c r="I57" s="35" t="s">
        <v>236</v>
      </c>
      <c r="J57" s="138" t="s">
        <v>243</v>
      </c>
      <c r="K57" s="35" t="s">
        <v>273</v>
      </c>
      <c r="L57" s="138" t="s">
        <v>243</v>
      </c>
      <c r="M57" s="958"/>
      <c r="N57" s="958"/>
      <c r="O57" s="949"/>
      <c r="P57" s="949"/>
      <c r="Q57" s="949"/>
      <c r="R57" s="949"/>
      <c r="S57" s="949"/>
      <c r="T57" s="949"/>
      <c r="U57" s="949"/>
      <c r="V57" s="949"/>
      <c r="W57" s="949"/>
      <c r="X57" s="949"/>
      <c r="Y57" s="949"/>
      <c r="Z57" s="949"/>
      <c r="AA57" s="949"/>
      <c r="AB57" s="949"/>
      <c r="AC57" s="949"/>
      <c r="AD57" s="949"/>
      <c r="AE57" s="949"/>
      <c r="AF57" s="949"/>
      <c r="AG57" s="949"/>
      <c r="AH57" s="949"/>
      <c r="AI57" s="949"/>
      <c r="AJ57" s="949"/>
      <c r="AK57" s="949"/>
      <c r="AL57" s="949"/>
      <c r="AM57" s="949"/>
      <c r="AN57" s="949"/>
      <c r="AO57" s="949"/>
      <c r="AP57" s="949"/>
      <c r="AQ57" s="949"/>
      <c r="AR57" s="949"/>
      <c r="AS57" s="949"/>
      <c r="AT57" s="949"/>
      <c r="AU57" s="949"/>
      <c r="AV57" s="949"/>
      <c r="AW57" s="949"/>
      <c r="AX57" s="949"/>
      <c r="AY57" s="949"/>
      <c r="AZ57" s="949"/>
      <c r="BA57" s="949"/>
      <c r="BB57" s="949"/>
      <c r="BC57" s="949"/>
      <c r="BD57" s="949"/>
      <c r="BE57" s="949"/>
      <c r="BF57" s="949"/>
      <c r="BG57" s="949"/>
      <c r="BH57" s="949"/>
      <c r="BI57" s="949"/>
      <c r="BJ57" s="949"/>
      <c r="BK57" s="949"/>
      <c r="BL57" s="949"/>
      <c r="BM57" s="949"/>
      <c r="BN57" s="949"/>
      <c r="BO57" s="949"/>
      <c r="BP57" s="949"/>
      <c r="BQ57" s="949"/>
      <c r="BR57" s="949"/>
      <c r="BS57" s="949"/>
      <c r="BT57" s="949"/>
      <c r="BU57" s="949"/>
      <c r="BV57" s="949"/>
      <c r="BW57" s="949"/>
      <c r="BX57" s="949"/>
      <c r="BY57" s="949"/>
      <c r="BZ57" s="949"/>
      <c r="CA57" s="949"/>
      <c r="CB57" s="949"/>
      <c r="CC57" s="949"/>
      <c r="CD57" s="949"/>
      <c r="CE57" s="949"/>
      <c r="CF57" s="949"/>
      <c r="CG57" s="949"/>
      <c r="CH57" s="949"/>
      <c r="CI57" s="949"/>
      <c r="CJ57" s="949"/>
      <c r="CK57" s="949"/>
      <c r="CL57" s="949"/>
      <c r="CM57" s="949"/>
      <c r="CN57" s="949"/>
      <c r="CO57" s="949"/>
      <c r="CP57" s="949"/>
      <c r="CQ57" s="949"/>
      <c r="CR57" s="949"/>
      <c r="CS57" s="949"/>
      <c r="CT57" s="949"/>
      <c r="CU57" s="949"/>
      <c r="CV57" s="949"/>
      <c r="CW57" s="949"/>
      <c r="CX57" s="949"/>
      <c r="CY57" s="949"/>
      <c r="CZ57" s="949"/>
      <c r="DA57" s="949"/>
      <c r="DB57" s="949"/>
      <c r="DC57" s="949"/>
      <c r="DD57" s="949"/>
      <c r="DE57" s="949"/>
      <c r="DF57" s="949"/>
      <c r="DG57" s="949"/>
      <c r="DH57" s="949"/>
      <c r="DI57" s="949"/>
      <c r="DJ57" s="949"/>
      <c r="DK57" s="949"/>
      <c r="DL57" s="949"/>
      <c r="DM57" s="949"/>
      <c r="DN57" s="949"/>
      <c r="DO57" s="949"/>
      <c r="DP57" s="949"/>
      <c r="DQ57" s="949"/>
      <c r="DR57" s="949"/>
      <c r="DS57" s="949"/>
      <c r="DT57" s="949"/>
      <c r="DU57" s="949"/>
      <c r="DV57" s="949"/>
      <c r="DW57" s="949"/>
      <c r="DX57" s="949"/>
      <c r="DY57" s="949"/>
      <c r="DZ57" s="949"/>
      <c r="EA57" s="949"/>
      <c r="EB57" s="949"/>
      <c r="EC57" s="949"/>
      <c r="ED57" s="949"/>
      <c r="EE57" s="949"/>
      <c r="EF57" s="949"/>
      <c r="EG57" s="949"/>
      <c r="EH57" s="949"/>
      <c r="EI57" s="949"/>
      <c r="EJ57" s="949"/>
      <c r="EK57" s="949"/>
      <c r="EL57" s="949"/>
      <c r="EM57" s="949"/>
      <c r="EN57" s="949"/>
      <c r="EO57" s="949"/>
      <c r="EP57" s="949"/>
      <c r="EQ57" s="949"/>
      <c r="ER57" s="949"/>
      <c r="ES57" s="949"/>
      <c r="ET57" s="949"/>
      <c r="EU57" s="949"/>
      <c r="EV57" s="949"/>
      <c r="EW57" s="949"/>
      <c r="EX57" s="949"/>
      <c r="EY57" s="949"/>
      <c r="EZ57" s="949"/>
      <c r="FA57" s="949"/>
      <c r="FB57" s="949"/>
      <c r="FC57" s="949"/>
      <c r="FD57" s="949"/>
      <c r="FE57" s="949"/>
      <c r="FF57" s="949"/>
      <c r="FG57" s="949"/>
      <c r="FH57" s="949"/>
      <c r="FI57" s="949"/>
      <c r="FJ57" s="949"/>
      <c r="FK57" s="949"/>
      <c r="FL57" s="949"/>
      <c r="FM57" s="949"/>
      <c r="FN57" s="949"/>
      <c r="FO57" s="949"/>
      <c r="FP57" s="949"/>
      <c r="FQ57" s="949"/>
      <c r="FR57" s="949"/>
      <c r="FS57" s="949"/>
      <c r="FT57" s="949"/>
      <c r="FU57" s="949"/>
      <c r="FV57" s="949"/>
      <c r="FW57" s="949"/>
      <c r="FX57" s="949"/>
      <c r="FY57" s="949"/>
      <c r="FZ57" s="949"/>
      <c r="GA57" s="949"/>
      <c r="GB57" s="949"/>
      <c r="GC57" s="949"/>
      <c r="GD57" s="949"/>
      <c r="GE57" s="949"/>
      <c r="GF57" s="949"/>
      <c r="GG57" s="949"/>
      <c r="GH57" s="949"/>
      <c r="GI57" s="949"/>
      <c r="GJ57" s="949"/>
      <c r="GK57" s="949"/>
      <c r="GL57" s="949"/>
      <c r="GM57" s="949"/>
      <c r="GN57" s="949"/>
      <c r="GO57" s="949"/>
      <c r="GP57" s="949"/>
      <c r="GQ57" s="949"/>
      <c r="GR57" s="949"/>
      <c r="GS57" s="949"/>
      <c r="GT57" s="949"/>
      <c r="GU57" s="949"/>
      <c r="GV57" s="949"/>
      <c r="GW57" s="949"/>
      <c r="GX57" s="949"/>
      <c r="GY57" s="949"/>
      <c r="GZ57" s="949"/>
      <c r="HA57" s="949"/>
      <c r="HB57" s="949"/>
      <c r="HC57" s="949"/>
      <c r="HD57" s="949"/>
      <c r="HE57" s="949"/>
      <c r="HF57" s="949"/>
      <c r="HG57" s="949"/>
      <c r="HH57" s="949"/>
      <c r="HI57" s="949"/>
      <c r="HJ57" s="949"/>
      <c r="HK57" s="949"/>
      <c r="HL57" s="949"/>
      <c r="HM57" s="949"/>
      <c r="HN57" s="949"/>
      <c r="HO57" s="949"/>
      <c r="HP57" s="949"/>
      <c r="HQ57" s="949"/>
      <c r="HR57" s="949"/>
      <c r="HS57" s="949"/>
      <c r="HT57" s="949"/>
      <c r="HU57" s="949"/>
      <c r="HV57" s="949"/>
      <c r="HW57" s="949"/>
      <c r="HX57" s="949"/>
      <c r="HY57" s="949"/>
      <c r="HZ57" s="949"/>
      <c r="IA57" s="949"/>
      <c r="IB57" s="949"/>
      <c r="IC57" s="949"/>
      <c r="ID57" s="949"/>
      <c r="IE57" s="949"/>
      <c r="IF57" s="949"/>
      <c r="IG57" s="949"/>
      <c r="IH57" s="949"/>
      <c r="II57" s="949"/>
      <c r="IJ57" s="949"/>
      <c r="IK57" s="949"/>
      <c r="IL57" s="949"/>
      <c r="IM57" s="1"/>
      <c r="IN57" s="1"/>
      <c r="IO57" s="1"/>
      <c r="IP57" s="1"/>
      <c r="IQ57" s="1"/>
      <c r="IR57" s="1"/>
      <c r="IS57" s="1"/>
      <c r="IT57" s="1"/>
    </row>
    <row r="58" spans="1:254" s="84" customFormat="1" ht="12" hidden="1" customHeight="1" thickBot="1" x14ac:dyDescent="0.2">
      <c r="A58" s="964" t="s">
        <v>599</v>
      </c>
      <c r="B58" s="964"/>
      <c r="C58" s="965" t="s">
        <v>395</v>
      </c>
      <c r="D58" s="970">
        <f>クリーチャー_3!C16+クリーチャー_3!D16</f>
        <v>0</v>
      </c>
      <c r="E58" s="965" t="s">
        <v>633</v>
      </c>
      <c r="F58" s="971">
        <f>クリーチャー_3!H5</f>
        <v>4</v>
      </c>
      <c r="G58" s="27" t="s">
        <v>221</v>
      </c>
      <c r="H58" s="138" t="s">
        <v>243</v>
      </c>
      <c r="I58" s="36" t="s">
        <v>252</v>
      </c>
      <c r="J58" s="138" t="s">
        <v>243</v>
      </c>
      <c r="K58" s="36" t="s">
        <v>209</v>
      </c>
      <c r="L58" s="138" t="s">
        <v>243</v>
      </c>
      <c r="M58" s="958"/>
      <c r="N58" s="958"/>
      <c r="O58" s="949"/>
      <c r="P58" s="949"/>
      <c r="Q58" s="949"/>
      <c r="R58" s="949"/>
      <c r="S58" s="949"/>
      <c r="T58" s="949"/>
      <c r="U58" s="949"/>
      <c r="V58" s="949"/>
      <c r="W58" s="949"/>
      <c r="X58" s="949"/>
      <c r="Y58" s="949"/>
      <c r="Z58" s="949"/>
      <c r="AA58" s="949"/>
      <c r="AB58" s="949"/>
      <c r="AC58" s="949"/>
      <c r="AD58" s="949"/>
      <c r="AE58" s="949"/>
      <c r="AF58" s="949"/>
      <c r="AG58" s="949"/>
      <c r="AH58" s="949"/>
      <c r="AI58" s="949"/>
      <c r="AJ58" s="949"/>
      <c r="AK58" s="949"/>
      <c r="AL58" s="949"/>
      <c r="AM58" s="949"/>
      <c r="AN58" s="949"/>
      <c r="AO58" s="949"/>
      <c r="AP58" s="949"/>
      <c r="AQ58" s="949"/>
      <c r="AR58" s="949"/>
      <c r="AS58" s="949"/>
      <c r="AT58" s="949"/>
      <c r="AU58" s="949"/>
      <c r="AV58" s="949"/>
      <c r="AW58" s="949"/>
      <c r="AX58" s="949"/>
      <c r="AY58" s="949"/>
      <c r="AZ58" s="949"/>
      <c r="BA58" s="949"/>
      <c r="BB58" s="949"/>
      <c r="BC58" s="949"/>
      <c r="BD58" s="949"/>
      <c r="BE58" s="949"/>
      <c r="BF58" s="949"/>
      <c r="BG58" s="949"/>
      <c r="BH58" s="949"/>
      <c r="BI58" s="949"/>
      <c r="BJ58" s="949"/>
      <c r="BK58" s="949"/>
      <c r="BL58" s="949"/>
      <c r="BM58" s="949"/>
      <c r="BN58" s="949"/>
      <c r="BO58" s="949"/>
      <c r="BP58" s="949"/>
      <c r="BQ58" s="949"/>
      <c r="BR58" s="949"/>
      <c r="BS58" s="949"/>
      <c r="BT58" s="949"/>
      <c r="BU58" s="949"/>
      <c r="BV58" s="949"/>
      <c r="BW58" s="949"/>
      <c r="BX58" s="949"/>
      <c r="BY58" s="949"/>
      <c r="BZ58" s="949"/>
      <c r="CA58" s="949"/>
      <c r="CB58" s="949"/>
      <c r="CC58" s="949"/>
      <c r="CD58" s="949"/>
      <c r="CE58" s="949"/>
      <c r="CF58" s="949"/>
      <c r="CG58" s="949"/>
      <c r="CH58" s="949"/>
      <c r="CI58" s="949"/>
      <c r="CJ58" s="949"/>
      <c r="CK58" s="949"/>
      <c r="CL58" s="949"/>
      <c r="CM58" s="949"/>
      <c r="CN58" s="949"/>
      <c r="CO58" s="949"/>
      <c r="CP58" s="949"/>
      <c r="CQ58" s="949"/>
      <c r="CR58" s="949"/>
      <c r="CS58" s="949"/>
      <c r="CT58" s="949"/>
      <c r="CU58" s="949"/>
      <c r="CV58" s="949"/>
      <c r="CW58" s="949"/>
      <c r="CX58" s="949"/>
      <c r="CY58" s="949"/>
      <c r="CZ58" s="949"/>
      <c r="DA58" s="949"/>
      <c r="DB58" s="949"/>
      <c r="DC58" s="949"/>
      <c r="DD58" s="949"/>
      <c r="DE58" s="949"/>
      <c r="DF58" s="949"/>
      <c r="DG58" s="949"/>
      <c r="DH58" s="949"/>
      <c r="DI58" s="949"/>
      <c r="DJ58" s="949"/>
      <c r="DK58" s="949"/>
      <c r="DL58" s="949"/>
      <c r="DM58" s="949"/>
      <c r="DN58" s="949"/>
      <c r="DO58" s="949"/>
      <c r="DP58" s="949"/>
      <c r="DQ58" s="949"/>
      <c r="DR58" s="949"/>
      <c r="DS58" s="949"/>
      <c r="DT58" s="949"/>
      <c r="DU58" s="949"/>
      <c r="DV58" s="949"/>
      <c r="DW58" s="949"/>
      <c r="DX58" s="949"/>
      <c r="DY58" s="949"/>
      <c r="DZ58" s="949"/>
      <c r="EA58" s="949"/>
      <c r="EB58" s="949"/>
      <c r="EC58" s="949"/>
      <c r="ED58" s="949"/>
      <c r="EE58" s="949"/>
      <c r="EF58" s="949"/>
      <c r="EG58" s="949"/>
      <c r="EH58" s="949"/>
      <c r="EI58" s="949"/>
      <c r="EJ58" s="949"/>
      <c r="EK58" s="949"/>
      <c r="EL58" s="949"/>
      <c r="EM58" s="949"/>
      <c r="EN58" s="949"/>
      <c r="EO58" s="949"/>
      <c r="EP58" s="949"/>
      <c r="EQ58" s="949"/>
      <c r="ER58" s="949"/>
      <c r="ES58" s="949"/>
      <c r="ET58" s="949"/>
      <c r="EU58" s="949"/>
      <c r="EV58" s="949"/>
      <c r="EW58" s="949"/>
      <c r="EX58" s="949"/>
      <c r="EY58" s="949"/>
      <c r="EZ58" s="949"/>
      <c r="FA58" s="949"/>
      <c r="FB58" s="949"/>
      <c r="FC58" s="949"/>
      <c r="FD58" s="949"/>
      <c r="FE58" s="949"/>
      <c r="FF58" s="949"/>
      <c r="FG58" s="949"/>
      <c r="FH58" s="949"/>
      <c r="FI58" s="949"/>
      <c r="FJ58" s="949"/>
      <c r="FK58" s="949"/>
      <c r="FL58" s="949"/>
      <c r="FM58" s="949"/>
      <c r="FN58" s="949"/>
      <c r="FO58" s="949"/>
      <c r="FP58" s="949"/>
      <c r="FQ58" s="949"/>
      <c r="FR58" s="949"/>
      <c r="FS58" s="949"/>
      <c r="FT58" s="949"/>
      <c r="FU58" s="949"/>
      <c r="FV58" s="949"/>
      <c r="FW58" s="949"/>
      <c r="FX58" s="949"/>
      <c r="FY58" s="949"/>
      <c r="FZ58" s="949"/>
      <c r="GA58" s="949"/>
      <c r="GB58" s="949"/>
      <c r="GC58" s="949"/>
      <c r="GD58" s="949"/>
      <c r="GE58" s="949"/>
      <c r="GF58" s="949"/>
      <c r="GG58" s="949"/>
      <c r="GH58" s="949"/>
      <c r="GI58" s="949"/>
      <c r="GJ58" s="949"/>
      <c r="GK58" s="949"/>
      <c r="GL58" s="949"/>
      <c r="GM58" s="949"/>
      <c r="GN58" s="949"/>
      <c r="GO58" s="949"/>
      <c r="GP58" s="949"/>
      <c r="GQ58" s="949"/>
      <c r="GR58" s="949"/>
      <c r="GS58" s="949"/>
      <c r="GT58" s="949"/>
      <c r="GU58" s="949"/>
      <c r="GV58" s="949"/>
      <c r="GW58" s="949"/>
      <c r="GX58" s="949"/>
      <c r="GY58" s="949"/>
      <c r="GZ58" s="949"/>
      <c r="HA58" s="949"/>
      <c r="HB58" s="949"/>
      <c r="HC58" s="949"/>
      <c r="HD58" s="949"/>
      <c r="HE58" s="949"/>
      <c r="HF58" s="949"/>
      <c r="HG58" s="949"/>
      <c r="HH58" s="949"/>
      <c r="HI58" s="949"/>
      <c r="HJ58" s="949"/>
      <c r="HK58" s="949"/>
      <c r="HL58" s="949"/>
      <c r="HM58" s="949"/>
      <c r="HN58" s="949"/>
      <c r="HO58" s="949"/>
      <c r="HP58" s="949"/>
      <c r="HQ58" s="949"/>
      <c r="HR58" s="949"/>
      <c r="HS58" s="949"/>
      <c r="HT58" s="949"/>
      <c r="HU58" s="949"/>
      <c r="HV58" s="949"/>
      <c r="HW58" s="949"/>
      <c r="HX58" s="949"/>
      <c r="HY58" s="949"/>
      <c r="HZ58" s="949"/>
      <c r="IA58" s="949"/>
      <c r="IB58" s="949"/>
      <c r="IC58" s="949"/>
      <c r="ID58" s="949"/>
      <c r="IE58" s="949"/>
      <c r="IF58" s="949"/>
      <c r="IG58" s="949"/>
      <c r="IH58" s="949"/>
      <c r="II58" s="949"/>
      <c r="IJ58" s="949"/>
      <c r="IK58" s="949"/>
      <c r="IL58" s="949"/>
      <c r="IM58" s="1"/>
      <c r="IN58" s="1"/>
      <c r="IO58" s="1"/>
      <c r="IP58" s="1"/>
      <c r="IQ58" s="1"/>
      <c r="IR58" s="1"/>
      <c r="IS58" s="1"/>
      <c r="IT58" s="1"/>
    </row>
    <row r="59" spans="1:254" s="84" customFormat="1" ht="12.9" hidden="1" customHeight="1" thickBot="1" x14ac:dyDescent="0.2">
      <c r="A59" s="85">
        <f>B59+SUM(O60:IL60)</f>
        <v>0</v>
      </c>
      <c r="B59" s="9">
        <f>J60</f>
        <v>0</v>
      </c>
      <c r="C59" s="965"/>
      <c r="D59" s="970"/>
      <c r="E59" s="965"/>
      <c r="F59" s="971"/>
      <c r="G59" s="28"/>
      <c r="H59" s="28"/>
      <c r="I59" s="28"/>
      <c r="J59" s="28"/>
      <c r="K59" s="28"/>
      <c r="L59" s="37"/>
      <c r="M59" s="958"/>
      <c r="N59" s="958"/>
      <c r="O59" s="949"/>
      <c r="P59" s="949"/>
      <c r="Q59" s="949"/>
      <c r="R59" s="949"/>
      <c r="S59" s="949"/>
      <c r="T59" s="949"/>
      <c r="U59" s="949"/>
      <c r="V59" s="949"/>
      <c r="W59" s="949"/>
      <c r="X59" s="949"/>
      <c r="Y59" s="949"/>
      <c r="Z59" s="949"/>
      <c r="AA59" s="949"/>
      <c r="AB59" s="949"/>
      <c r="AC59" s="949"/>
      <c r="AD59" s="949"/>
      <c r="AE59" s="949"/>
      <c r="AF59" s="949"/>
      <c r="AG59" s="949"/>
      <c r="AH59" s="949"/>
      <c r="AI59" s="949"/>
      <c r="AJ59" s="949"/>
      <c r="AK59" s="949"/>
      <c r="AL59" s="949"/>
      <c r="AM59" s="949"/>
      <c r="AN59" s="949"/>
      <c r="AO59" s="949"/>
      <c r="AP59" s="949"/>
      <c r="AQ59" s="949"/>
      <c r="AR59" s="949"/>
      <c r="AS59" s="949"/>
      <c r="AT59" s="949"/>
      <c r="AU59" s="949"/>
      <c r="AV59" s="949"/>
      <c r="AW59" s="949"/>
      <c r="AX59" s="949"/>
      <c r="AY59" s="949"/>
      <c r="AZ59" s="949"/>
      <c r="BA59" s="949"/>
      <c r="BB59" s="949"/>
      <c r="BC59" s="949"/>
      <c r="BD59" s="949"/>
      <c r="BE59" s="949"/>
      <c r="BF59" s="949"/>
      <c r="BG59" s="949"/>
      <c r="BH59" s="949"/>
      <c r="BI59" s="949"/>
      <c r="BJ59" s="949"/>
      <c r="BK59" s="949"/>
      <c r="BL59" s="949"/>
      <c r="BM59" s="949"/>
      <c r="BN59" s="949"/>
      <c r="BO59" s="949"/>
      <c r="BP59" s="949"/>
      <c r="BQ59" s="949"/>
      <c r="BR59" s="949"/>
      <c r="BS59" s="949"/>
      <c r="BT59" s="949"/>
      <c r="BU59" s="949"/>
      <c r="BV59" s="949"/>
      <c r="BW59" s="949"/>
      <c r="BX59" s="949"/>
      <c r="BY59" s="949"/>
      <c r="BZ59" s="949"/>
      <c r="CA59" s="949"/>
      <c r="CB59" s="949"/>
      <c r="CC59" s="949"/>
      <c r="CD59" s="949"/>
      <c r="CE59" s="949"/>
      <c r="CF59" s="949"/>
      <c r="CG59" s="949"/>
      <c r="CH59" s="949"/>
      <c r="CI59" s="949"/>
      <c r="CJ59" s="949"/>
      <c r="CK59" s="949"/>
      <c r="CL59" s="949"/>
      <c r="CM59" s="949"/>
      <c r="CN59" s="949"/>
      <c r="CO59" s="949"/>
      <c r="CP59" s="949"/>
      <c r="CQ59" s="949"/>
      <c r="CR59" s="949"/>
      <c r="CS59" s="949"/>
      <c r="CT59" s="949"/>
      <c r="CU59" s="949"/>
      <c r="CV59" s="949"/>
      <c r="CW59" s="949"/>
      <c r="CX59" s="949"/>
      <c r="CY59" s="949"/>
      <c r="CZ59" s="949"/>
      <c r="DA59" s="949"/>
      <c r="DB59" s="949"/>
      <c r="DC59" s="949"/>
      <c r="DD59" s="949"/>
      <c r="DE59" s="949"/>
      <c r="DF59" s="949"/>
      <c r="DG59" s="949"/>
      <c r="DH59" s="949"/>
      <c r="DI59" s="949"/>
      <c r="DJ59" s="949"/>
      <c r="DK59" s="949"/>
      <c r="DL59" s="949"/>
      <c r="DM59" s="949"/>
      <c r="DN59" s="949"/>
      <c r="DO59" s="949"/>
      <c r="DP59" s="949"/>
      <c r="DQ59" s="949"/>
      <c r="DR59" s="949"/>
      <c r="DS59" s="949"/>
      <c r="DT59" s="949"/>
      <c r="DU59" s="949"/>
      <c r="DV59" s="949"/>
      <c r="DW59" s="949"/>
      <c r="DX59" s="949"/>
      <c r="DY59" s="949"/>
      <c r="DZ59" s="949"/>
      <c r="EA59" s="949"/>
      <c r="EB59" s="949"/>
      <c r="EC59" s="949"/>
      <c r="ED59" s="949"/>
      <c r="EE59" s="949"/>
      <c r="EF59" s="949"/>
      <c r="EG59" s="949"/>
      <c r="EH59" s="949"/>
      <c r="EI59" s="949"/>
      <c r="EJ59" s="949"/>
      <c r="EK59" s="949"/>
      <c r="EL59" s="949"/>
      <c r="EM59" s="949"/>
      <c r="EN59" s="949"/>
      <c r="EO59" s="949"/>
      <c r="EP59" s="949"/>
      <c r="EQ59" s="949"/>
      <c r="ER59" s="949"/>
      <c r="ES59" s="949"/>
      <c r="ET59" s="949"/>
      <c r="EU59" s="949"/>
      <c r="EV59" s="949"/>
      <c r="EW59" s="949"/>
      <c r="EX59" s="949"/>
      <c r="EY59" s="949"/>
      <c r="EZ59" s="949"/>
      <c r="FA59" s="949"/>
      <c r="FB59" s="949"/>
      <c r="FC59" s="949"/>
      <c r="FD59" s="949"/>
      <c r="FE59" s="949"/>
      <c r="FF59" s="949"/>
      <c r="FG59" s="949"/>
      <c r="FH59" s="949"/>
      <c r="FI59" s="949"/>
      <c r="FJ59" s="949"/>
      <c r="FK59" s="949"/>
      <c r="FL59" s="949"/>
      <c r="FM59" s="949"/>
      <c r="FN59" s="949"/>
      <c r="FO59" s="949"/>
      <c r="FP59" s="949"/>
      <c r="FQ59" s="949"/>
      <c r="FR59" s="949"/>
      <c r="FS59" s="949"/>
      <c r="FT59" s="949"/>
      <c r="FU59" s="949"/>
      <c r="FV59" s="949"/>
      <c r="FW59" s="949"/>
      <c r="FX59" s="949"/>
      <c r="FY59" s="949"/>
      <c r="FZ59" s="949"/>
      <c r="GA59" s="949"/>
      <c r="GB59" s="949"/>
      <c r="GC59" s="949"/>
      <c r="GD59" s="949"/>
      <c r="GE59" s="949"/>
      <c r="GF59" s="949"/>
      <c r="GG59" s="949"/>
      <c r="GH59" s="949"/>
      <c r="GI59" s="949"/>
      <c r="GJ59" s="949"/>
      <c r="GK59" s="949"/>
      <c r="GL59" s="949"/>
      <c r="GM59" s="949"/>
      <c r="GN59" s="949"/>
      <c r="GO59" s="949"/>
      <c r="GP59" s="949"/>
      <c r="GQ59" s="949"/>
      <c r="GR59" s="949"/>
      <c r="GS59" s="949"/>
      <c r="GT59" s="949"/>
      <c r="GU59" s="949"/>
      <c r="GV59" s="949"/>
      <c r="GW59" s="949"/>
      <c r="GX59" s="949"/>
      <c r="GY59" s="949"/>
      <c r="GZ59" s="949"/>
      <c r="HA59" s="949"/>
      <c r="HB59" s="949"/>
      <c r="HC59" s="949"/>
      <c r="HD59" s="949"/>
      <c r="HE59" s="949"/>
      <c r="HF59" s="949"/>
      <c r="HG59" s="949"/>
      <c r="HH59" s="949"/>
      <c r="HI59" s="949"/>
      <c r="HJ59" s="949"/>
      <c r="HK59" s="949"/>
      <c r="HL59" s="949"/>
      <c r="HM59" s="949"/>
      <c r="HN59" s="949"/>
      <c r="HO59" s="949"/>
      <c r="HP59" s="949"/>
      <c r="HQ59" s="949"/>
      <c r="HR59" s="949"/>
      <c r="HS59" s="949"/>
      <c r="HT59" s="949"/>
      <c r="HU59" s="949"/>
      <c r="HV59" s="949"/>
      <c r="HW59" s="949"/>
      <c r="HX59" s="949"/>
      <c r="HY59" s="949"/>
      <c r="HZ59" s="949"/>
      <c r="IA59" s="949"/>
      <c r="IB59" s="949"/>
      <c r="IC59" s="949"/>
      <c r="ID59" s="949"/>
      <c r="IE59" s="949"/>
      <c r="IF59" s="949"/>
      <c r="IG59" s="949"/>
      <c r="IH59" s="949"/>
      <c r="II59" s="949"/>
      <c r="IJ59" s="949"/>
      <c r="IK59" s="949"/>
      <c r="IL59" s="949"/>
      <c r="IM59" s="1"/>
      <c r="IN59" s="1"/>
      <c r="IO59" s="1"/>
      <c r="IP59" s="1"/>
      <c r="IQ59" s="1"/>
      <c r="IR59" s="1"/>
      <c r="IS59" s="1"/>
      <c r="IT59" s="1"/>
    </row>
    <row r="60" spans="1:254" s="98" customFormat="1" ht="12.9"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37" t="s">
        <v>608</v>
      </c>
      <c r="H60" s="937"/>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 customHeight="1" thickBot="1" x14ac:dyDescent="0.2">
      <c r="A64" s="959" t="s">
        <v>383</v>
      </c>
      <c r="B64" s="959"/>
      <c r="C64" s="959"/>
      <c r="D64" s="959"/>
      <c r="E64" s="960" t="s">
        <v>401</v>
      </c>
      <c r="F64" s="960"/>
      <c r="G64" s="957" t="s">
        <v>1</v>
      </c>
      <c r="H64" s="957"/>
      <c r="I64" s="957" t="s">
        <v>257</v>
      </c>
      <c r="J64" s="957"/>
      <c r="K64" s="957"/>
      <c r="L64" s="957"/>
      <c r="M64" s="958" t="s">
        <v>592</v>
      </c>
      <c r="N64" s="949" t="s">
        <v>593</v>
      </c>
      <c r="O64" s="949" t="s">
        <v>634</v>
      </c>
      <c r="P64" s="949"/>
      <c r="Q64" s="949"/>
      <c r="R64" s="949"/>
      <c r="S64" s="949"/>
      <c r="T64" s="949"/>
      <c r="U64" s="949"/>
      <c r="V64" s="949"/>
      <c r="W64" s="949"/>
      <c r="X64" s="949"/>
      <c r="Y64" s="949"/>
      <c r="Z64" s="949"/>
      <c r="AA64" s="949"/>
      <c r="AB64" s="949"/>
      <c r="AC64" s="949"/>
      <c r="AD64" s="949"/>
      <c r="AE64" s="949"/>
      <c r="AF64" s="949"/>
      <c r="AG64" s="949"/>
      <c r="AH64" s="949"/>
      <c r="AI64" s="949"/>
      <c r="AJ64" s="949"/>
      <c r="AK64" s="949"/>
      <c r="AL64" s="949"/>
      <c r="AM64" s="949"/>
      <c r="AN64" s="949"/>
      <c r="AO64" s="949"/>
      <c r="AP64" s="949"/>
      <c r="AQ64" s="949"/>
      <c r="AR64" s="949"/>
      <c r="AS64" s="949"/>
      <c r="AT64" s="949"/>
      <c r="AU64" s="949"/>
      <c r="AV64" s="949"/>
      <c r="AW64" s="949"/>
      <c r="AX64" s="949"/>
      <c r="AY64" s="949"/>
      <c r="AZ64" s="949"/>
      <c r="BA64" s="949"/>
      <c r="BB64" s="949"/>
      <c r="BC64" s="949"/>
      <c r="BD64" s="949"/>
      <c r="BE64" s="949"/>
      <c r="BF64" s="949"/>
      <c r="BG64" s="949"/>
      <c r="BH64" s="949"/>
      <c r="BI64" s="949"/>
      <c r="BJ64" s="949"/>
      <c r="BK64" s="949"/>
      <c r="BL64" s="949"/>
      <c r="BM64" s="949"/>
      <c r="BN64" s="949"/>
      <c r="BO64" s="949"/>
      <c r="BP64" s="949"/>
      <c r="BQ64" s="949"/>
      <c r="BR64" s="949"/>
      <c r="BS64" s="949"/>
      <c r="BT64" s="949"/>
      <c r="BU64" s="949"/>
      <c r="BV64" s="949"/>
      <c r="BW64" s="949"/>
      <c r="BX64" s="949"/>
      <c r="BY64" s="949"/>
      <c r="BZ64" s="949"/>
      <c r="CA64" s="949"/>
      <c r="CB64" s="949"/>
      <c r="CC64" s="949"/>
      <c r="CD64" s="949"/>
      <c r="CE64" s="949"/>
      <c r="CF64" s="949"/>
      <c r="CG64" s="949"/>
      <c r="CH64" s="949"/>
      <c r="CI64" s="949"/>
      <c r="CJ64" s="949"/>
      <c r="CK64" s="949"/>
      <c r="CL64" s="949"/>
      <c r="CM64" s="949"/>
      <c r="CN64" s="949"/>
      <c r="CO64" s="949"/>
      <c r="CP64" s="949"/>
      <c r="CQ64" s="949"/>
      <c r="CR64" s="949"/>
      <c r="CS64" s="949"/>
      <c r="CT64" s="949"/>
      <c r="CU64" s="949"/>
      <c r="CV64" s="949"/>
      <c r="CW64" s="949"/>
      <c r="CX64" s="949"/>
      <c r="CY64" s="949"/>
      <c r="CZ64" s="949"/>
      <c r="DA64" s="949"/>
      <c r="DB64" s="949"/>
      <c r="DC64" s="949"/>
      <c r="DD64" s="949"/>
      <c r="DE64" s="949"/>
      <c r="DF64" s="949"/>
      <c r="DG64" s="949"/>
      <c r="DH64" s="949"/>
      <c r="DI64" s="949"/>
      <c r="DJ64" s="949"/>
      <c r="DK64" s="949"/>
      <c r="DL64" s="949"/>
      <c r="DM64" s="949"/>
      <c r="DN64" s="949"/>
      <c r="DO64" s="949"/>
      <c r="DP64" s="949"/>
      <c r="DQ64" s="949"/>
      <c r="DR64" s="949"/>
      <c r="DS64" s="949"/>
      <c r="DT64" s="949"/>
      <c r="DU64" s="949"/>
      <c r="DV64" s="949"/>
      <c r="DW64" s="949"/>
      <c r="DX64" s="949"/>
      <c r="DY64" s="949"/>
      <c r="DZ64" s="949"/>
      <c r="EA64" s="949"/>
      <c r="EB64" s="949"/>
      <c r="EC64" s="949"/>
      <c r="ED64" s="949"/>
      <c r="EE64" s="949"/>
      <c r="EF64" s="949"/>
      <c r="EG64" s="949"/>
      <c r="EH64" s="949"/>
      <c r="EI64" s="949"/>
      <c r="EJ64" s="949"/>
      <c r="EK64" s="949"/>
      <c r="EL64" s="949"/>
      <c r="EM64" s="949"/>
      <c r="EN64" s="949"/>
      <c r="EO64" s="949"/>
      <c r="EP64" s="949"/>
      <c r="EQ64" s="949"/>
      <c r="ER64" s="949"/>
      <c r="ES64" s="949"/>
      <c r="ET64" s="949"/>
      <c r="EU64" s="949"/>
      <c r="EV64" s="949"/>
      <c r="EW64" s="949"/>
      <c r="EX64" s="949"/>
      <c r="EY64" s="949"/>
      <c r="EZ64" s="949"/>
      <c r="FA64" s="949"/>
      <c r="FB64" s="949"/>
      <c r="FC64" s="949"/>
      <c r="FD64" s="949"/>
      <c r="FE64" s="949"/>
      <c r="FF64" s="949"/>
      <c r="FG64" s="949"/>
      <c r="FH64" s="949"/>
      <c r="FI64" s="949"/>
      <c r="FJ64" s="949"/>
      <c r="FK64" s="949"/>
      <c r="FL64" s="949"/>
      <c r="FM64" s="949"/>
      <c r="FN64" s="949"/>
      <c r="FO64" s="949"/>
      <c r="FP64" s="949"/>
      <c r="FQ64" s="949"/>
      <c r="FR64" s="949"/>
      <c r="FS64" s="949"/>
      <c r="FT64" s="949"/>
      <c r="FU64" s="949"/>
      <c r="FV64" s="949"/>
      <c r="FW64" s="949"/>
      <c r="FX64" s="949"/>
      <c r="FY64" s="949"/>
      <c r="FZ64" s="949"/>
      <c r="GA64" s="949"/>
      <c r="GB64" s="949"/>
      <c r="GC64" s="949"/>
      <c r="GD64" s="949"/>
      <c r="GE64" s="949"/>
      <c r="GF64" s="949"/>
      <c r="GG64" s="949"/>
      <c r="GH64" s="949"/>
      <c r="GI64" s="949"/>
      <c r="GJ64" s="949"/>
      <c r="GK64" s="949"/>
      <c r="GL64" s="949"/>
      <c r="GM64" s="949"/>
      <c r="GN64" s="949"/>
      <c r="GO64" s="949"/>
      <c r="GP64" s="949"/>
      <c r="GQ64" s="949"/>
      <c r="GR64" s="949"/>
      <c r="GS64" s="949"/>
      <c r="GT64" s="949"/>
      <c r="GU64" s="949"/>
      <c r="GV64" s="949"/>
      <c r="GW64" s="949"/>
      <c r="GX64" s="949"/>
      <c r="GY64" s="949"/>
      <c r="GZ64" s="949"/>
      <c r="HA64" s="949"/>
      <c r="HB64" s="949"/>
      <c r="HC64" s="949"/>
      <c r="HD64" s="949"/>
      <c r="HE64" s="949"/>
      <c r="HF64" s="949"/>
      <c r="HG64" s="949"/>
      <c r="HH64" s="949"/>
      <c r="HI64" s="949"/>
      <c r="HJ64" s="949"/>
      <c r="HK64" s="949"/>
      <c r="HL64" s="949"/>
      <c r="HM64" s="949"/>
      <c r="HN64" s="949"/>
      <c r="HO64" s="949"/>
      <c r="HP64" s="949"/>
      <c r="HQ64" s="949"/>
      <c r="HR64" s="949"/>
      <c r="HS64" s="949"/>
      <c r="HT64" s="949"/>
      <c r="HU64" s="949"/>
      <c r="HV64" s="949"/>
      <c r="HW64" s="949"/>
      <c r="HX64" s="949"/>
      <c r="HY64" s="949"/>
      <c r="HZ64" s="949"/>
      <c r="IA64" s="949"/>
      <c r="IB64" s="949"/>
      <c r="IC64" s="949"/>
      <c r="ID64" s="949"/>
      <c r="IE64" s="949"/>
      <c r="IF64" s="949"/>
      <c r="IG64" s="949"/>
      <c r="IH64" s="949"/>
      <c r="II64" s="949"/>
      <c r="IJ64" s="949"/>
      <c r="IK64" s="949"/>
      <c r="IL64" s="948"/>
      <c r="IM64" s="1"/>
      <c r="IN64" s="1"/>
      <c r="IO64" s="1"/>
      <c r="IP64" s="1"/>
      <c r="IQ64" s="1"/>
      <c r="IR64" s="1"/>
      <c r="IS64" s="1"/>
      <c r="IT64" s="1"/>
    </row>
    <row r="65" spans="1:254" s="84" customFormat="1" ht="12.9" customHeight="1" thickBot="1" x14ac:dyDescent="0.2">
      <c r="A65" s="950"/>
      <c r="B65" s="950"/>
      <c r="C65" s="950"/>
      <c r="D65" s="950"/>
      <c r="E65" s="951"/>
      <c r="F65" s="951"/>
      <c r="G65" s="938" t="s">
        <v>18</v>
      </c>
      <c r="H65" s="938"/>
      <c r="I65" s="952" t="s">
        <v>243</v>
      </c>
      <c r="J65" s="952"/>
      <c r="K65" s="953" t="s">
        <v>243</v>
      </c>
      <c r="L65" s="953"/>
      <c r="M65" s="958"/>
      <c r="N65" s="949"/>
      <c r="O65" s="949"/>
      <c r="P65" s="949"/>
      <c r="Q65" s="949"/>
      <c r="R65" s="949"/>
      <c r="S65" s="949"/>
      <c r="T65" s="949"/>
      <c r="U65" s="949"/>
      <c r="V65" s="949"/>
      <c r="W65" s="949"/>
      <c r="X65" s="949"/>
      <c r="Y65" s="949"/>
      <c r="Z65" s="949"/>
      <c r="AA65" s="949"/>
      <c r="AB65" s="949"/>
      <c r="AC65" s="949"/>
      <c r="AD65" s="949"/>
      <c r="AE65" s="949"/>
      <c r="AF65" s="949"/>
      <c r="AG65" s="949"/>
      <c r="AH65" s="949"/>
      <c r="AI65" s="949"/>
      <c r="AJ65" s="949"/>
      <c r="AK65" s="949"/>
      <c r="AL65" s="949"/>
      <c r="AM65" s="949"/>
      <c r="AN65" s="949"/>
      <c r="AO65" s="949"/>
      <c r="AP65" s="949"/>
      <c r="AQ65" s="949"/>
      <c r="AR65" s="949"/>
      <c r="AS65" s="949"/>
      <c r="AT65" s="949"/>
      <c r="AU65" s="949"/>
      <c r="AV65" s="949"/>
      <c r="AW65" s="949"/>
      <c r="AX65" s="949"/>
      <c r="AY65" s="949"/>
      <c r="AZ65" s="949"/>
      <c r="BA65" s="949"/>
      <c r="BB65" s="949"/>
      <c r="BC65" s="949"/>
      <c r="BD65" s="949"/>
      <c r="BE65" s="949"/>
      <c r="BF65" s="949"/>
      <c r="BG65" s="949"/>
      <c r="BH65" s="949"/>
      <c r="BI65" s="949"/>
      <c r="BJ65" s="949"/>
      <c r="BK65" s="949"/>
      <c r="BL65" s="949"/>
      <c r="BM65" s="949"/>
      <c r="BN65" s="949"/>
      <c r="BO65" s="949"/>
      <c r="BP65" s="949"/>
      <c r="BQ65" s="949"/>
      <c r="BR65" s="949"/>
      <c r="BS65" s="949"/>
      <c r="BT65" s="949"/>
      <c r="BU65" s="949"/>
      <c r="BV65" s="949"/>
      <c r="BW65" s="949"/>
      <c r="BX65" s="949"/>
      <c r="BY65" s="949"/>
      <c r="BZ65" s="949"/>
      <c r="CA65" s="949"/>
      <c r="CB65" s="949"/>
      <c r="CC65" s="949"/>
      <c r="CD65" s="949"/>
      <c r="CE65" s="949"/>
      <c r="CF65" s="949"/>
      <c r="CG65" s="949"/>
      <c r="CH65" s="949"/>
      <c r="CI65" s="949"/>
      <c r="CJ65" s="949"/>
      <c r="CK65" s="949"/>
      <c r="CL65" s="949"/>
      <c r="CM65" s="949"/>
      <c r="CN65" s="949"/>
      <c r="CO65" s="949"/>
      <c r="CP65" s="949"/>
      <c r="CQ65" s="949"/>
      <c r="CR65" s="949"/>
      <c r="CS65" s="949"/>
      <c r="CT65" s="949"/>
      <c r="CU65" s="949"/>
      <c r="CV65" s="949"/>
      <c r="CW65" s="949"/>
      <c r="CX65" s="949"/>
      <c r="CY65" s="949"/>
      <c r="CZ65" s="949"/>
      <c r="DA65" s="949"/>
      <c r="DB65" s="949"/>
      <c r="DC65" s="949"/>
      <c r="DD65" s="949"/>
      <c r="DE65" s="949"/>
      <c r="DF65" s="949"/>
      <c r="DG65" s="949"/>
      <c r="DH65" s="949"/>
      <c r="DI65" s="949"/>
      <c r="DJ65" s="949"/>
      <c r="DK65" s="949"/>
      <c r="DL65" s="949"/>
      <c r="DM65" s="949"/>
      <c r="DN65" s="949"/>
      <c r="DO65" s="949"/>
      <c r="DP65" s="949"/>
      <c r="DQ65" s="949"/>
      <c r="DR65" s="949"/>
      <c r="DS65" s="949"/>
      <c r="DT65" s="949"/>
      <c r="DU65" s="949"/>
      <c r="DV65" s="949"/>
      <c r="DW65" s="949"/>
      <c r="DX65" s="949"/>
      <c r="DY65" s="949"/>
      <c r="DZ65" s="949"/>
      <c r="EA65" s="949"/>
      <c r="EB65" s="949"/>
      <c r="EC65" s="949"/>
      <c r="ED65" s="949"/>
      <c r="EE65" s="949"/>
      <c r="EF65" s="949"/>
      <c r="EG65" s="949"/>
      <c r="EH65" s="949"/>
      <c r="EI65" s="949"/>
      <c r="EJ65" s="949"/>
      <c r="EK65" s="949"/>
      <c r="EL65" s="949"/>
      <c r="EM65" s="949"/>
      <c r="EN65" s="949"/>
      <c r="EO65" s="949"/>
      <c r="EP65" s="949"/>
      <c r="EQ65" s="949"/>
      <c r="ER65" s="949"/>
      <c r="ES65" s="949"/>
      <c r="ET65" s="949"/>
      <c r="EU65" s="949"/>
      <c r="EV65" s="949"/>
      <c r="EW65" s="949"/>
      <c r="EX65" s="949"/>
      <c r="EY65" s="949"/>
      <c r="EZ65" s="949"/>
      <c r="FA65" s="949"/>
      <c r="FB65" s="949"/>
      <c r="FC65" s="949"/>
      <c r="FD65" s="949"/>
      <c r="FE65" s="949"/>
      <c r="FF65" s="949"/>
      <c r="FG65" s="949"/>
      <c r="FH65" s="949"/>
      <c r="FI65" s="949"/>
      <c r="FJ65" s="949"/>
      <c r="FK65" s="949"/>
      <c r="FL65" s="949"/>
      <c r="FM65" s="949"/>
      <c r="FN65" s="949"/>
      <c r="FO65" s="949"/>
      <c r="FP65" s="949"/>
      <c r="FQ65" s="949"/>
      <c r="FR65" s="949"/>
      <c r="FS65" s="949"/>
      <c r="FT65" s="949"/>
      <c r="FU65" s="949"/>
      <c r="FV65" s="949"/>
      <c r="FW65" s="949"/>
      <c r="FX65" s="949"/>
      <c r="FY65" s="949"/>
      <c r="FZ65" s="949"/>
      <c r="GA65" s="949"/>
      <c r="GB65" s="949"/>
      <c r="GC65" s="949"/>
      <c r="GD65" s="949"/>
      <c r="GE65" s="949"/>
      <c r="GF65" s="949"/>
      <c r="GG65" s="949"/>
      <c r="GH65" s="949"/>
      <c r="GI65" s="949"/>
      <c r="GJ65" s="949"/>
      <c r="GK65" s="949"/>
      <c r="GL65" s="949"/>
      <c r="GM65" s="949"/>
      <c r="GN65" s="949"/>
      <c r="GO65" s="949"/>
      <c r="GP65" s="949"/>
      <c r="GQ65" s="949"/>
      <c r="GR65" s="949"/>
      <c r="GS65" s="949"/>
      <c r="GT65" s="949"/>
      <c r="GU65" s="949"/>
      <c r="GV65" s="949"/>
      <c r="GW65" s="949"/>
      <c r="GX65" s="949"/>
      <c r="GY65" s="949"/>
      <c r="GZ65" s="949"/>
      <c r="HA65" s="949"/>
      <c r="HB65" s="949"/>
      <c r="HC65" s="949"/>
      <c r="HD65" s="949"/>
      <c r="HE65" s="949"/>
      <c r="HF65" s="949"/>
      <c r="HG65" s="949"/>
      <c r="HH65" s="949"/>
      <c r="HI65" s="949"/>
      <c r="HJ65" s="949"/>
      <c r="HK65" s="949"/>
      <c r="HL65" s="949"/>
      <c r="HM65" s="949"/>
      <c r="HN65" s="949"/>
      <c r="HO65" s="949"/>
      <c r="HP65" s="949"/>
      <c r="HQ65" s="949"/>
      <c r="HR65" s="949"/>
      <c r="HS65" s="949"/>
      <c r="HT65" s="949"/>
      <c r="HU65" s="949"/>
      <c r="HV65" s="949"/>
      <c r="HW65" s="949"/>
      <c r="HX65" s="949"/>
      <c r="HY65" s="949"/>
      <c r="HZ65" s="949"/>
      <c r="IA65" s="949"/>
      <c r="IB65" s="949"/>
      <c r="IC65" s="949"/>
      <c r="ID65" s="949"/>
      <c r="IE65" s="949"/>
      <c r="IF65" s="949"/>
      <c r="IG65" s="949"/>
      <c r="IH65" s="949"/>
      <c r="II65" s="949"/>
      <c r="IJ65" s="949"/>
      <c r="IK65" s="949"/>
      <c r="IL65" s="949"/>
      <c r="IM65" s="1"/>
      <c r="IN65" s="1"/>
      <c r="IO65" s="1"/>
      <c r="IP65" s="1"/>
      <c r="IQ65" s="1"/>
      <c r="IR65" s="1"/>
      <c r="IS65" s="1"/>
      <c r="IT65" s="1"/>
    </row>
    <row r="66" spans="1:254" s="84" customFormat="1" ht="12.9" customHeight="1" thickBot="1" x14ac:dyDescent="0.2">
      <c r="A66" s="954" t="s">
        <v>599</v>
      </c>
      <c r="B66" s="954"/>
      <c r="C66" s="955" t="s">
        <v>389</v>
      </c>
      <c r="D66" s="955"/>
      <c r="E66" s="956" t="s">
        <v>461</v>
      </c>
      <c r="F66" s="956"/>
      <c r="G66" s="944" t="s">
        <v>4</v>
      </c>
      <c r="H66" s="944"/>
      <c r="I66" s="945" t="s">
        <v>600</v>
      </c>
      <c r="J66" s="945"/>
      <c r="K66" s="946" t="s">
        <v>601</v>
      </c>
      <c r="L66" s="946"/>
      <c r="M66" s="958"/>
      <c r="N66" s="949"/>
      <c r="O66" s="949"/>
      <c r="P66" s="949"/>
      <c r="Q66" s="949"/>
      <c r="R66" s="949"/>
      <c r="S66" s="949"/>
      <c r="T66" s="949"/>
      <c r="U66" s="949"/>
      <c r="V66" s="949"/>
      <c r="W66" s="949"/>
      <c r="X66" s="949"/>
      <c r="Y66" s="949"/>
      <c r="Z66" s="949"/>
      <c r="AA66" s="949"/>
      <c r="AB66" s="949"/>
      <c r="AC66" s="949"/>
      <c r="AD66" s="949"/>
      <c r="AE66" s="949"/>
      <c r="AF66" s="949"/>
      <c r="AG66" s="949"/>
      <c r="AH66" s="949"/>
      <c r="AI66" s="949"/>
      <c r="AJ66" s="949"/>
      <c r="AK66" s="949"/>
      <c r="AL66" s="949"/>
      <c r="AM66" s="949"/>
      <c r="AN66" s="949"/>
      <c r="AO66" s="949"/>
      <c r="AP66" s="949"/>
      <c r="AQ66" s="949"/>
      <c r="AR66" s="949"/>
      <c r="AS66" s="949"/>
      <c r="AT66" s="949"/>
      <c r="AU66" s="949"/>
      <c r="AV66" s="949"/>
      <c r="AW66" s="949"/>
      <c r="AX66" s="949"/>
      <c r="AY66" s="949"/>
      <c r="AZ66" s="949"/>
      <c r="BA66" s="949"/>
      <c r="BB66" s="949"/>
      <c r="BC66" s="949"/>
      <c r="BD66" s="949"/>
      <c r="BE66" s="949"/>
      <c r="BF66" s="949"/>
      <c r="BG66" s="949"/>
      <c r="BH66" s="949"/>
      <c r="BI66" s="949"/>
      <c r="BJ66" s="949"/>
      <c r="BK66" s="949"/>
      <c r="BL66" s="949"/>
      <c r="BM66" s="949"/>
      <c r="BN66" s="949"/>
      <c r="BO66" s="949"/>
      <c r="BP66" s="949"/>
      <c r="BQ66" s="949"/>
      <c r="BR66" s="949"/>
      <c r="BS66" s="949"/>
      <c r="BT66" s="949"/>
      <c r="BU66" s="949"/>
      <c r="BV66" s="949"/>
      <c r="BW66" s="949"/>
      <c r="BX66" s="949"/>
      <c r="BY66" s="949"/>
      <c r="BZ66" s="949"/>
      <c r="CA66" s="949"/>
      <c r="CB66" s="949"/>
      <c r="CC66" s="949"/>
      <c r="CD66" s="949"/>
      <c r="CE66" s="949"/>
      <c r="CF66" s="949"/>
      <c r="CG66" s="949"/>
      <c r="CH66" s="949"/>
      <c r="CI66" s="949"/>
      <c r="CJ66" s="949"/>
      <c r="CK66" s="949"/>
      <c r="CL66" s="949"/>
      <c r="CM66" s="949"/>
      <c r="CN66" s="949"/>
      <c r="CO66" s="949"/>
      <c r="CP66" s="949"/>
      <c r="CQ66" s="949"/>
      <c r="CR66" s="949"/>
      <c r="CS66" s="949"/>
      <c r="CT66" s="949"/>
      <c r="CU66" s="949"/>
      <c r="CV66" s="949"/>
      <c r="CW66" s="949"/>
      <c r="CX66" s="949"/>
      <c r="CY66" s="949"/>
      <c r="CZ66" s="949"/>
      <c r="DA66" s="949"/>
      <c r="DB66" s="949"/>
      <c r="DC66" s="949"/>
      <c r="DD66" s="949"/>
      <c r="DE66" s="949"/>
      <c r="DF66" s="949"/>
      <c r="DG66" s="949"/>
      <c r="DH66" s="949"/>
      <c r="DI66" s="949"/>
      <c r="DJ66" s="949"/>
      <c r="DK66" s="949"/>
      <c r="DL66" s="949"/>
      <c r="DM66" s="949"/>
      <c r="DN66" s="949"/>
      <c r="DO66" s="949"/>
      <c r="DP66" s="949"/>
      <c r="DQ66" s="949"/>
      <c r="DR66" s="949"/>
      <c r="DS66" s="949"/>
      <c r="DT66" s="949"/>
      <c r="DU66" s="949"/>
      <c r="DV66" s="949"/>
      <c r="DW66" s="949"/>
      <c r="DX66" s="949"/>
      <c r="DY66" s="949"/>
      <c r="DZ66" s="949"/>
      <c r="EA66" s="949"/>
      <c r="EB66" s="949"/>
      <c r="EC66" s="949"/>
      <c r="ED66" s="949"/>
      <c r="EE66" s="949"/>
      <c r="EF66" s="949"/>
      <c r="EG66" s="949"/>
      <c r="EH66" s="949"/>
      <c r="EI66" s="949"/>
      <c r="EJ66" s="949"/>
      <c r="EK66" s="949"/>
      <c r="EL66" s="949"/>
      <c r="EM66" s="949"/>
      <c r="EN66" s="949"/>
      <c r="EO66" s="949"/>
      <c r="EP66" s="949"/>
      <c r="EQ66" s="949"/>
      <c r="ER66" s="949"/>
      <c r="ES66" s="949"/>
      <c r="ET66" s="949"/>
      <c r="EU66" s="949"/>
      <c r="EV66" s="949"/>
      <c r="EW66" s="949"/>
      <c r="EX66" s="949"/>
      <c r="EY66" s="949"/>
      <c r="EZ66" s="949"/>
      <c r="FA66" s="949"/>
      <c r="FB66" s="949"/>
      <c r="FC66" s="949"/>
      <c r="FD66" s="949"/>
      <c r="FE66" s="949"/>
      <c r="FF66" s="949"/>
      <c r="FG66" s="949"/>
      <c r="FH66" s="949"/>
      <c r="FI66" s="949"/>
      <c r="FJ66" s="949"/>
      <c r="FK66" s="949"/>
      <c r="FL66" s="949"/>
      <c r="FM66" s="949"/>
      <c r="FN66" s="949"/>
      <c r="FO66" s="949"/>
      <c r="FP66" s="949"/>
      <c r="FQ66" s="949"/>
      <c r="FR66" s="949"/>
      <c r="FS66" s="949"/>
      <c r="FT66" s="949"/>
      <c r="FU66" s="949"/>
      <c r="FV66" s="949"/>
      <c r="FW66" s="949"/>
      <c r="FX66" s="949"/>
      <c r="FY66" s="949"/>
      <c r="FZ66" s="949"/>
      <c r="GA66" s="949"/>
      <c r="GB66" s="949"/>
      <c r="GC66" s="949"/>
      <c r="GD66" s="949"/>
      <c r="GE66" s="949"/>
      <c r="GF66" s="949"/>
      <c r="GG66" s="949"/>
      <c r="GH66" s="949"/>
      <c r="GI66" s="949"/>
      <c r="GJ66" s="949"/>
      <c r="GK66" s="949"/>
      <c r="GL66" s="949"/>
      <c r="GM66" s="949"/>
      <c r="GN66" s="949"/>
      <c r="GO66" s="949"/>
      <c r="GP66" s="949"/>
      <c r="GQ66" s="949"/>
      <c r="GR66" s="949"/>
      <c r="GS66" s="949"/>
      <c r="GT66" s="949"/>
      <c r="GU66" s="949"/>
      <c r="GV66" s="949"/>
      <c r="GW66" s="949"/>
      <c r="GX66" s="949"/>
      <c r="GY66" s="949"/>
      <c r="GZ66" s="949"/>
      <c r="HA66" s="949"/>
      <c r="HB66" s="949"/>
      <c r="HC66" s="949"/>
      <c r="HD66" s="949"/>
      <c r="HE66" s="949"/>
      <c r="HF66" s="949"/>
      <c r="HG66" s="949"/>
      <c r="HH66" s="949"/>
      <c r="HI66" s="949"/>
      <c r="HJ66" s="949"/>
      <c r="HK66" s="949"/>
      <c r="HL66" s="949"/>
      <c r="HM66" s="949"/>
      <c r="HN66" s="949"/>
      <c r="HO66" s="949"/>
      <c r="HP66" s="949"/>
      <c r="HQ66" s="949"/>
      <c r="HR66" s="949"/>
      <c r="HS66" s="949"/>
      <c r="HT66" s="949"/>
      <c r="HU66" s="949"/>
      <c r="HV66" s="949"/>
      <c r="HW66" s="949"/>
      <c r="HX66" s="949"/>
      <c r="HY66" s="949"/>
      <c r="HZ66" s="949"/>
      <c r="IA66" s="949"/>
      <c r="IB66" s="949"/>
      <c r="IC66" s="949"/>
      <c r="ID66" s="949"/>
      <c r="IE66" s="949"/>
      <c r="IF66" s="949"/>
      <c r="IG66" s="949"/>
      <c r="IH66" s="949"/>
      <c r="II66" s="949"/>
      <c r="IJ66" s="949"/>
      <c r="IK66" s="949"/>
      <c r="IL66" s="949"/>
      <c r="IM66" s="1"/>
      <c r="IN66" s="1"/>
      <c r="IO66" s="1"/>
      <c r="IP66" s="1"/>
      <c r="IQ66" s="1"/>
      <c r="IR66" s="1"/>
      <c r="IS66" s="1"/>
      <c r="IT66" s="1"/>
    </row>
    <row r="67" spans="1:254" s="84" customFormat="1" ht="12.9" customHeight="1" thickBot="1" x14ac:dyDescent="0.2">
      <c r="A67" s="85">
        <f>B67+SUM(O71:IL71)</f>
        <v>0</v>
      </c>
      <c r="B67" s="9">
        <f>J71+L71</f>
        <v>0</v>
      </c>
      <c r="C67" s="86">
        <f>D67-SUM(O72:IL72)+SUM(O73:IL73)</f>
        <v>0</v>
      </c>
      <c r="D67" s="10">
        <f>J73+L73</f>
        <v>0</v>
      </c>
      <c r="E67" s="11">
        <f>J74+L74</f>
        <v>0</v>
      </c>
      <c r="F67" s="12">
        <f>E67+SUM(O74:IL74)</f>
        <v>0</v>
      </c>
      <c r="G67" s="938" t="s">
        <v>18</v>
      </c>
      <c r="H67" s="938"/>
      <c r="I67" s="939" t="s">
        <v>18</v>
      </c>
      <c r="J67" s="939"/>
      <c r="K67" s="940" t="s">
        <v>18</v>
      </c>
      <c r="L67" s="940"/>
      <c r="M67" s="958"/>
      <c r="N67" s="958"/>
      <c r="O67" s="949"/>
      <c r="P67" s="949"/>
      <c r="Q67" s="949"/>
      <c r="R67" s="949"/>
      <c r="S67" s="949"/>
      <c r="T67" s="949"/>
      <c r="U67" s="949"/>
      <c r="V67" s="949"/>
      <c r="W67" s="949"/>
      <c r="X67" s="949"/>
      <c r="Y67" s="949"/>
      <c r="Z67" s="949"/>
      <c r="AA67" s="949"/>
      <c r="AB67" s="949"/>
      <c r="AC67" s="949"/>
      <c r="AD67" s="949"/>
      <c r="AE67" s="949"/>
      <c r="AF67" s="949"/>
      <c r="AG67" s="949"/>
      <c r="AH67" s="949"/>
      <c r="AI67" s="949"/>
      <c r="AJ67" s="949"/>
      <c r="AK67" s="949"/>
      <c r="AL67" s="949"/>
      <c r="AM67" s="949"/>
      <c r="AN67" s="949"/>
      <c r="AO67" s="949"/>
      <c r="AP67" s="949"/>
      <c r="AQ67" s="949"/>
      <c r="AR67" s="949"/>
      <c r="AS67" s="949"/>
      <c r="AT67" s="949"/>
      <c r="AU67" s="949"/>
      <c r="AV67" s="949"/>
      <c r="AW67" s="949"/>
      <c r="AX67" s="949"/>
      <c r="AY67" s="949"/>
      <c r="AZ67" s="949"/>
      <c r="BA67" s="949"/>
      <c r="BB67" s="949"/>
      <c r="BC67" s="949"/>
      <c r="BD67" s="949"/>
      <c r="BE67" s="949"/>
      <c r="BF67" s="949"/>
      <c r="BG67" s="949"/>
      <c r="BH67" s="949"/>
      <c r="BI67" s="949"/>
      <c r="BJ67" s="949"/>
      <c r="BK67" s="949"/>
      <c r="BL67" s="949"/>
      <c r="BM67" s="949"/>
      <c r="BN67" s="949"/>
      <c r="BO67" s="949"/>
      <c r="BP67" s="949"/>
      <c r="BQ67" s="949"/>
      <c r="BR67" s="949"/>
      <c r="BS67" s="949"/>
      <c r="BT67" s="949"/>
      <c r="BU67" s="949"/>
      <c r="BV67" s="949"/>
      <c r="BW67" s="949"/>
      <c r="BX67" s="949"/>
      <c r="BY67" s="949"/>
      <c r="BZ67" s="949"/>
      <c r="CA67" s="949"/>
      <c r="CB67" s="949"/>
      <c r="CC67" s="949"/>
      <c r="CD67" s="949"/>
      <c r="CE67" s="949"/>
      <c r="CF67" s="949"/>
      <c r="CG67" s="949"/>
      <c r="CH67" s="949"/>
      <c r="CI67" s="949"/>
      <c r="CJ67" s="949"/>
      <c r="CK67" s="949"/>
      <c r="CL67" s="949"/>
      <c r="CM67" s="949"/>
      <c r="CN67" s="949"/>
      <c r="CO67" s="949"/>
      <c r="CP67" s="949"/>
      <c r="CQ67" s="949"/>
      <c r="CR67" s="949"/>
      <c r="CS67" s="949"/>
      <c r="CT67" s="949"/>
      <c r="CU67" s="949"/>
      <c r="CV67" s="949"/>
      <c r="CW67" s="949"/>
      <c r="CX67" s="949"/>
      <c r="CY67" s="949"/>
      <c r="CZ67" s="949"/>
      <c r="DA67" s="949"/>
      <c r="DB67" s="949"/>
      <c r="DC67" s="949"/>
      <c r="DD67" s="949"/>
      <c r="DE67" s="949"/>
      <c r="DF67" s="949"/>
      <c r="DG67" s="949"/>
      <c r="DH67" s="949"/>
      <c r="DI67" s="949"/>
      <c r="DJ67" s="949"/>
      <c r="DK67" s="949"/>
      <c r="DL67" s="949"/>
      <c r="DM67" s="949"/>
      <c r="DN67" s="949"/>
      <c r="DO67" s="949"/>
      <c r="DP67" s="949"/>
      <c r="DQ67" s="949"/>
      <c r="DR67" s="949"/>
      <c r="DS67" s="949"/>
      <c r="DT67" s="949"/>
      <c r="DU67" s="949"/>
      <c r="DV67" s="949"/>
      <c r="DW67" s="949"/>
      <c r="DX67" s="949"/>
      <c r="DY67" s="949"/>
      <c r="DZ67" s="949"/>
      <c r="EA67" s="949"/>
      <c r="EB67" s="949"/>
      <c r="EC67" s="949"/>
      <c r="ED67" s="949"/>
      <c r="EE67" s="949"/>
      <c r="EF67" s="949"/>
      <c r="EG67" s="949"/>
      <c r="EH67" s="949"/>
      <c r="EI67" s="949"/>
      <c r="EJ67" s="949"/>
      <c r="EK67" s="949"/>
      <c r="EL67" s="949"/>
      <c r="EM67" s="949"/>
      <c r="EN67" s="949"/>
      <c r="EO67" s="949"/>
      <c r="EP67" s="949"/>
      <c r="EQ67" s="949"/>
      <c r="ER67" s="949"/>
      <c r="ES67" s="949"/>
      <c r="ET67" s="949"/>
      <c r="EU67" s="949"/>
      <c r="EV67" s="949"/>
      <c r="EW67" s="949"/>
      <c r="EX67" s="949"/>
      <c r="EY67" s="949"/>
      <c r="EZ67" s="949"/>
      <c r="FA67" s="949"/>
      <c r="FB67" s="949"/>
      <c r="FC67" s="949"/>
      <c r="FD67" s="949"/>
      <c r="FE67" s="949"/>
      <c r="FF67" s="949"/>
      <c r="FG67" s="949"/>
      <c r="FH67" s="949"/>
      <c r="FI67" s="949"/>
      <c r="FJ67" s="949"/>
      <c r="FK67" s="949"/>
      <c r="FL67" s="949"/>
      <c r="FM67" s="949"/>
      <c r="FN67" s="949"/>
      <c r="FO67" s="949"/>
      <c r="FP67" s="949"/>
      <c r="FQ67" s="949"/>
      <c r="FR67" s="949"/>
      <c r="FS67" s="949"/>
      <c r="FT67" s="949"/>
      <c r="FU67" s="949"/>
      <c r="FV67" s="949"/>
      <c r="FW67" s="949"/>
      <c r="FX67" s="949"/>
      <c r="FY67" s="949"/>
      <c r="FZ67" s="949"/>
      <c r="GA67" s="949"/>
      <c r="GB67" s="949"/>
      <c r="GC67" s="949"/>
      <c r="GD67" s="949"/>
      <c r="GE67" s="949"/>
      <c r="GF67" s="949"/>
      <c r="GG67" s="949"/>
      <c r="GH67" s="949"/>
      <c r="GI67" s="949"/>
      <c r="GJ67" s="949"/>
      <c r="GK67" s="949"/>
      <c r="GL67" s="949"/>
      <c r="GM67" s="949"/>
      <c r="GN67" s="949"/>
      <c r="GO67" s="949"/>
      <c r="GP67" s="949"/>
      <c r="GQ67" s="949"/>
      <c r="GR67" s="949"/>
      <c r="GS67" s="949"/>
      <c r="GT67" s="949"/>
      <c r="GU67" s="949"/>
      <c r="GV67" s="949"/>
      <c r="GW67" s="949"/>
      <c r="GX67" s="949"/>
      <c r="GY67" s="949"/>
      <c r="GZ67" s="949"/>
      <c r="HA67" s="949"/>
      <c r="HB67" s="949"/>
      <c r="HC67" s="949"/>
      <c r="HD67" s="949"/>
      <c r="HE67" s="949"/>
      <c r="HF67" s="949"/>
      <c r="HG67" s="949"/>
      <c r="HH67" s="949"/>
      <c r="HI67" s="949"/>
      <c r="HJ67" s="949"/>
      <c r="HK67" s="949"/>
      <c r="HL67" s="949"/>
      <c r="HM67" s="949"/>
      <c r="HN67" s="949"/>
      <c r="HO67" s="949"/>
      <c r="HP67" s="949"/>
      <c r="HQ67" s="949"/>
      <c r="HR67" s="949"/>
      <c r="HS67" s="949"/>
      <c r="HT67" s="949"/>
      <c r="HU67" s="949"/>
      <c r="HV67" s="949"/>
      <c r="HW67" s="949"/>
      <c r="HX67" s="949"/>
      <c r="HY67" s="949"/>
      <c r="HZ67" s="949"/>
      <c r="IA67" s="949"/>
      <c r="IB67" s="949"/>
      <c r="IC67" s="949"/>
      <c r="ID67" s="949"/>
      <c r="IE67" s="949"/>
      <c r="IF67" s="949"/>
      <c r="IG67" s="949"/>
      <c r="IH67" s="949"/>
      <c r="II67" s="949"/>
      <c r="IJ67" s="949"/>
      <c r="IK67" s="949"/>
      <c r="IL67" s="949"/>
      <c r="IM67" s="1"/>
      <c r="IN67" s="1"/>
      <c r="IO67" s="1"/>
      <c r="IP67" s="1"/>
      <c r="IQ67" s="1"/>
      <c r="IR67" s="1"/>
      <c r="IS67" s="1"/>
      <c r="IT67" s="1"/>
    </row>
    <row r="68" spans="1:254" s="84" customFormat="1" ht="12" customHeight="1" thickBot="1" x14ac:dyDescent="0.2">
      <c r="A68" s="941" t="s">
        <v>395</v>
      </c>
      <c r="B68" s="942"/>
      <c r="C68" s="87" t="s">
        <v>602</v>
      </c>
      <c r="D68" s="88" t="s">
        <v>603</v>
      </c>
      <c r="E68" s="943" t="str">
        <f>IF(F67&lt;100,IF(F67&lt;50,"通常状態",IF(F67&lt;60,"暴走Lv1 ",IF(F67&lt;70,"暴走Lv2",IF(F67&lt;80,"暴走Lv3",IF(F67&lt;90,"暴走Lv4","暴走Lv5"))))),IF(F67&lt;110,"臨界Lv1",IF(F67&lt;120,"臨界Lv2",IF(F67&lt;130,"臨界Lv3",IF(F67&lt;140,"臨界Lv4",IF(F67&lt;150,"臨界Lv5",IF(F67&lt;150,"活性Lv5","因子崩壊")))))))</f>
        <v>通常状態</v>
      </c>
      <c r="F68" s="943"/>
      <c r="G68" s="944" t="s">
        <v>15</v>
      </c>
      <c r="H68" s="944"/>
      <c r="I68" s="945" t="s">
        <v>415</v>
      </c>
      <c r="J68" s="945"/>
      <c r="K68" s="946" t="s">
        <v>604</v>
      </c>
      <c r="L68" s="946"/>
      <c r="M68" s="958"/>
      <c r="N68" s="958"/>
      <c r="O68" s="949"/>
      <c r="P68" s="949"/>
      <c r="Q68" s="949"/>
      <c r="R68" s="949"/>
      <c r="S68" s="949"/>
      <c r="T68" s="949"/>
      <c r="U68" s="949"/>
      <c r="V68" s="949"/>
      <c r="W68" s="949"/>
      <c r="X68" s="949"/>
      <c r="Y68" s="949"/>
      <c r="Z68" s="949"/>
      <c r="AA68" s="949"/>
      <c r="AB68" s="949"/>
      <c r="AC68" s="949"/>
      <c r="AD68" s="949"/>
      <c r="AE68" s="949"/>
      <c r="AF68" s="949"/>
      <c r="AG68" s="949"/>
      <c r="AH68" s="949"/>
      <c r="AI68" s="949"/>
      <c r="AJ68" s="949"/>
      <c r="AK68" s="949"/>
      <c r="AL68" s="949"/>
      <c r="AM68" s="949"/>
      <c r="AN68" s="949"/>
      <c r="AO68" s="949"/>
      <c r="AP68" s="949"/>
      <c r="AQ68" s="949"/>
      <c r="AR68" s="949"/>
      <c r="AS68" s="949"/>
      <c r="AT68" s="949"/>
      <c r="AU68" s="949"/>
      <c r="AV68" s="949"/>
      <c r="AW68" s="949"/>
      <c r="AX68" s="949"/>
      <c r="AY68" s="949"/>
      <c r="AZ68" s="949"/>
      <c r="BA68" s="949"/>
      <c r="BB68" s="949"/>
      <c r="BC68" s="949"/>
      <c r="BD68" s="949"/>
      <c r="BE68" s="949"/>
      <c r="BF68" s="949"/>
      <c r="BG68" s="949"/>
      <c r="BH68" s="949"/>
      <c r="BI68" s="949"/>
      <c r="BJ68" s="949"/>
      <c r="BK68" s="949"/>
      <c r="BL68" s="949"/>
      <c r="BM68" s="949"/>
      <c r="BN68" s="949"/>
      <c r="BO68" s="949"/>
      <c r="BP68" s="949"/>
      <c r="BQ68" s="949"/>
      <c r="BR68" s="949"/>
      <c r="BS68" s="949"/>
      <c r="BT68" s="949"/>
      <c r="BU68" s="949"/>
      <c r="BV68" s="949"/>
      <c r="BW68" s="949"/>
      <c r="BX68" s="949"/>
      <c r="BY68" s="949"/>
      <c r="BZ68" s="949"/>
      <c r="CA68" s="949"/>
      <c r="CB68" s="949"/>
      <c r="CC68" s="949"/>
      <c r="CD68" s="949"/>
      <c r="CE68" s="949"/>
      <c r="CF68" s="949"/>
      <c r="CG68" s="949"/>
      <c r="CH68" s="949"/>
      <c r="CI68" s="949"/>
      <c r="CJ68" s="949"/>
      <c r="CK68" s="949"/>
      <c r="CL68" s="949"/>
      <c r="CM68" s="949"/>
      <c r="CN68" s="949"/>
      <c r="CO68" s="949"/>
      <c r="CP68" s="949"/>
      <c r="CQ68" s="949"/>
      <c r="CR68" s="949"/>
      <c r="CS68" s="949"/>
      <c r="CT68" s="949"/>
      <c r="CU68" s="949"/>
      <c r="CV68" s="949"/>
      <c r="CW68" s="949"/>
      <c r="CX68" s="949"/>
      <c r="CY68" s="949"/>
      <c r="CZ68" s="949"/>
      <c r="DA68" s="949"/>
      <c r="DB68" s="949"/>
      <c r="DC68" s="949"/>
      <c r="DD68" s="949"/>
      <c r="DE68" s="949"/>
      <c r="DF68" s="949"/>
      <c r="DG68" s="949"/>
      <c r="DH68" s="949"/>
      <c r="DI68" s="949"/>
      <c r="DJ68" s="949"/>
      <c r="DK68" s="949"/>
      <c r="DL68" s="949"/>
      <c r="DM68" s="949"/>
      <c r="DN68" s="949"/>
      <c r="DO68" s="949"/>
      <c r="DP68" s="949"/>
      <c r="DQ68" s="949"/>
      <c r="DR68" s="949"/>
      <c r="DS68" s="949"/>
      <c r="DT68" s="949"/>
      <c r="DU68" s="949"/>
      <c r="DV68" s="949"/>
      <c r="DW68" s="949"/>
      <c r="DX68" s="949"/>
      <c r="DY68" s="949"/>
      <c r="DZ68" s="949"/>
      <c r="EA68" s="949"/>
      <c r="EB68" s="949"/>
      <c r="EC68" s="949"/>
      <c r="ED68" s="949"/>
      <c r="EE68" s="949"/>
      <c r="EF68" s="949"/>
      <c r="EG68" s="949"/>
      <c r="EH68" s="949"/>
      <c r="EI68" s="949"/>
      <c r="EJ68" s="949"/>
      <c r="EK68" s="949"/>
      <c r="EL68" s="949"/>
      <c r="EM68" s="949"/>
      <c r="EN68" s="949"/>
      <c r="EO68" s="949"/>
      <c r="EP68" s="949"/>
      <c r="EQ68" s="949"/>
      <c r="ER68" s="949"/>
      <c r="ES68" s="949"/>
      <c r="ET68" s="949"/>
      <c r="EU68" s="949"/>
      <c r="EV68" s="949"/>
      <c r="EW68" s="949"/>
      <c r="EX68" s="949"/>
      <c r="EY68" s="949"/>
      <c r="EZ68" s="949"/>
      <c r="FA68" s="949"/>
      <c r="FB68" s="949"/>
      <c r="FC68" s="949"/>
      <c r="FD68" s="949"/>
      <c r="FE68" s="949"/>
      <c r="FF68" s="949"/>
      <c r="FG68" s="949"/>
      <c r="FH68" s="949"/>
      <c r="FI68" s="949"/>
      <c r="FJ68" s="949"/>
      <c r="FK68" s="949"/>
      <c r="FL68" s="949"/>
      <c r="FM68" s="949"/>
      <c r="FN68" s="949"/>
      <c r="FO68" s="949"/>
      <c r="FP68" s="949"/>
      <c r="FQ68" s="949"/>
      <c r="FR68" s="949"/>
      <c r="FS68" s="949"/>
      <c r="FT68" s="949"/>
      <c r="FU68" s="949"/>
      <c r="FV68" s="949"/>
      <c r="FW68" s="949"/>
      <c r="FX68" s="949"/>
      <c r="FY68" s="949"/>
      <c r="FZ68" s="949"/>
      <c r="GA68" s="949"/>
      <c r="GB68" s="949"/>
      <c r="GC68" s="949"/>
      <c r="GD68" s="949"/>
      <c r="GE68" s="949"/>
      <c r="GF68" s="949"/>
      <c r="GG68" s="949"/>
      <c r="GH68" s="949"/>
      <c r="GI68" s="949"/>
      <c r="GJ68" s="949"/>
      <c r="GK68" s="949"/>
      <c r="GL68" s="949"/>
      <c r="GM68" s="949"/>
      <c r="GN68" s="949"/>
      <c r="GO68" s="949"/>
      <c r="GP68" s="949"/>
      <c r="GQ68" s="949"/>
      <c r="GR68" s="949"/>
      <c r="GS68" s="949"/>
      <c r="GT68" s="949"/>
      <c r="GU68" s="949"/>
      <c r="GV68" s="949"/>
      <c r="GW68" s="949"/>
      <c r="GX68" s="949"/>
      <c r="GY68" s="949"/>
      <c r="GZ68" s="949"/>
      <c r="HA68" s="949"/>
      <c r="HB68" s="949"/>
      <c r="HC68" s="949"/>
      <c r="HD68" s="949"/>
      <c r="HE68" s="949"/>
      <c r="HF68" s="949"/>
      <c r="HG68" s="949"/>
      <c r="HH68" s="949"/>
      <c r="HI68" s="949"/>
      <c r="HJ68" s="949"/>
      <c r="HK68" s="949"/>
      <c r="HL68" s="949"/>
      <c r="HM68" s="949"/>
      <c r="HN68" s="949"/>
      <c r="HO68" s="949"/>
      <c r="HP68" s="949"/>
      <c r="HQ68" s="949"/>
      <c r="HR68" s="949"/>
      <c r="HS68" s="949"/>
      <c r="HT68" s="949"/>
      <c r="HU68" s="949"/>
      <c r="HV68" s="949"/>
      <c r="HW68" s="949"/>
      <c r="HX68" s="949"/>
      <c r="HY68" s="949"/>
      <c r="HZ68" s="949"/>
      <c r="IA68" s="949"/>
      <c r="IB68" s="949"/>
      <c r="IC68" s="949"/>
      <c r="ID68" s="949"/>
      <c r="IE68" s="949"/>
      <c r="IF68" s="949"/>
      <c r="IG68" s="949"/>
      <c r="IH68" s="949"/>
      <c r="II68" s="949"/>
      <c r="IJ68" s="949"/>
      <c r="IK68" s="949"/>
      <c r="IL68" s="949"/>
      <c r="IM68" s="1"/>
      <c r="IN68" s="1"/>
      <c r="IO68" s="1"/>
      <c r="IP68" s="1"/>
      <c r="IQ68" s="1"/>
      <c r="IR68" s="1"/>
      <c r="IS68" s="1"/>
      <c r="IT68" s="1"/>
    </row>
    <row r="69" spans="1:254" s="84" customFormat="1" ht="12.9" customHeight="1" thickBot="1" x14ac:dyDescent="0.2">
      <c r="A69" s="941"/>
      <c r="B69" s="942"/>
      <c r="C69" s="89">
        <f>SUM(L72:IQ72)</f>
        <v>0</v>
      </c>
      <c r="D69" s="13">
        <f>ROUNDDOWN((C69/5),0)+SUM(I70:IL70)</f>
        <v>0</v>
      </c>
      <c r="E69" s="947" t="str">
        <f>IF(F67&lt;50,"未活性",IF(F67&lt;60,"活性Lv1",IF(F67&lt;70,"活性Lv2",IF(F67&lt;80,"活性Lv3",IF(F67&lt;90,"活性Lv4",IF(F67&lt;100,"活性Lv5",IF(F67&lt;150,"活性Lv5","強制キャラロスト")))))))</f>
        <v>未活性</v>
      </c>
      <c r="F69" s="947"/>
      <c r="G69" s="930" t="s">
        <v>18</v>
      </c>
      <c r="H69" s="930"/>
      <c r="I69" s="931" t="s">
        <v>18</v>
      </c>
      <c r="J69" s="931"/>
      <c r="K69" s="932" t="str">
        <f>IF(OR(A67&lt;=B67/2,F67&gt;=90),IF(F67&gt;=120,"オーバーフロー","発動中"),"-")</f>
        <v>発動中</v>
      </c>
      <c r="L69" s="932"/>
      <c r="M69" s="958"/>
      <c r="N69" s="958"/>
      <c r="O69" s="949"/>
      <c r="P69" s="949"/>
      <c r="Q69" s="949"/>
      <c r="R69" s="949"/>
      <c r="S69" s="949"/>
      <c r="T69" s="949"/>
      <c r="U69" s="949"/>
      <c r="V69" s="949"/>
      <c r="W69" s="949"/>
      <c r="X69" s="949"/>
      <c r="Y69" s="949"/>
      <c r="Z69" s="949"/>
      <c r="AA69" s="949"/>
      <c r="AB69" s="949"/>
      <c r="AC69" s="949"/>
      <c r="AD69" s="949"/>
      <c r="AE69" s="949"/>
      <c r="AF69" s="949"/>
      <c r="AG69" s="949"/>
      <c r="AH69" s="949"/>
      <c r="AI69" s="949"/>
      <c r="AJ69" s="949"/>
      <c r="AK69" s="949"/>
      <c r="AL69" s="949"/>
      <c r="AM69" s="949"/>
      <c r="AN69" s="949"/>
      <c r="AO69" s="949"/>
      <c r="AP69" s="949"/>
      <c r="AQ69" s="949"/>
      <c r="AR69" s="949"/>
      <c r="AS69" s="949"/>
      <c r="AT69" s="949"/>
      <c r="AU69" s="949"/>
      <c r="AV69" s="949"/>
      <c r="AW69" s="949"/>
      <c r="AX69" s="949"/>
      <c r="AY69" s="949"/>
      <c r="AZ69" s="949"/>
      <c r="BA69" s="949"/>
      <c r="BB69" s="949"/>
      <c r="BC69" s="949"/>
      <c r="BD69" s="949"/>
      <c r="BE69" s="949"/>
      <c r="BF69" s="949"/>
      <c r="BG69" s="949"/>
      <c r="BH69" s="949"/>
      <c r="BI69" s="949"/>
      <c r="BJ69" s="949"/>
      <c r="BK69" s="949"/>
      <c r="BL69" s="949"/>
      <c r="BM69" s="949"/>
      <c r="BN69" s="949"/>
      <c r="BO69" s="949"/>
      <c r="BP69" s="949"/>
      <c r="BQ69" s="949"/>
      <c r="BR69" s="949"/>
      <c r="BS69" s="949"/>
      <c r="BT69" s="949"/>
      <c r="BU69" s="949"/>
      <c r="BV69" s="949"/>
      <c r="BW69" s="949"/>
      <c r="BX69" s="949"/>
      <c r="BY69" s="949"/>
      <c r="BZ69" s="949"/>
      <c r="CA69" s="949"/>
      <c r="CB69" s="949"/>
      <c r="CC69" s="949"/>
      <c r="CD69" s="949"/>
      <c r="CE69" s="949"/>
      <c r="CF69" s="949"/>
      <c r="CG69" s="949"/>
      <c r="CH69" s="949"/>
      <c r="CI69" s="949"/>
      <c r="CJ69" s="949"/>
      <c r="CK69" s="949"/>
      <c r="CL69" s="949"/>
      <c r="CM69" s="949"/>
      <c r="CN69" s="949"/>
      <c r="CO69" s="949"/>
      <c r="CP69" s="949"/>
      <c r="CQ69" s="949"/>
      <c r="CR69" s="949"/>
      <c r="CS69" s="949"/>
      <c r="CT69" s="949"/>
      <c r="CU69" s="949"/>
      <c r="CV69" s="949"/>
      <c r="CW69" s="949"/>
      <c r="CX69" s="949"/>
      <c r="CY69" s="949"/>
      <c r="CZ69" s="949"/>
      <c r="DA69" s="949"/>
      <c r="DB69" s="949"/>
      <c r="DC69" s="949"/>
      <c r="DD69" s="949"/>
      <c r="DE69" s="949"/>
      <c r="DF69" s="949"/>
      <c r="DG69" s="949"/>
      <c r="DH69" s="949"/>
      <c r="DI69" s="949"/>
      <c r="DJ69" s="949"/>
      <c r="DK69" s="949"/>
      <c r="DL69" s="949"/>
      <c r="DM69" s="949"/>
      <c r="DN69" s="949"/>
      <c r="DO69" s="949"/>
      <c r="DP69" s="949"/>
      <c r="DQ69" s="949"/>
      <c r="DR69" s="949"/>
      <c r="DS69" s="949"/>
      <c r="DT69" s="949"/>
      <c r="DU69" s="949"/>
      <c r="DV69" s="949"/>
      <c r="DW69" s="949"/>
      <c r="DX69" s="949"/>
      <c r="DY69" s="949"/>
      <c r="DZ69" s="949"/>
      <c r="EA69" s="949"/>
      <c r="EB69" s="949"/>
      <c r="EC69" s="949"/>
      <c r="ED69" s="949"/>
      <c r="EE69" s="949"/>
      <c r="EF69" s="949"/>
      <c r="EG69" s="949"/>
      <c r="EH69" s="949"/>
      <c r="EI69" s="949"/>
      <c r="EJ69" s="949"/>
      <c r="EK69" s="949"/>
      <c r="EL69" s="949"/>
      <c r="EM69" s="949"/>
      <c r="EN69" s="949"/>
      <c r="EO69" s="949"/>
      <c r="EP69" s="949"/>
      <c r="EQ69" s="949"/>
      <c r="ER69" s="949"/>
      <c r="ES69" s="949"/>
      <c r="ET69" s="949"/>
      <c r="EU69" s="949"/>
      <c r="EV69" s="949"/>
      <c r="EW69" s="949"/>
      <c r="EX69" s="949"/>
      <c r="EY69" s="949"/>
      <c r="EZ69" s="949"/>
      <c r="FA69" s="949"/>
      <c r="FB69" s="949"/>
      <c r="FC69" s="949"/>
      <c r="FD69" s="949"/>
      <c r="FE69" s="949"/>
      <c r="FF69" s="949"/>
      <c r="FG69" s="949"/>
      <c r="FH69" s="949"/>
      <c r="FI69" s="949"/>
      <c r="FJ69" s="949"/>
      <c r="FK69" s="949"/>
      <c r="FL69" s="949"/>
      <c r="FM69" s="949"/>
      <c r="FN69" s="949"/>
      <c r="FO69" s="949"/>
      <c r="FP69" s="949"/>
      <c r="FQ69" s="949"/>
      <c r="FR69" s="949"/>
      <c r="FS69" s="949"/>
      <c r="FT69" s="949"/>
      <c r="FU69" s="949"/>
      <c r="FV69" s="949"/>
      <c r="FW69" s="949"/>
      <c r="FX69" s="949"/>
      <c r="FY69" s="949"/>
      <c r="FZ69" s="949"/>
      <c r="GA69" s="949"/>
      <c r="GB69" s="949"/>
      <c r="GC69" s="949"/>
      <c r="GD69" s="949"/>
      <c r="GE69" s="949"/>
      <c r="GF69" s="949"/>
      <c r="GG69" s="949"/>
      <c r="GH69" s="949"/>
      <c r="GI69" s="949"/>
      <c r="GJ69" s="949"/>
      <c r="GK69" s="949"/>
      <c r="GL69" s="949"/>
      <c r="GM69" s="949"/>
      <c r="GN69" s="949"/>
      <c r="GO69" s="949"/>
      <c r="GP69" s="949"/>
      <c r="GQ69" s="949"/>
      <c r="GR69" s="949"/>
      <c r="GS69" s="949"/>
      <c r="GT69" s="949"/>
      <c r="GU69" s="949"/>
      <c r="GV69" s="949"/>
      <c r="GW69" s="949"/>
      <c r="GX69" s="949"/>
      <c r="GY69" s="949"/>
      <c r="GZ69" s="949"/>
      <c r="HA69" s="949"/>
      <c r="HB69" s="949"/>
      <c r="HC69" s="949"/>
      <c r="HD69" s="949"/>
      <c r="HE69" s="949"/>
      <c r="HF69" s="949"/>
      <c r="HG69" s="949"/>
      <c r="HH69" s="949"/>
      <c r="HI69" s="949"/>
      <c r="HJ69" s="949"/>
      <c r="HK69" s="949"/>
      <c r="HL69" s="949"/>
      <c r="HM69" s="949"/>
      <c r="HN69" s="949"/>
      <c r="HO69" s="949"/>
      <c r="HP69" s="949"/>
      <c r="HQ69" s="949"/>
      <c r="HR69" s="949"/>
      <c r="HS69" s="949"/>
      <c r="HT69" s="949"/>
      <c r="HU69" s="949"/>
      <c r="HV69" s="949"/>
      <c r="HW69" s="949"/>
      <c r="HX69" s="949"/>
      <c r="HY69" s="949"/>
      <c r="HZ69" s="949"/>
      <c r="IA69" s="949"/>
      <c r="IB69" s="949"/>
      <c r="IC69" s="949"/>
      <c r="ID69" s="949"/>
      <c r="IE69" s="949"/>
      <c r="IF69" s="949"/>
      <c r="IG69" s="949"/>
      <c r="IH69" s="949"/>
      <c r="II69" s="949"/>
      <c r="IJ69" s="949"/>
      <c r="IK69" s="949"/>
      <c r="IL69" s="949"/>
      <c r="IM69" s="1"/>
      <c r="IN69" s="1"/>
      <c r="IO69" s="1"/>
      <c r="IP69" s="1"/>
      <c r="IQ69" s="1"/>
      <c r="IR69" s="1"/>
      <c r="IS69" s="1"/>
      <c r="IT69" s="1"/>
    </row>
    <row r="70" spans="1:254" s="92" customFormat="1" ht="12.9" customHeight="1" thickBot="1" x14ac:dyDescent="0.2">
      <c r="A70" s="90" t="s">
        <v>387</v>
      </c>
      <c r="B70" s="41"/>
      <c r="C70" s="933" t="str">
        <f>IF(G65="反応型",IF(50&gt;F67,"+0",IF(60&gt;F67,"+1",IF(70&gt;F67,"+2",IF(F67&gt;=70,"+3")))),"活性補正")</f>
        <v>活性補正</v>
      </c>
      <c r="D70" s="46" t="s">
        <v>388</v>
      </c>
      <c r="E70" s="42"/>
      <c r="F70" s="934" t="str">
        <f>IF(G65="増強型",IF(50&gt;F67,"+0",IF(60&gt;F67,"+1",IF(70&gt;F67,"+2",IF(F67&gt;=70,"+3")))),"活性補正")</f>
        <v>活性補正</v>
      </c>
      <c r="G70" s="935" t="s">
        <v>605</v>
      </c>
      <c r="H70" s="935"/>
      <c r="I70" s="936" t="s">
        <v>606</v>
      </c>
      <c r="J70" s="936"/>
      <c r="K70" s="936"/>
      <c r="L70" s="936"/>
      <c r="M70" s="91" t="s">
        <v>607</v>
      </c>
      <c r="N70" s="92" t="s">
        <v>593</v>
      </c>
      <c r="O70" s="92">
        <v>0</v>
      </c>
      <c r="IL70" s="93"/>
      <c r="IM70" s="1"/>
      <c r="IN70" s="1"/>
      <c r="IO70" s="1"/>
      <c r="IP70" s="1"/>
      <c r="IQ70" s="1"/>
      <c r="IR70" s="1"/>
      <c r="IS70" s="1"/>
      <c r="IT70" s="1"/>
    </row>
    <row r="71" spans="1:254" s="98" customFormat="1" ht="12.9" customHeight="1" thickBot="1" x14ac:dyDescent="0.2">
      <c r="A71" s="21" t="s">
        <v>390</v>
      </c>
      <c r="B71" s="43"/>
      <c r="C71" s="933"/>
      <c r="D71" s="20" t="s">
        <v>391</v>
      </c>
      <c r="E71" s="44"/>
      <c r="F71" s="934"/>
      <c r="G71" s="937" t="s">
        <v>608</v>
      </c>
      <c r="H71" s="937"/>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33"/>
      <c r="D72" s="20" t="s">
        <v>394</v>
      </c>
      <c r="E72" s="44"/>
      <c r="F72" s="934"/>
      <c r="G72" s="928" t="s">
        <v>611</v>
      </c>
      <c r="H72" s="928"/>
      <c r="I72" s="100"/>
      <c r="J72" s="101"/>
      <c r="K72" s="101"/>
      <c r="L72" s="102"/>
      <c r="M72" s="103" t="s">
        <v>612</v>
      </c>
      <c r="N72" s="104" t="s">
        <v>593</v>
      </c>
      <c r="O72" s="104"/>
      <c r="IL72" s="106"/>
      <c r="IM72" s="1"/>
      <c r="IN72" s="1"/>
      <c r="IO72" s="1"/>
      <c r="IP72" s="1"/>
      <c r="IQ72" s="1"/>
      <c r="IR72" s="1"/>
      <c r="IS72" s="1"/>
      <c r="IT72" s="1"/>
    </row>
    <row r="73" spans="1:254" s="105" customFormat="1" ht="12.9" customHeight="1" x14ac:dyDescent="0.15">
      <c r="A73" s="21" t="s">
        <v>244</v>
      </c>
      <c r="B73" s="150"/>
      <c r="C73" s="927" t="str">
        <f>IF(G65="増強型",IF(50&gt;F67,"+0",IF(60&gt;F67,"+1",IF(70&gt;F67,"+2",IF(F67&gt;=70,"+3")))),"活性補正")</f>
        <v>活性補正</v>
      </c>
      <c r="D73" s="20" t="s">
        <v>613</v>
      </c>
      <c r="E73" s="150"/>
      <c r="F73" s="18"/>
      <c r="G73" s="928" t="s">
        <v>614</v>
      </c>
      <c r="H73" s="928"/>
      <c r="I73" s="107" t="s">
        <v>615</v>
      </c>
      <c r="J73" s="104"/>
      <c r="K73" s="104" t="s">
        <v>616</v>
      </c>
      <c r="L73" s="108"/>
      <c r="M73" s="103" t="s">
        <v>612</v>
      </c>
      <c r="N73" s="104" t="s">
        <v>593</v>
      </c>
      <c r="O73" s="104"/>
      <c r="IL73" s="106"/>
      <c r="IM73" s="1"/>
      <c r="IN73" s="1"/>
      <c r="IO73" s="1"/>
      <c r="IP73" s="1"/>
      <c r="IQ73" s="1"/>
      <c r="IR73" s="1"/>
      <c r="IS73" s="1"/>
      <c r="IT73" s="1"/>
    </row>
    <row r="74" spans="1:254" s="153" customFormat="1" ht="12.9" customHeight="1" thickBot="1" x14ac:dyDescent="0.2">
      <c r="A74" s="21" t="s">
        <v>392</v>
      </c>
      <c r="B74" s="150"/>
      <c r="C74" s="927"/>
      <c r="D74" s="20" t="s">
        <v>397</v>
      </c>
      <c r="E74" s="150"/>
      <c r="F74" s="109" t="str">
        <f>IF(G65="覚醒型",IF(50&gt;F67,"+0",IF(60&gt;F67,"+1",IF(70&gt;F67,"+2",IF(F67&gt;=70,"+3")))),"活性補正")</f>
        <v>活性補正</v>
      </c>
      <c r="G74" s="929" t="s">
        <v>617</v>
      </c>
      <c r="H74" s="929"/>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 customHeight="1" thickBot="1" x14ac:dyDescent="0.2">
      <c r="A78" s="959" t="s">
        <v>383</v>
      </c>
      <c r="B78" s="959"/>
      <c r="C78" s="959"/>
      <c r="D78" s="959"/>
      <c r="E78" s="960" t="s">
        <v>401</v>
      </c>
      <c r="F78" s="960"/>
      <c r="G78" s="957" t="s">
        <v>1</v>
      </c>
      <c r="H78" s="957"/>
      <c r="I78" s="957" t="s">
        <v>257</v>
      </c>
      <c r="J78" s="957"/>
      <c r="K78" s="957"/>
      <c r="L78" s="957"/>
      <c r="M78" s="958" t="s">
        <v>592</v>
      </c>
      <c r="N78" s="949" t="s">
        <v>593</v>
      </c>
      <c r="O78" s="949" t="s">
        <v>634</v>
      </c>
      <c r="P78" s="949"/>
      <c r="Q78" s="949"/>
      <c r="R78" s="949"/>
      <c r="S78" s="949"/>
      <c r="T78" s="949"/>
      <c r="U78" s="949"/>
      <c r="V78" s="949"/>
      <c r="W78" s="949"/>
      <c r="X78" s="949"/>
      <c r="Y78" s="949"/>
      <c r="Z78" s="949"/>
      <c r="AA78" s="949"/>
      <c r="AB78" s="949"/>
      <c r="AC78" s="949"/>
      <c r="AD78" s="949"/>
      <c r="AE78" s="949"/>
      <c r="AF78" s="949"/>
      <c r="AG78" s="949"/>
      <c r="AH78" s="949"/>
      <c r="AI78" s="949"/>
      <c r="AJ78" s="949"/>
      <c r="AK78" s="949"/>
      <c r="AL78" s="949"/>
      <c r="AM78" s="949"/>
      <c r="AN78" s="949"/>
      <c r="AO78" s="949"/>
      <c r="AP78" s="949"/>
      <c r="AQ78" s="949"/>
      <c r="AR78" s="949"/>
      <c r="AS78" s="949"/>
      <c r="AT78" s="949"/>
      <c r="AU78" s="949"/>
      <c r="AV78" s="949"/>
      <c r="AW78" s="949"/>
      <c r="AX78" s="949"/>
      <c r="AY78" s="949"/>
      <c r="AZ78" s="949"/>
      <c r="BA78" s="949"/>
      <c r="BB78" s="949"/>
      <c r="BC78" s="949"/>
      <c r="BD78" s="949"/>
      <c r="BE78" s="949"/>
      <c r="BF78" s="949"/>
      <c r="BG78" s="949"/>
      <c r="BH78" s="949"/>
      <c r="BI78" s="949"/>
      <c r="BJ78" s="949"/>
      <c r="BK78" s="949"/>
      <c r="BL78" s="949"/>
      <c r="BM78" s="949"/>
      <c r="BN78" s="949"/>
      <c r="BO78" s="949"/>
      <c r="BP78" s="949"/>
      <c r="BQ78" s="949"/>
      <c r="BR78" s="949"/>
      <c r="BS78" s="949"/>
      <c r="BT78" s="949"/>
      <c r="BU78" s="949"/>
      <c r="BV78" s="949"/>
      <c r="BW78" s="949"/>
      <c r="BX78" s="949"/>
      <c r="BY78" s="949"/>
      <c r="BZ78" s="949"/>
      <c r="CA78" s="949"/>
      <c r="CB78" s="949"/>
      <c r="CC78" s="949"/>
      <c r="CD78" s="949"/>
      <c r="CE78" s="949"/>
      <c r="CF78" s="949"/>
      <c r="CG78" s="949"/>
      <c r="CH78" s="949"/>
      <c r="CI78" s="949"/>
      <c r="CJ78" s="949"/>
      <c r="CK78" s="949"/>
      <c r="CL78" s="949"/>
      <c r="CM78" s="949"/>
      <c r="CN78" s="949"/>
      <c r="CO78" s="949"/>
      <c r="CP78" s="949"/>
      <c r="CQ78" s="949"/>
      <c r="CR78" s="949"/>
      <c r="CS78" s="949"/>
      <c r="CT78" s="949"/>
      <c r="CU78" s="949"/>
      <c r="CV78" s="949"/>
      <c r="CW78" s="949"/>
      <c r="CX78" s="949"/>
      <c r="CY78" s="949"/>
      <c r="CZ78" s="949"/>
      <c r="DA78" s="949"/>
      <c r="DB78" s="949"/>
      <c r="DC78" s="949"/>
      <c r="DD78" s="949"/>
      <c r="DE78" s="949"/>
      <c r="DF78" s="949"/>
      <c r="DG78" s="949"/>
      <c r="DH78" s="949"/>
      <c r="DI78" s="949"/>
      <c r="DJ78" s="949"/>
      <c r="DK78" s="949"/>
      <c r="DL78" s="949"/>
      <c r="DM78" s="949"/>
      <c r="DN78" s="949"/>
      <c r="DO78" s="949"/>
      <c r="DP78" s="949"/>
      <c r="DQ78" s="949"/>
      <c r="DR78" s="949"/>
      <c r="DS78" s="949"/>
      <c r="DT78" s="949"/>
      <c r="DU78" s="949"/>
      <c r="DV78" s="949"/>
      <c r="DW78" s="949"/>
      <c r="DX78" s="949"/>
      <c r="DY78" s="949"/>
      <c r="DZ78" s="949"/>
      <c r="EA78" s="949"/>
      <c r="EB78" s="949"/>
      <c r="EC78" s="949"/>
      <c r="ED78" s="949"/>
      <c r="EE78" s="949"/>
      <c r="EF78" s="949"/>
      <c r="EG78" s="949"/>
      <c r="EH78" s="949"/>
      <c r="EI78" s="949"/>
      <c r="EJ78" s="949"/>
      <c r="EK78" s="949"/>
      <c r="EL78" s="949"/>
      <c r="EM78" s="949"/>
      <c r="EN78" s="949"/>
      <c r="EO78" s="949"/>
      <c r="EP78" s="949"/>
      <c r="EQ78" s="949"/>
      <c r="ER78" s="949"/>
      <c r="ES78" s="949"/>
      <c r="ET78" s="949"/>
      <c r="EU78" s="949"/>
      <c r="EV78" s="949"/>
      <c r="EW78" s="949"/>
      <c r="EX78" s="949"/>
      <c r="EY78" s="949"/>
      <c r="EZ78" s="949"/>
      <c r="FA78" s="949"/>
      <c r="FB78" s="949"/>
      <c r="FC78" s="949"/>
      <c r="FD78" s="949"/>
      <c r="FE78" s="949"/>
      <c r="FF78" s="949"/>
      <c r="FG78" s="949"/>
      <c r="FH78" s="949"/>
      <c r="FI78" s="949"/>
      <c r="FJ78" s="949"/>
      <c r="FK78" s="949"/>
      <c r="FL78" s="949"/>
      <c r="FM78" s="949"/>
      <c r="FN78" s="949"/>
      <c r="FO78" s="949"/>
      <c r="FP78" s="949"/>
      <c r="FQ78" s="949"/>
      <c r="FR78" s="949"/>
      <c r="FS78" s="949"/>
      <c r="FT78" s="949"/>
      <c r="FU78" s="949"/>
      <c r="FV78" s="949"/>
      <c r="FW78" s="949"/>
      <c r="FX78" s="949"/>
      <c r="FY78" s="949"/>
      <c r="FZ78" s="949"/>
      <c r="GA78" s="949"/>
      <c r="GB78" s="949"/>
      <c r="GC78" s="949"/>
      <c r="GD78" s="949"/>
      <c r="GE78" s="949"/>
      <c r="GF78" s="949"/>
      <c r="GG78" s="949"/>
      <c r="GH78" s="949"/>
      <c r="GI78" s="949"/>
      <c r="GJ78" s="949"/>
      <c r="GK78" s="949"/>
      <c r="GL78" s="949"/>
      <c r="GM78" s="949"/>
      <c r="GN78" s="949"/>
      <c r="GO78" s="949"/>
      <c r="GP78" s="949"/>
      <c r="GQ78" s="949"/>
      <c r="GR78" s="949"/>
      <c r="GS78" s="949"/>
      <c r="GT78" s="949"/>
      <c r="GU78" s="949"/>
      <c r="GV78" s="949"/>
      <c r="GW78" s="949"/>
      <c r="GX78" s="949"/>
      <c r="GY78" s="949"/>
      <c r="GZ78" s="949"/>
      <c r="HA78" s="949"/>
      <c r="HB78" s="949"/>
      <c r="HC78" s="949"/>
      <c r="HD78" s="949"/>
      <c r="HE78" s="949"/>
      <c r="HF78" s="949"/>
      <c r="HG78" s="949"/>
      <c r="HH78" s="949"/>
      <c r="HI78" s="949"/>
      <c r="HJ78" s="949"/>
      <c r="HK78" s="949"/>
      <c r="HL78" s="949"/>
      <c r="HM78" s="949"/>
      <c r="HN78" s="949"/>
      <c r="HO78" s="949"/>
      <c r="HP78" s="949"/>
      <c r="HQ78" s="949"/>
      <c r="HR78" s="949"/>
      <c r="HS78" s="949"/>
      <c r="HT78" s="949"/>
      <c r="HU78" s="949"/>
      <c r="HV78" s="949"/>
      <c r="HW78" s="949"/>
      <c r="HX78" s="949"/>
      <c r="HY78" s="949"/>
      <c r="HZ78" s="949"/>
      <c r="IA78" s="949"/>
      <c r="IB78" s="949"/>
      <c r="IC78" s="949"/>
      <c r="ID78" s="949"/>
      <c r="IE78" s="949"/>
      <c r="IF78" s="949"/>
      <c r="IG78" s="949"/>
      <c r="IH78" s="949"/>
      <c r="II78" s="949"/>
      <c r="IJ78" s="949"/>
      <c r="IK78" s="949"/>
      <c r="IL78" s="948"/>
      <c r="IM78" s="1"/>
      <c r="IN78" s="1"/>
      <c r="IO78" s="1"/>
      <c r="IP78" s="1"/>
      <c r="IQ78" s="1"/>
      <c r="IR78" s="1"/>
      <c r="IS78" s="1"/>
      <c r="IT78" s="1"/>
    </row>
    <row r="79" spans="1:254" s="84" customFormat="1" ht="12.9" customHeight="1" thickBot="1" x14ac:dyDescent="0.2">
      <c r="A79" s="950"/>
      <c r="B79" s="950"/>
      <c r="C79" s="950"/>
      <c r="D79" s="950"/>
      <c r="E79" s="951"/>
      <c r="F79" s="951"/>
      <c r="G79" s="938" t="s">
        <v>18</v>
      </c>
      <c r="H79" s="938"/>
      <c r="I79" s="952" t="s">
        <v>243</v>
      </c>
      <c r="J79" s="952"/>
      <c r="K79" s="953" t="s">
        <v>243</v>
      </c>
      <c r="L79" s="953"/>
      <c r="M79" s="958"/>
      <c r="N79" s="949"/>
      <c r="O79" s="949"/>
      <c r="P79" s="949"/>
      <c r="Q79" s="949"/>
      <c r="R79" s="949"/>
      <c r="S79" s="949"/>
      <c r="T79" s="949"/>
      <c r="U79" s="949"/>
      <c r="V79" s="949"/>
      <c r="W79" s="949"/>
      <c r="X79" s="949"/>
      <c r="Y79" s="949"/>
      <c r="Z79" s="949"/>
      <c r="AA79" s="949"/>
      <c r="AB79" s="949"/>
      <c r="AC79" s="949"/>
      <c r="AD79" s="949"/>
      <c r="AE79" s="949"/>
      <c r="AF79" s="949"/>
      <c r="AG79" s="949"/>
      <c r="AH79" s="949"/>
      <c r="AI79" s="949"/>
      <c r="AJ79" s="949"/>
      <c r="AK79" s="949"/>
      <c r="AL79" s="949"/>
      <c r="AM79" s="949"/>
      <c r="AN79" s="949"/>
      <c r="AO79" s="949"/>
      <c r="AP79" s="949"/>
      <c r="AQ79" s="949"/>
      <c r="AR79" s="949"/>
      <c r="AS79" s="949"/>
      <c r="AT79" s="949"/>
      <c r="AU79" s="949"/>
      <c r="AV79" s="949"/>
      <c r="AW79" s="949"/>
      <c r="AX79" s="949"/>
      <c r="AY79" s="949"/>
      <c r="AZ79" s="949"/>
      <c r="BA79" s="949"/>
      <c r="BB79" s="949"/>
      <c r="BC79" s="949"/>
      <c r="BD79" s="949"/>
      <c r="BE79" s="949"/>
      <c r="BF79" s="949"/>
      <c r="BG79" s="949"/>
      <c r="BH79" s="949"/>
      <c r="BI79" s="949"/>
      <c r="BJ79" s="949"/>
      <c r="BK79" s="949"/>
      <c r="BL79" s="949"/>
      <c r="BM79" s="949"/>
      <c r="BN79" s="949"/>
      <c r="BO79" s="949"/>
      <c r="BP79" s="949"/>
      <c r="BQ79" s="949"/>
      <c r="BR79" s="949"/>
      <c r="BS79" s="949"/>
      <c r="BT79" s="949"/>
      <c r="BU79" s="949"/>
      <c r="BV79" s="949"/>
      <c r="BW79" s="949"/>
      <c r="BX79" s="949"/>
      <c r="BY79" s="949"/>
      <c r="BZ79" s="949"/>
      <c r="CA79" s="949"/>
      <c r="CB79" s="949"/>
      <c r="CC79" s="949"/>
      <c r="CD79" s="949"/>
      <c r="CE79" s="949"/>
      <c r="CF79" s="949"/>
      <c r="CG79" s="949"/>
      <c r="CH79" s="949"/>
      <c r="CI79" s="949"/>
      <c r="CJ79" s="949"/>
      <c r="CK79" s="949"/>
      <c r="CL79" s="949"/>
      <c r="CM79" s="949"/>
      <c r="CN79" s="949"/>
      <c r="CO79" s="949"/>
      <c r="CP79" s="949"/>
      <c r="CQ79" s="949"/>
      <c r="CR79" s="949"/>
      <c r="CS79" s="949"/>
      <c r="CT79" s="949"/>
      <c r="CU79" s="949"/>
      <c r="CV79" s="949"/>
      <c r="CW79" s="949"/>
      <c r="CX79" s="949"/>
      <c r="CY79" s="949"/>
      <c r="CZ79" s="949"/>
      <c r="DA79" s="949"/>
      <c r="DB79" s="949"/>
      <c r="DC79" s="949"/>
      <c r="DD79" s="949"/>
      <c r="DE79" s="949"/>
      <c r="DF79" s="949"/>
      <c r="DG79" s="949"/>
      <c r="DH79" s="949"/>
      <c r="DI79" s="949"/>
      <c r="DJ79" s="949"/>
      <c r="DK79" s="949"/>
      <c r="DL79" s="949"/>
      <c r="DM79" s="949"/>
      <c r="DN79" s="949"/>
      <c r="DO79" s="949"/>
      <c r="DP79" s="949"/>
      <c r="DQ79" s="949"/>
      <c r="DR79" s="949"/>
      <c r="DS79" s="949"/>
      <c r="DT79" s="949"/>
      <c r="DU79" s="949"/>
      <c r="DV79" s="949"/>
      <c r="DW79" s="949"/>
      <c r="DX79" s="949"/>
      <c r="DY79" s="949"/>
      <c r="DZ79" s="949"/>
      <c r="EA79" s="949"/>
      <c r="EB79" s="949"/>
      <c r="EC79" s="949"/>
      <c r="ED79" s="949"/>
      <c r="EE79" s="949"/>
      <c r="EF79" s="949"/>
      <c r="EG79" s="949"/>
      <c r="EH79" s="949"/>
      <c r="EI79" s="949"/>
      <c r="EJ79" s="949"/>
      <c r="EK79" s="949"/>
      <c r="EL79" s="949"/>
      <c r="EM79" s="949"/>
      <c r="EN79" s="949"/>
      <c r="EO79" s="949"/>
      <c r="EP79" s="949"/>
      <c r="EQ79" s="949"/>
      <c r="ER79" s="949"/>
      <c r="ES79" s="949"/>
      <c r="ET79" s="949"/>
      <c r="EU79" s="949"/>
      <c r="EV79" s="949"/>
      <c r="EW79" s="949"/>
      <c r="EX79" s="949"/>
      <c r="EY79" s="949"/>
      <c r="EZ79" s="949"/>
      <c r="FA79" s="949"/>
      <c r="FB79" s="949"/>
      <c r="FC79" s="949"/>
      <c r="FD79" s="949"/>
      <c r="FE79" s="949"/>
      <c r="FF79" s="949"/>
      <c r="FG79" s="949"/>
      <c r="FH79" s="949"/>
      <c r="FI79" s="949"/>
      <c r="FJ79" s="949"/>
      <c r="FK79" s="949"/>
      <c r="FL79" s="949"/>
      <c r="FM79" s="949"/>
      <c r="FN79" s="949"/>
      <c r="FO79" s="949"/>
      <c r="FP79" s="949"/>
      <c r="FQ79" s="949"/>
      <c r="FR79" s="949"/>
      <c r="FS79" s="949"/>
      <c r="FT79" s="949"/>
      <c r="FU79" s="949"/>
      <c r="FV79" s="949"/>
      <c r="FW79" s="949"/>
      <c r="FX79" s="949"/>
      <c r="FY79" s="949"/>
      <c r="FZ79" s="949"/>
      <c r="GA79" s="949"/>
      <c r="GB79" s="949"/>
      <c r="GC79" s="949"/>
      <c r="GD79" s="949"/>
      <c r="GE79" s="949"/>
      <c r="GF79" s="949"/>
      <c r="GG79" s="949"/>
      <c r="GH79" s="949"/>
      <c r="GI79" s="949"/>
      <c r="GJ79" s="949"/>
      <c r="GK79" s="949"/>
      <c r="GL79" s="949"/>
      <c r="GM79" s="949"/>
      <c r="GN79" s="949"/>
      <c r="GO79" s="949"/>
      <c r="GP79" s="949"/>
      <c r="GQ79" s="949"/>
      <c r="GR79" s="949"/>
      <c r="GS79" s="949"/>
      <c r="GT79" s="949"/>
      <c r="GU79" s="949"/>
      <c r="GV79" s="949"/>
      <c r="GW79" s="949"/>
      <c r="GX79" s="949"/>
      <c r="GY79" s="949"/>
      <c r="GZ79" s="949"/>
      <c r="HA79" s="949"/>
      <c r="HB79" s="949"/>
      <c r="HC79" s="949"/>
      <c r="HD79" s="949"/>
      <c r="HE79" s="949"/>
      <c r="HF79" s="949"/>
      <c r="HG79" s="949"/>
      <c r="HH79" s="949"/>
      <c r="HI79" s="949"/>
      <c r="HJ79" s="949"/>
      <c r="HK79" s="949"/>
      <c r="HL79" s="949"/>
      <c r="HM79" s="949"/>
      <c r="HN79" s="949"/>
      <c r="HO79" s="949"/>
      <c r="HP79" s="949"/>
      <c r="HQ79" s="949"/>
      <c r="HR79" s="949"/>
      <c r="HS79" s="949"/>
      <c r="HT79" s="949"/>
      <c r="HU79" s="949"/>
      <c r="HV79" s="949"/>
      <c r="HW79" s="949"/>
      <c r="HX79" s="949"/>
      <c r="HY79" s="949"/>
      <c r="HZ79" s="949"/>
      <c r="IA79" s="949"/>
      <c r="IB79" s="949"/>
      <c r="IC79" s="949"/>
      <c r="ID79" s="949"/>
      <c r="IE79" s="949"/>
      <c r="IF79" s="949"/>
      <c r="IG79" s="949"/>
      <c r="IH79" s="949"/>
      <c r="II79" s="949"/>
      <c r="IJ79" s="949"/>
      <c r="IK79" s="949"/>
      <c r="IL79" s="949"/>
      <c r="IM79" s="1"/>
      <c r="IN79" s="1"/>
      <c r="IO79" s="1"/>
      <c r="IP79" s="1"/>
      <c r="IQ79" s="1"/>
      <c r="IR79" s="1"/>
      <c r="IS79" s="1"/>
      <c r="IT79" s="1"/>
    </row>
    <row r="80" spans="1:254" s="84" customFormat="1" ht="12.9" customHeight="1" thickBot="1" x14ac:dyDescent="0.2">
      <c r="A80" s="954" t="s">
        <v>599</v>
      </c>
      <c r="B80" s="954"/>
      <c r="C80" s="955" t="s">
        <v>389</v>
      </c>
      <c r="D80" s="955"/>
      <c r="E80" s="956" t="s">
        <v>461</v>
      </c>
      <c r="F80" s="956"/>
      <c r="G80" s="944" t="s">
        <v>4</v>
      </c>
      <c r="H80" s="944"/>
      <c r="I80" s="945" t="s">
        <v>600</v>
      </c>
      <c r="J80" s="945"/>
      <c r="K80" s="946" t="s">
        <v>601</v>
      </c>
      <c r="L80" s="946"/>
      <c r="M80" s="958"/>
      <c r="N80" s="949"/>
      <c r="O80" s="949"/>
      <c r="P80" s="949"/>
      <c r="Q80" s="949"/>
      <c r="R80" s="949"/>
      <c r="S80" s="949"/>
      <c r="T80" s="949"/>
      <c r="U80" s="949"/>
      <c r="V80" s="949"/>
      <c r="W80" s="949"/>
      <c r="X80" s="949"/>
      <c r="Y80" s="949"/>
      <c r="Z80" s="949"/>
      <c r="AA80" s="949"/>
      <c r="AB80" s="949"/>
      <c r="AC80" s="949"/>
      <c r="AD80" s="949"/>
      <c r="AE80" s="949"/>
      <c r="AF80" s="949"/>
      <c r="AG80" s="949"/>
      <c r="AH80" s="949"/>
      <c r="AI80" s="949"/>
      <c r="AJ80" s="949"/>
      <c r="AK80" s="949"/>
      <c r="AL80" s="949"/>
      <c r="AM80" s="949"/>
      <c r="AN80" s="949"/>
      <c r="AO80" s="949"/>
      <c r="AP80" s="949"/>
      <c r="AQ80" s="949"/>
      <c r="AR80" s="949"/>
      <c r="AS80" s="949"/>
      <c r="AT80" s="949"/>
      <c r="AU80" s="949"/>
      <c r="AV80" s="949"/>
      <c r="AW80" s="949"/>
      <c r="AX80" s="949"/>
      <c r="AY80" s="949"/>
      <c r="AZ80" s="949"/>
      <c r="BA80" s="949"/>
      <c r="BB80" s="949"/>
      <c r="BC80" s="949"/>
      <c r="BD80" s="949"/>
      <c r="BE80" s="949"/>
      <c r="BF80" s="949"/>
      <c r="BG80" s="949"/>
      <c r="BH80" s="949"/>
      <c r="BI80" s="949"/>
      <c r="BJ80" s="949"/>
      <c r="BK80" s="949"/>
      <c r="BL80" s="949"/>
      <c r="BM80" s="949"/>
      <c r="BN80" s="949"/>
      <c r="BO80" s="949"/>
      <c r="BP80" s="949"/>
      <c r="BQ80" s="949"/>
      <c r="BR80" s="949"/>
      <c r="BS80" s="949"/>
      <c r="BT80" s="949"/>
      <c r="BU80" s="949"/>
      <c r="BV80" s="949"/>
      <c r="BW80" s="949"/>
      <c r="BX80" s="949"/>
      <c r="BY80" s="949"/>
      <c r="BZ80" s="949"/>
      <c r="CA80" s="949"/>
      <c r="CB80" s="949"/>
      <c r="CC80" s="949"/>
      <c r="CD80" s="949"/>
      <c r="CE80" s="949"/>
      <c r="CF80" s="949"/>
      <c r="CG80" s="949"/>
      <c r="CH80" s="949"/>
      <c r="CI80" s="949"/>
      <c r="CJ80" s="949"/>
      <c r="CK80" s="949"/>
      <c r="CL80" s="949"/>
      <c r="CM80" s="949"/>
      <c r="CN80" s="949"/>
      <c r="CO80" s="949"/>
      <c r="CP80" s="949"/>
      <c r="CQ80" s="949"/>
      <c r="CR80" s="949"/>
      <c r="CS80" s="949"/>
      <c r="CT80" s="949"/>
      <c r="CU80" s="949"/>
      <c r="CV80" s="949"/>
      <c r="CW80" s="949"/>
      <c r="CX80" s="949"/>
      <c r="CY80" s="949"/>
      <c r="CZ80" s="949"/>
      <c r="DA80" s="949"/>
      <c r="DB80" s="949"/>
      <c r="DC80" s="949"/>
      <c r="DD80" s="949"/>
      <c r="DE80" s="949"/>
      <c r="DF80" s="949"/>
      <c r="DG80" s="949"/>
      <c r="DH80" s="949"/>
      <c r="DI80" s="949"/>
      <c r="DJ80" s="949"/>
      <c r="DK80" s="949"/>
      <c r="DL80" s="949"/>
      <c r="DM80" s="949"/>
      <c r="DN80" s="949"/>
      <c r="DO80" s="949"/>
      <c r="DP80" s="949"/>
      <c r="DQ80" s="949"/>
      <c r="DR80" s="949"/>
      <c r="DS80" s="949"/>
      <c r="DT80" s="949"/>
      <c r="DU80" s="949"/>
      <c r="DV80" s="949"/>
      <c r="DW80" s="949"/>
      <c r="DX80" s="949"/>
      <c r="DY80" s="949"/>
      <c r="DZ80" s="949"/>
      <c r="EA80" s="949"/>
      <c r="EB80" s="949"/>
      <c r="EC80" s="949"/>
      <c r="ED80" s="949"/>
      <c r="EE80" s="949"/>
      <c r="EF80" s="949"/>
      <c r="EG80" s="949"/>
      <c r="EH80" s="949"/>
      <c r="EI80" s="949"/>
      <c r="EJ80" s="949"/>
      <c r="EK80" s="949"/>
      <c r="EL80" s="949"/>
      <c r="EM80" s="949"/>
      <c r="EN80" s="949"/>
      <c r="EO80" s="949"/>
      <c r="EP80" s="949"/>
      <c r="EQ80" s="949"/>
      <c r="ER80" s="949"/>
      <c r="ES80" s="949"/>
      <c r="ET80" s="949"/>
      <c r="EU80" s="949"/>
      <c r="EV80" s="949"/>
      <c r="EW80" s="949"/>
      <c r="EX80" s="949"/>
      <c r="EY80" s="949"/>
      <c r="EZ80" s="949"/>
      <c r="FA80" s="949"/>
      <c r="FB80" s="949"/>
      <c r="FC80" s="949"/>
      <c r="FD80" s="949"/>
      <c r="FE80" s="949"/>
      <c r="FF80" s="949"/>
      <c r="FG80" s="949"/>
      <c r="FH80" s="949"/>
      <c r="FI80" s="949"/>
      <c r="FJ80" s="949"/>
      <c r="FK80" s="949"/>
      <c r="FL80" s="949"/>
      <c r="FM80" s="949"/>
      <c r="FN80" s="949"/>
      <c r="FO80" s="949"/>
      <c r="FP80" s="949"/>
      <c r="FQ80" s="949"/>
      <c r="FR80" s="949"/>
      <c r="FS80" s="949"/>
      <c r="FT80" s="949"/>
      <c r="FU80" s="949"/>
      <c r="FV80" s="949"/>
      <c r="FW80" s="949"/>
      <c r="FX80" s="949"/>
      <c r="FY80" s="949"/>
      <c r="FZ80" s="949"/>
      <c r="GA80" s="949"/>
      <c r="GB80" s="949"/>
      <c r="GC80" s="949"/>
      <c r="GD80" s="949"/>
      <c r="GE80" s="949"/>
      <c r="GF80" s="949"/>
      <c r="GG80" s="949"/>
      <c r="GH80" s="949"/>
      <c r="GI80" s="949"/>
      <c r="GJ80" s="949"/>
      <c r="GK80" s="949"/>
      <c r="GL80" s="949"/>
      <c r="GM80" s="949"/>
      <c r="GN80" s="949"/>
      <c r="GO80" s="949"/>
      <c r="GP80" s="949"/>
      <c r="GQ80" s="949"/>
      <c r="GR80" s="949"/>
      <c r="GS80" s="949"/>
      <c r="GT80" s="949"/>
      <c r="GU80" s="949"/>
      <c r="GV80" s="949"/>
      <c r="GW80" s="949"/>
      <c r="GX80" s="949"/>
      <c r="GY80" s="949"/>
      <c r="GZ80" s="949"/>
      <c r="HA80" s="949"/>
      <c r="HB80" s="949"/>
      <c r="HC80" s="949"/>
      <c r="HD80" s="949"/>
      <c r="HE80" s="949"/>
      <c r="HF80" s="949"/>
      <c r="HG80" s="949"/>
      <c r="HH80" s="949"/>
      <c r="HI80" s="949"/>
      <c r="HJ80" s="949"/>
      <c r="HK80" s="949"/>
      <c r="HL80" s="949"/>
      <c r="HM80" s="949"/>
      <c r="HN80" s="949"/>
      <c r="HO80" s="949"/>
      <c r="HP80" s="949"/>
      <c r="HQ80" s="949"/>
      <c r="HR80" s="949"/>
      <c r="HS80" s="949"/>
      <c r="HT80" s="949"/>
      <c r="HU80" s="949"/>
      <c r="HV80" s="949"/>
      <c r="HW80" s="949"/>
      <c r="HX80" s="949"/>
      <c r="HY80" s="949"/>
      <c r="HZ80" s="949"/>
      <c r="IA80" s="949"/>
      <c r="IB80" s="949"/>
      <c r="IC80" s="949"/>
      <c r="ID80" s="949"/>
      <c r="IE80" s="949"/>
      <c r="IF80" s="949"/>
      <c r="IG80" s="949"/>
      <c r="IH80" s="949"/>
      <c r="II80" s="949"/>
      <c r="IJ80" s="949"/>
      <c r="IK80" s="949"/>
      <c r="IL80" s="949"/>
      <c r="IM80" s="1"/>
      <c r="IN80" s="1"/>
      <c r="IO80" s="1"/>
      <c r="IP80" s="1"/>
      <c r="IQ80" s="1"/>
      <c r="IR80" s="1"/>
      <c r="IS80" s="1"/>
      <c r="IT80" s="1"/>
    </row>
    <row r="81" spans="1:254" s="84" customFormat="1" ht="12.9" customHeight="1" thickBot="1" x14ac:dyDescent="0.2">
      <c r="A81" s="85">
        <f>B81+SUM(O85:IL85)</f>
        <v>0</v>
      </c>
      <c r="B81" s="9">
        <f>J85+L85</f>
        <v>0</v>
      </c>
      <c r="C81" s="86">
        <f>D81-SUM(O86:IL86)+SUM(O87:IL87)</f>
        <v>0</v>
      </c>
      <c r="D81" s="10">
        <f>J87+L87</f>
        <v>0</v>
      </c>
      <c r="E81" s="11">
        <f>J88+L88</f>
        <v>0</v>
      </c>
      <c r="F81" s="12">
        <f>E81+SUM(O88:IL88)</f>
        <v>0</v>
      </c>
      <c r="G81" s="938" t="s">
        <v>18</v>
      </c>
      <c r="H81" s="938"/>
      <c r="I81" s="939" t="s">
        <v>18</v>
      </c>
      <c r="J81" s="939"/>
      <c r="K81" s="940" t="s">
        <v>18</v>
      </c>
      <c r="L81" s="940"/>
      <c r="M81" s="958"/>
      <c r="N81" s="958"/>
      <c r="O81" s="949"/>
      <c r="P81" s="949"/>
      <c r="Q81" s="949"/>
      <c r="R81" s="949"/>
      <c r="S81" s="949"/>
      <c r="T81" s="949"/>
      <c r="U81" s="949"/>
      <c r="V81" s="949"/>
      <c r="W81" s="949"/>
      <c r="X81" s="949"/>
      <c r="Y81" s="949"/>
      <c r="Z81" s="949"/>
      <c r="AA81" s="949"/>
      <c r="AB81" s="949"/>
      <c r="AC81" s="949"/>
      <c r="AD81" s="949"/>
      <c r="AE81" s="949"/>
      <c r="AF81" s="949"/>
      <c r="AG81" s="949"/>
      <c r="AH81" s="949"/>
      <c r="AI81" s="949"/>
      <c r="AJ81" s="949"/>
      <c r="AK81" s="949"/>
      <c r="AL81" s="949"/>
      <c r="AM81" s="949"/>
      <c r="AN81" s="949"/>
      <c r="AO81" s="949"/>
      <c r="AP81" s="949"/>
      <c r="AQ81" s="949"/>
      <c r="AR81" s="949"/>
      <c r="AS81" s="949"/>
      <c r="AT81" s="949"/>
      <c r="AU81" s="949"/>
      <c r="AV81" s="949"/>
      <c r="AW81" s="949"/>
      <c r="AX81" s="949"/>
      <c r="AY81" s="949"/>
      <c r="AZ81" s="949"/>
      <c r="BA81" s="949"/>
      <c r="BB81" s="949"/>
      <c r="BC81" s="949"/>
      <c r="BD81" s="949"/>
      <c r="BE81" s="949"/>
      <c r="BF81" s="949"/>
      <c r="BG81" s="949"/>
      <c r="BH81" s="949"/>
      <c r="BI81" s="949"/>
      <c r="BJ81" s="949"/>
      <c r="BK81" s="949"/>
      <c r="BL81" s="949"/>
      <c r="BM81" s="949"/>
      <c r="BN81" s="949"/>
      <c r="BO81" s="949"/>
      <c r="BP81" s="949"/>
      <c r="BQ81" s="949"/>
      <c r="BR81" s="949"/>
      <c r="BS81" s="949"/>
      <c r="BT81" s="949"/>
      <c r="BU81" s="949"/>
      <c r="BV81" s="949"/>
      <c r="BW81" s="949"/>
      <c r="BX81" s="949"/>
      <c r="BY81" s="949"/>
      <c r="BZ81" s="949"/>
      <c r="CA81" s="949"/>
      <c r="CB81" s="949"/>
      <c r="CC81" s="949"/>
      <c r="CD81" s="949"/>
      <c r="CE81" s="949"/>
      <c r="CF81" s="949"/>
      <c r="CG81" s="949"/>
      <c r="CH81" s="949"/>
      <c r="CI81" s="949"/>
      <c r="CJ81" s="949"/>
      <c r="CK81" s="949"/>
      <c r="CL81" s="949"/>
      <c r="CM81" s="949"/>
      <c r="CN81" s="949"/>
      <c r="CO81" s="949"/>
      <c r="CP81" s="949"/>
      <c r="CQ81" s="949"/>
      <c r="CR81" s="949"/>
      <c r="CS81" s="949"/>
      <c r="CT81" s="949"/>
      <c r="CU81" s="949"/>
      <c r="CV81" s="949"/>
      <c r="CW81" s="949"/>
      <c r="CX81" s="949"/>
      <c r="CY81" s="949"/>
      <c r="CZ81" s="949"/>
      <c r="DA81" s="949"/>
      <c r="DB81" s="949"/>
      <c r="DC81" s="949"/>
      <c r="DD81" s="949"/>
      <c r="DE81" s="949"/>
      <c r="DF81" s="949"/>
      <c r="DG81" s="949"/>
      <c r="DH81" s="949"/>
      <c r="DI81" s="949"/>
      <c r="DJ81" s="949"/>
      <c r="DK81" s="949"/>
      <c r="DL81" s="949"/>
      <c r="DM81" s="949"/>
      <c r="DN81" s="949"/>
      <c r="DO81" s="949"/>
      <c r="DP81" s="949"/>
      <c r="DQ81" s="949"/>
      <c r="DR81" s="949"/>
      <c r="DS81" s="949"/>
      <c r="DT81" s="949"/>
      <c r="DU81" s="949"/>
      <c r="DV81" s="949"/>
      <c r="DW81" s="949"/>
      <c r="DX81" s="949"/>
      <c r="DY81" s="949"/>
      <c r="DZ81" s="949"/>
      <c r="EA81" s="949"/>
      <c r="EB81" s="949"/>
      <c r="EC81" s="949"/>
      <c r="ED81" s="949"/>
      <c r="EE81" s="949"/>
      <c r="EF81" s="949"/>
      <c r="EG81" s="949"/>
      <c r="EH81" s="949"/>
      <c r="EI81" s="949"/>
      <c r="EJ81" s="949"/>
      <c r="EK81" s="949"/>
      <c r="EL81" s="949"/>
      <c r="EM81" s="949"/>
      <c r="EN81" s="949"/>
      <c r="EO81" s="949"/>
      <c r="EP81" s="949"/>
      <c r="EQ81" s="949"/>
      <c r="ER81" s="949"/>
      <c r="ES81" s="949"/>
      <c r="ET81" s="949"/>
      <c r="EU81" s="949"/>
      <c r="EV81" s="949"/>
      <c r="EW81" s="949"/>
      <c r="EX81" s="949"/>
      <c r="EY81" s="949"/>
      <c r="EZ81" s="949"/>
      <c r="FA81" s="949"/>
      <c r="FB81" s="949"/>
      <c r="FC81" s="949"/>
      <c r="FD81" s="949"/>
      <c r="FE81" s="949"/>
      <c r="FF81" s="949"/>
      <c r="FG81" s="949"/>
      <c r="FH81" s="949"/>
      <c r="FI81" s="949"/>
      <c r="FJ81" s="949"/>
      <c r="FK81" s="949"/>
      <c r="FL81" s="949"/>
      <c r="FM81" s="949"/>
      <c r="FN81" s="949"/>
      <c r="FO81" s="949"/>
      <c r="FP81" s="949"/>
      <c r="FQ81" s="949"/>
      <c r="FR81" s="949"/>
      <c r="FS81" s="949"/>
      <c r="FT81" s="949"/>
      <c r="FU81" s="949"/>
      <c r="FV81" s="949"/>
      <c r="FW81" s="949"/>
      <c r="FX81" s="949"/>
      <c r="FY81" s="949"/>
      <c r="FZ81" s="949"/>
      <c r="GA81" s="949"/>
      <c r="GB81" s="949"/>
      <c r="GC81" s="949"/>
      <c r="GD81" s="949"/>
      <c r="GE81" s="949"/>
      <c r="GF81" s="949"/>
      <c r="GG81" s="949"/>
      <c r="GH81" s="949"/>
      <c r="GI81" s="949"/>
      <c r="GJ81" s="949"/>
      <c r="GK81" s="949"/>
      <c r="GL81" s="949"/>
      <c r="GM81" s="949"/>
      <c r="GN81" s="949"/>
      <c r="GO81" s="949"/>
      <c r="GP81" s="949"/>
      <c r="GQ81" s="949"/>
      <c r="GR81" s="949"/>
      <c r="GS81" s="949"/>
      <c r="GT81" s="949"/>
      <c r="GU81" s="949"/>
      <c r="GV81" s="949"/>
      <c r="GW81" s="949"/>
      <c r="GX81" s="949"/>
      <c r="GY81" s="949"/>
      <c r="GZ81" s="949"/>
      <c r="HA81" s="949"/>
      <c r="HB81" s="949"/>
      <c r="HC81" s="949"/>
      <c r="HD81" s="949"/>
      <c r="HE81" s="949"/>
      <c r="HF81" s="949"/>
      <c r="HG81" s="949"/>
      <c r="HH81" s="949"/>
      <c r="HI81" s="949"/>
      <c r="HJ81" s="949"/>
      <c r="HK81" s="949"/>
      <c r="HL81" s="949"/>
      <c r="HM81" s="949"/>
      <c r="HN81" s="949"/>
      <c r="HO81" s="949"/>
      <c r="HP81" s="949"/>
      <c r="HQ81" s="949"/>
      <c r="HR81" s="949"/>
      <c r="HS81" s="949"/>
      <c r="HT81" s="949"/>
      <c r="HU81" s="949"/>
      <c r="HV81" s="949"/>
      <c r="HW81" s="949"/>
      <c r="HX81" s="949"/>
      <c r="HY81" s="949"/>
      <c r="HZ81" s="949"/>
      <c r="IA81" s="949"/>
      <c r="IB81" s="949"/>
      <c r="IC81" s="949"/>
      <c r="ID81" s="949"/>
      <c r="IE81" s="949"/>
      <c r="IF81" s="949"/>
      <c r="IG81" s="949"/>
      <c r="IH81" s="949"/>
      <c r="II81" s="949"/>
      <c r="IJ81" s="949"/>
      <c r="IK81" s="949"/>
      <c r="IL81" s="949"/>
      <c r="IM81" s="1"/>
      <c r="IN81" s="1"/>
      <c r="IO81" s="1"/>
      <c r="IP81" s="1"/>
      <c r="IQ81" s="1"/>
      <c r="IR81" s="1"/>
      <c r="IS81" s="1"/>
      <c r="IT81" s="1"/>
    </row>
    <row r="82" spans="1:254" s="84" customFormat="1" ht="12" customHeight="1" thickBot="1" x14ac:dyDescent="0.2">
      <c r="A82" s="941" t="s">
        <v>395</v>
      </c>
      <c r="B82" s="942"/>
      <c r="C82" s="87" t="s">
        <v>602</v>
      </c>
      <c r="D82" s="88" t="s">
        <v>603</v>
      </c>
      <c r="E82" s="943" t="str">
        <f>IF(F81&lt;100,IF(F81&lt;50,"通常状態",IF(F81&lt;60,"暴走Lv1 ",IF(F81&lt;70,"暴走Lv2",IF(F81&lt;80,"暴走Lv3",IF(F81&lt;90,"暴走Lv4","暴走Lv5"))))),IF(F81&lt;110,"臨界Lv1",IF(F81&lt;120,"臨界Lv2",IF(F81&lt;130,"臨界Lv3",IF(F81&lt;140,"臨界Lv4",IF(F81&lt;150,"臨界Lv5",IF(F81&lt;150,"活性Lv5","因子崩壊")))))))</f>
        <v>通常状態</v>
      </c>
      <c r="F82" s="943"/>
      <c r="G82" s="944" t="s">
        <v>15</v>
      </c>
      <c r="H82" s="944"/>
      <c r="I82" s="945" t="s">
        <v>415</v>
      </c>
      <c r="J82" s="945"/>
      <c r="K82" s="946" t="s">
        <v>604</v>
      </c>
      <c r="L82" s="946"/>
      <c r="M82" s="958"/>
      <c r="N82" s="958"/>
      <c r="O82" s="949"/>
      <c r="P82" s="949"/>
      <c r="Q82" s="949"/>
      <c r="R82" s="949"/>
      <c r="S82" s="949"/>
      <c r="T82" s="949"/>
      <c r="U82" s="949"/>
      <c r="V82" s="949"/>
      <c r="W82" s="949"/>
      <c r="X82" s="949"/>
      <c r="Y82" s="949"/>
      <c r="Z82" s="949"/>
      <c r="AA82" s="949"/>
      <c r="AB82" s="949"/>
      <c r="AC82" s="949"/>
      <c r="AD82" s="949"/>
      <c r="AE82" s="949"/>
      <c r="AF82" s="949"/>
      <c r="AG82" s="949"/>
      <c r="AH82" s="949"/>
      <c r="AI82" s="949"/>
      <c r="AJ82" s="949"/>
      <c r="AK82" s="949"/>
      <c r="AL82" s="949"/>
      <c r="AM82" s="949"/>
      <c r="AN82" s="949"/>
      <c r="AO82" s="949"/>
      <c r="AP82" s="949"/>
      <c r="AQ82" s="949"/>
      <c r="AR82" s="949"/>
      <c r="AS82" s="949"/>
      <c r="AT82" s="949"/>
      <c r="AU82" s="949"/>
      <c r="AV82" s="949"/>
      <c r="AW82" s="949"/>
      <c r="AX82" s="949"/>
      <c r="AY82" s="949"/>
      <c r="AZ82" s="949"/>
      <c r="BA82" s="949"/>
      <c r="BB82" s="949"/>
      <c r="BC82" s="949"/>
      <c r="BD82" s="949"/>
      <c r="BE82" s="949"/>
      <c r="BF82" s="949"/>
      <c r="BG82" s="949"/>
      <c r="BH82" s="949"/>
      <c r="BI82" s="949"/>
      <c r="BJ82" s="949"/>
      <c r="BK82" s="949"/>
      <c r="BL82" s="949"/>
      <c r="BM82" s="949"/>
      <c r="BN82" s="949"/>
      <c r="BO82" s="949"/>
      <c r="BP82" s="949"/>
      <c r="BQ82" s="949"/>
      <c r="BR82" s="949"/>
      <c r="BS82" s="949"/>
      <c r="BT82" s="949"/>
      <c r="BU82" s="949"/>
      <c r="BV82" s="949"/>
      <c r="BW82" s="949"/>
      <c r="BX82" s="949"/>
      <c r="BY82" s="949"/>
      <c r="BZ82" s="949"/>
      <c r="CA82" s="949"/>
      <c r="CB82" s="949"/>
      <c r="CC82" s="949"/>
      <c r="CD82" s="949"/>
      <c r="CE82" s="949"/>
      <c r="CF82" s="949"/>
      <c r="CG82" s="949"/>
      <c r="CH82" s="949"/>
      <c r="CI82" s="949"/>
      <c r="CJ82" s="949"/>
      <c r="CK82" s="949"/>
      <c r="CL82" s="949"/>
      <c r="CM82" s="949"/>
      <c r="CN82" s="949"/>
      <c r="CO82" s="949"/>
      <c r="CP82" s="949"/>
      <c r="CQ82" s="949"/>
      <c r="CR82" s="949"/>
      <c r="CS82" s="949"/>
      <c r="CT82" s="949"/>
      <c r="CU82" s="949"/>
      <c r="CV82" s="949"/>
      <c r="CW82" s="949"/>
      <c r="CX82" s="949"/>
      <c r="CY82" s="949"/>
      <c r="CZ82" s="949"/>
      <c r="DA82" s="949"/>
      <c r="DB82" s="949"/>
      <c r="DC82" s="949"/>
      <c r="DD82" s="949"/>
      <c r="DE82" s="949"/>
      <c r="DF82" s="949"/>
      <c r="DG82" s="949"/>
      <c r="DH82" s="949"/>
      <c r="DI82" s="949"/>
      <c r="DJ82" s="949"/>
      <c r="DK82" s="949"/>
      <c r="DL82" s="949"/>
      <c r="DM82" s="949"/>
      <c r="DN82" s="949"/>
      <c r="DO82" s="949"/>
      <c r="DP82" s="949"/>
      <c r="DQ82" s="949"/>
      <c r="DR82" s="949"/>
      <c r="DS82" s="949"/>
      <c r="DT82" s="949"/>
      <c r="DU82" s="949"/>
      <c r="DV82" s="949"/>
      <c r="DW82" s="949"/>
      <c r="DX82" s="949"/>
      <c r="DY82" s="949"/>
      <c r="DZ82" s="949"/>
      <c r="EA82" s="949"/>
      <c r="EB82" s="949"/>
      <c r="EC82" s="949"/>
      <c r="ED82" s="949"/>
      <c r="EE82" s="949"/>
      <c r="EF82" s="949"/>
      <c r="EG82" s="949"/>
      <c r="EH82" s="949"/>
      <c r="EI82" s="949"/>
      <c r="EJ82" s="949"/>
      <c r="EK82" s="949"/>
      <c r="EL82" s="949"/>
      <c r="EM82" s="949"/>
      <c r="EN82" s="949"/>
      <c r="EO82" s="949"/>
      <c r="EP82" s="949"/>
      <c r="EQ82" s="949"/>
      <c r="ER82" s="949"/>
      <c r="ES82" s="949"/>
      <c r="ET82" s="949"/>
      <c r="EU82" s="949"/>
      <c r="EV82" s="949"/>
      <c r="EW82" s="949"/>
      <c r="EX82" s="949"/>
      <c r="EY82" s="949"/>
      <c r="EZ82" s="949"/>
      <c r="FA82" s="949"/>
      <c r="FB82" s="949"/>
      <c r="FC82" s="949"/>
      <c r="FD82" s="949"/>
      <c r="FE82" s="949"/>
      <c r="FF82" s="949"/>
      <c r="FG82" s="949"/>
      <c r="FH82" s="949"/>
      <c r="FI82" s="949"/>
      <c r="FJ82" s="949"/>
      <c r="FK82" s="949"/>
      <c r="FL82" s="949"/>
      <c r="FM82" s="949"/>
      <c r="FN82" s="949"/>
      <c r="FO82" s="949"/>
      <c r="FP82" s="949"/>
      <c r="FQ82" s="949"/>
      <c r="FR82" s="949"/>
      <c r="FS82" s="949"/>
      <c r="FT82" s="949"/>
      <c r="FU82" s="949"/>
      <c r="FV82" s="949"/>
      <c r="FW82" s="949"/>
      <c r="FX82" s="949"/>
      <c r="FY82" s="949"/>
      <c r="FZ82" s="949"/>
      <c r="GA82" s="949"/>
      <c r="GB82" s="949"/>
      <c r="GC82" s="949"/>
      <c r="GD82" s="949"/>
      <c r="GE82" s="949"/>
      <c r="GF82" s="949"/>
      <c r="GG82" s="949"/>
      <c r="GH82" s="949"/>
      <c r="GI82" s="949"/>
      <c r="GJ82" s="949"/>
      <c r="GK82" s="949"/>
      <c r="GL82" s="949"/>
      <c r="GM82" s="949"/>
      <c r="GN82" s="949"/>
      <c r="GO82" s="949"/>
      <c r="GP82" s="949"/>
      <c r="GQ82" s="949"/>
      <c r="GR82" s="949"/>
      <c r="GS82" s="949"/>
      <c r="GT82" s="949"/>
      <c r="GU82" s="949"/>
      <c r="GV82" s="949"/>
      <c r="GW82" s="949"/>
      <c r="GX82" s="949"/>
      <c r="GY82" s="949"/>
      <c r="GZ82" s="949"/>
      <c r="HA82" s="949"/>
      <c r="HB82" s="949"/>
      <c r="HC82" s="949"/>
      <c r="HD82" s="949"/>
      <c r="HE82" s="949"/>
      <c r="HF82" s="949"/>
      <c r="HG82" s="949"/>
      <c r="HH82" s="949"/>
      <c r="HI82" s="949"/>
      <c r="HJ82" s="949"/>
      <c r="HK82" s="949"/>
      <c r="HL82" s="949"/>
      <c r="HM82" s="949"/>
      <c r="HN82" s="949"/>
      <c r="HO82" s="949"/>
      <c r="HP82" s="949"/>
      <c r="HQ82" s="949"/>
      <c r="HR82" s="949"/>
      <c r="HS82" s="949"/>
      <c r="HT82" s="949"/>
      <c r="HU82" s="949"/>
      <c r="HV82" s="949"/>
      <c r="HW82" s="949"/>
      <c r="HX82" s="949"/>
      <c r="HY82" s="949"/>
      <c r="HZ82" s="949"/>
      <c r="IA82" s="949"/>
      <c r="IB82" s="949"/>
      <c r="IC82" s="949"/>
      <c r="ID82" s="949"/>
      <c r="IE82" s="949"/>
      <c r="IF82" s="949"/>
      <c r="IG82" s="949"/>
      <c r="IH82" s="949"/>
      <c r="II82" s="949"/>
      <c r="IJ82" s="949"/>
      <c r="IK82" s="949"/>
      <c r="IL82" s="949"/>
      <c r="IM82" s="1"/>
      <c r="IN82" s="1"/>
      <c r="IO82" s="1"/>
      <c r="IP82" s="1"/>
      <c r="IQ82" s="1"/>
      <c r="IR82" s="1"/>
      <c r="IS82" s="1"/>
      <c r="IT82" s="1"/>
    </row>
    <row r="83" spans="1:254" s="84" customFormat="1" ht="12.9" customHeight="1" thickBot="1" x14ac:dyDescent="0.2">
      <c r="A83" s="941"/>
      <c r="B83" s="942"/>
      <c r="C83" s="89">
        <f>SUM(L86:IQ86)</f>
        <v>0</v>
      </c>
      <c r="D83" s="13">
        <f>ROUNDDOWN((C83/5),0)+SUM(I84:IL84)</f>
        <v>0</v>
      </c>
      <c r="E83" s="947" t="str">
        <f>IF(F81&lt;50,"未活性",IF(F81&lt;60,"活性Lv1",IF(F81&lt;70,"活性Lv2",IF(F81&lt;80,"活性Lv3",IF(F81&lt;90,"活性Lv4",IF(F81&lt;100,"活性Lv5",IF(F81&lt;150,"活性Lv5","強制キャラロスト")))))))</f>
        <v>未活性</v>
      </c>
      <c r="F83" s="947"/>
      <c r="G83" s="930" t="s">
        <v>18</v>
      </c>
      <c r="H83" s="930"/>
      <c r="I83" s="931" t="s">
        <v>18</v>
      </c>
      <c r="J83" s="931"/>
      <c r="K83" s="932" t="str">
        <f>IF(OR(A81&lt;=B81/2,F81&gt;=90),IF(F81&gt;=120,"オーバーフロー","発動中"),"-")</f>
        <v>発動中</v>
      </c>
      <c r="L83" s="932"/>
      <c r="M83" s="958"/>
      <c r="N83" s="958"/>
      <c r="O83" s="949"/>
      <c r="P83" s="949"/>
      <c r="Q83" s="949"/>
      <c r="R83" s="949"/>
      <c r="S83" s="949"/>
      <c r="T83" s="949"/>
      <c r="U83" s="949"/>
      <c r="V83" s="949"/>
      <c r="W83" s="949"/>
      <c r="X83" s="949"/>
      <c r="Y83" s="949"/>
      <c r="Z83" s="949"/>
      <c r="AA83" s="949"/>
      <c r="AB83" s="949"/>
      <c r="AC83" s="949"/>
      <c r="AD83" s="949"/>
      <c r="AE83" s="949"/>
      <c r="AF83" s="949"/>
      <c r="AG83" s="949"/>
      <c r="AH83" s="949"/>
      <c r="AI83" s="949"/>
      <c r="AJ83" s="949"/>
      <c r="AK83" s="949"/>
      <c r="AL83" s="949"/>
      <c r="AM83" s="949"/>
      <c r="AN83" s="949"/>
      <c r="AO83" s="949"/>
      <c r="AP83" s="949"/>
      <c r="AQ83" s="949"/>
      <c r="AR83" s="949"/>
      <c r="AS83" s="949"/>
      <c r="AT83" s="949"/>
      <c r="AU83" s="949"/>
      <c r="AV83" s="949"/>
      <c r="AW83" s="949"/>
      <c r="AX83" s="949"/>
      <c r="AY83" s="949"/>
      <c r="AZ83" s="949"/>
      <c r="BA83" s="949"/>
      <c r="BB83" s="949"/>
      <c r="BC83" s="949"/>
      <c r="BD83" s="949"/>
      <c r="BE83" s="949"/>
      <c r="BF83" s="949"/>
      <c r="BG83" s="949"/>
      <c r="BH83" s="949"/>
      <c r="BI83" s="949"/>
      <c r="BJ83" s="949"/>
      <c r="BK83" s="949"/>
      <c r="BL83" s="949"/>
      <c r="BM83" s="949"/>
      <c r="BN83" s="949"/>
      <c r="BO83" s="949"/>
      <c r="BP83" s="949"/>
      <c r="BQ83" s="949"/>
      <c r="BR83" s="949"/>
      <c r="BS83" s="949"/>
      <c r="BT83" s="949"/>
      <c r="BU83" s="949"/>
      <c r="BV83" s="949"/>
      <c r="BW83" s="949"/>
      <c r="BX83" s="949"/>
      <c r="BY83" s="949"/>
      <c r="BZ83" s="949"/>
      <c r="CA83" s="949"/>
      <c r="CB83" s="949"/>
      <c r="CC83" s="949"/>
      <c r="CD83" s="949"/>
      <c r="CE83" s="949"/>
      <c r="CF83" s="949"/>
      <c r="CG83" s="949"/>
      <c r="CH83" s="949"/>
      <c r="CI83" s="949"/>
      <c r="CJ83" s="949"/>
      <c r="CK83" s="949"/>
      <c r="CL83" s="949"/>
      <c r="CM83" s="949"/>
      <c r="CN83" s="949"/>
      <c r="CO83" s="949"/>
      <c r="CP83" s="949"/>
      <c r="CQ83" s="949"/>
      <c r="CR83" s="949"/>
      <c r="CS83" s="949"/>
      <c r="CT83" s="949"/>
      <c r="CU83" s="949"/>
      <c r="CV83" s="949"/>
      <c r="CW83" s="949"/>
      <c r="CX83" s="949"/>
      <c r="CY83" s="949"/>
      <c r="CZ83" s="949"/>
      <c r="DA83" s="949"/>
      <c r="DB83" s="949"/>
      <c r="DC83" s="949"/>
      <c r="DD83" s="949"/>
      <c r="DE83" s="949"/>
      <c r="DF83" s="949"/>
      <c r="DG83" s="949"/>
      <c r="DH83" s="949"/>
      <c r="DI83" s="949"/>
      <c r="DJ83" s="949"/>
      <c r="DK83" s="949"/>
      <c r="DL83" s="949"/>
      <c r="DM83" s="949"/>
      <c r="DN83" s="949"/>
      <c r="DO83" s="949"/>
      <c r="DP83" s="949"/>
      <c r="DQ83" s="949"/>
      <c r="DR83" s="949"/>
      <c r="DS83" s="949"/>
      <c r="DT83" s="949"/>
      <c r="DU83" s="949"/>
      <c r="DV83" s="949"/>
      <c r="DW83" s="949"/>
      <c r="DX83" s="949"/>
      <c r="DY83" s="949"/>
      <c r="DZ83" s="949"/>
      <c r="EA83" s="949"/>
      <c r="EB83" s="949"/>
      <c r="EC83" s="949"/>
      <c r="ED83" s="949"/>
      <c r="EE83" s="949"/>
      <c r="EF83" s="949"/>
      <c r="EG83" s="949"/>
      <c r="EH83" s="949"/>
      <c r="EI83" s="949"/>
      <c r="EJ83" s="949"/>
      <c r="EK83" s="949"/>
      <c r="EL83" s="949"/>
      <c r="EM83" s="949"/>
      <c r="EN83" s="949"/>
      <c r="EO83" s="949"/>
      <c r="EP83" s="949"/>
      <c r="EQ83" s="949"/>
      <c r="ER83" s="949"/>
      <c r="ES83" s="949"/>
      <c r="ET83" s="949"/>
      <c r="EU83" s="949"/>
      <c r="EV83" s="949"/>
      <c r="EW83" s="949"/>
      <c r="EX83" s="949"/>
      <c r="EY83" s="949"/>
      <c r="EZ83" s="949"/>
      <c r="FA83" s="949"/>
      <c r="FB83" s="949"/>
      <c r="FC83" s="949"/>
      <c r="FD83" s="949"/>
      <c r="FE83" s="949"/>
      <c r="FF83" s="949"/>
      <c r="FG83" s="949"/>
      <c r="FH83" s="949"/>
      <c r="FI83" s="949"/>
      <c r="FJ83" s="949"/>
      <c r="FK83" s="949"/>
      <c r="FL83" s="949"/>
      <c r="FM83" s="949"/>
      <c r="FN83" s="949"/>
      <c r="FO83" s="949"/>
      <c r="FP83" s="949"/>
      <c r="FQ83" s="949"/>
      <c r="FR83" s="949"/>
      <c r="FS83" s="949"/>
      <c r="FT83" s="949"/>
      <c r="FU83" s="949"/>
      <c r="FV83" s="949"/>
      <c r="FW83" s="949"/>
      <c r="FX83" s="949"/>
      <c r="FY83" s="949"/>
      <c r="FZ83" s="949"/>
      <c r="GA83" s="949"/>
      <c r="GB83" s="949"/>
      <c r="GC83" s="949"/>
      <c r="GD83" s="949"/>
      <c r="GE83" s="949"/>
      <c r="GF83" s="949"/>
      <c r="GG83" s="949"/>
      <c r="GH83" s="949"/>
      <c r="GI83" s="949"/>
      <c r="GJ83" s="949"/>
      <c r="GK83" s="949"/>
      <c r="GL83" s="949"/>
      <c r="GM83" s="949"/>
      <c r="GN83" s="949"/>
      <c r="GO83" s="949"/>
      <c r="GP83" s="949"/>
      <c r="GQ83" s="949"/>
      <c r="GR83" s="949"/>
      <c r="GS83" s="949"/>
      <c r="GT83" s="949"/>
      <c r="GU83" s="949"/>
      <c r="GV83" s="949"/>
      <c r="GW83" s="949"/>
      <c r="GX83" s="949"/>
      <c r="GY83" s="949"/>
      <c r="GZ83" s="949"/>
      <c r="HA83" s="949"/>
      <c r="HB83" s="949"/>
      <c r="HC83" s="949"/>
      <c r="HD83" s="949"/>
      <c r="HE83" s="949"/>
      <c r="HF83" s="949"/>
      <c r="HG83" s="949"/>
      <c r="HH83" s="949"/>
      <c r="HI83" s="949"/>
      <c r="HJ83" s="949"/>
      <c r="HK83" s="949"/>
      <c r="HL83" s="949"/>
      <c r="HM83" s="949"/>
      <c r="HN83" s="949"/>
      <c r="HO83" s="949"/>
      <c r="HP83" s="949"/>
      <c r="HQ83" s="949"/>
      <c r="HR83" s="949"/>
      <c r="HS83" s="949"/>
      <c r="HT83" s="949"/>
      <c r="HU83" s="949"/>
      <c r="HV83" s="949"/>
      <c r="HW83" s="949"/>
      <c r="HX83" s="949"/>
      <c r="HY83" s="949"/>
      <c r="HZ83" s="949"/>
      <c r="IA83" s="949"/>
      <c r="IB83" s="949"/>
      <c r="IC83" s="949"/>
      <c r="ID83" s="949"/>
      <c r="IE83" s="949"/>
      <c r="IF83" s="949"/>
      <c r="IG83" s="949"/>
      <c r="IH83" s="949"/>
      <c r="II83" s="949"/>
      <c r="IJ83" s="949"/>
      <c r="IK83" s="949"/>
      <c r="IL83" s="949"/>
      <c r="IM83" s="1"/>
      <c r="IN83" s="1"/>
      <c r="IO83" s="1"/>
      <c r="IP83" s="1"/>
      <c r="IQ83" s="1"/>
      <c r="IR83" s="1"/>
      <c r="IS83" s="1"/>
      <c r="IT83" s="1"/>
    </row>
    <row r="84" spans="1:254" s="92" customFormat="1" ht="12.9" customHeight="1" thickBot="1" x14ac:dyDescent="0.2">
      <c r="A84" s="90" t="s">
        <v>387</v>
      </c>
      <c r="B84" s="41"/>
      <c r="C84" s="933" t="str">
        <f>IF(G79="反応型",IF(50&gt;F81,"+0",IF(60&gt;F81,"+1",IF(70&gt;F81,"+2",IF(F81&gt;=70,"+3")))),"活性補正")</f>
        <v>活性補正</v>
      </c>
      <c r="D84" s="46" t="s">
        <v>388</v>
      </c>
      <c r="E84" s="42"/>
      <c r="F84" s="934" t="str">
        <f>IF(G79="増強型",IF(50&gt;F81,"+0",IF(60&gt;F81,"+1",IF(70&gt;F81,"+2",IF(F81&gt;=70,"+3")))),"活性補正")</f>
        <v>活性補正</v>
      </c>
      <c r="G84" s="935" t="s">
        <v>605</v>
      </c>
      <c r="H84" s="935"/>
      <c r="I84" s="936" t="s">
        <v>606</v>
      </c>
      <c r="J84" s="936"/>
      <c r="K84" s="936"/>
      <c r="L84" s="936"/>
      <c r="M84" s="91" t="s">
        <v>607</v>
      </c>
      <c r="N84" s="92" t="s">
        <v>593</v>
      </c>
      <c r="O84" s="92">
        <v>0</v>
      </c>
      <c r="IL84" s="93"/>
      <c r="IM84" s="1"/>
      <c r="IN84" s="1"/>
      <c r="IO84" s="1"/>
      <c r="IP84" s="1"/>
      <c r="IQ84" s="1"/>
      <c r="IR84" s="1"/>
      <c r="IS84" s="1"/>
      <c r="IT84" s="1"/>
    </row>
    <row r="85" spans="1:254" s="98" customFormat="1" ht="12.9" customHeight="1" thickBot="1" x14ac:dyDescent="0.2">
      <c r="A85" s="21" t="s">
        <v>390</v>
      </c>
      <c r="B85" s="43"/>
      <c r="C85" s="933"/>
      <c r="D85" s="20" t="s">
        <v>391</v>
      </c>
      <c r="E85" s="44"/>
      <c r="F85" s="934"/>
      <c r="G85" s="937" t="s">
        <v>608</v>
      </c>
      <c r="H85" s="937"/>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33"/>
      <c r="D86" s="20" t="s">
        <v>394</v>
      </c>
      <c r="E86" s="44"/>
      <c r="F86" s="934"/>
      <c r="G86" s="928" t="s">
        <v>611</v>
      </c>
      <c r="H86" s="928"/>
      <c r="I86" s="100"/>
      <c r="J86" s="101"/>
      <c r="K86" s="101"/>
      <c r="L86" s="102"/>
      <c r="M86" s="103" t="s">
        <v>612</v>
      </c>
      <c r="N86" s="104" t="s">
        <v>593</v>
      </c>
      <c r="O86" s="104"/>
      <c r="IL86" s="106"/>
      <c r="IM86" s="1"/>
      <c r="IN86" s="1"/>
      <c r="IO86" s="1"/>
      <c r="IP86" s="1"/>
      <c r="IQ86" s="1"/>
      <c r="IR86" s="1"/>
      <c r="IS86" s="1"/>
      <c r="IT86" s="1"/>
    </row>
    <row r="87" spans="1:254" s="105" customFormat="1" ht="12.9" customHeight="1" x14ac:dyDescent="0.15">
      <c r="A87" s="21" t="s">
        <v>244</v>
      </c>
      <c r="B87" s="150"/>
      <c r="C87" s="927" t="str">
        <f>IF(G79="増強型",IF(50&gt;F81,"+0",IF(60&gt;F81,"+1",IF(70&gt;F81,"+2",IF(F81&gt;=70,"+3")))),"活性補正")</f>
        <v>活性補正</v>
      </c>
      <c r="D87" s="20" t="s">
        <v>613</v>
      </c>
      <c r="E87" s="150"/>
      <c r="F87" s="18"/>
      <c r="G87" s="928" t="s">
        <v>614</v>
      </c>
      <c r="H87" s="928"/>
      <c r="I87" s="107" t="s">
        <v>615</v>
      </c>
      <c r="J87" s="104"/>
      <c r="K87" s="104" t="s">
        <v>616</v>
      </c>
      <c r="L87" s="108"/>
      <c r="M87" s="103" t="s">
        <v>612</v>
      </c>
      <c r="N87" s="104" t="s">
        <v>593</v>
      </c>
      <c r="O87" s="104"/>
      <c r="IL87" s="106"/>
      <c r="IM87" s="1"/>
      <c r="IN87" s="1"/>
      <c r="IO87" s="1"/>
      <c r="IP87" s="1"/>
      <c r="IQ87" s="1"/>
      <c r="IR87" s="1"/>
      <c r="IS87" s="1"/>
      <c r="IT87" s="1"/>
    </row>
    <row r="88" spans="1:254" s="153" customFormat="1" ht="12.9" customHeight="1" thickBot="1" x14ac:dyDescent="0.2">
      <c r="A88" s="21" t="s">
        <v>392</v>
      </c>
      <c r="B88" s="150"/>
      <c r="C88" s="927"/>
      <c r="D88" s="20" t="s">
        <v>397</v>
      </c>
      <c r="E88" s="150"/>
      <c r="F88" s="109" t="str">
        <f>IF(G79="覚醒型",IF(50&gt;F81,"+0",IF(60&gt;F81,"+1",IF(70&gt;F81,"+2",IF(F81&gt;=70,"+3")))),"活性補正")</f>
        <v>活性補正</v>
      </c>
      <c r="G88" s="929" t="s">
        <v>617</v>
      </c>
      <c r="H88" s="929"/>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 customHeight="1" thickBot="1" x14ac:dyDescent="0.2">
      <c r="A92" s="959" t="s">
        <v>383</v>
      </c>
      <c r="B92" s="959"/>
      <c r="C92" s="959"/>
      <c r="D92" s="959"/>
      <c r="E92" s="960" t="s">
        <v>401</v>
      </c>
      <c r="F92" s="960"/>
      <c r="G92" s="957" t="s">
        <v>1</v>
      </c>
      <c r="H92" s="957"/>
      <c r="I92" s="957" t="s">
        <v>257</v>
      </c>
      <c r="J92" s="957"/>
      <c r="K92" s="957"/>
      <c r="L92" s="957"/>
      <c r="M92" s="958" t="s">
        <v>592</v>
      </c>
      <c r="N92" s="949" t="s">
        <v>593</v>
      </c>
      <c r="O92" s="949" t="s">
        <v>634</v>
      </c>
      <c r="P92" s="949"/>
      <c r="Q92" s="949"/>
      <c r="R92" s="949"/>
      <c r="S92" s="949"/>
      <c r="T92" s="949"/>
      <c r="U92" s="949"/>
      <c r="V92" s="949"/>
      <c r="W92" s="949"/>
      <c r="X92" s="949"/>
      <c r="Y92" s="949"/>
      <c r="Z92" s="949"/>
      <c r="AA92" s="949"/>
      <c r="AB92" s="949"/>
      <c r="AC92" s="949"/>
      <c r="AD92" s="949"/>
      <c r="AE92" s="949"/>
      <c r="AF92" s="949"/>
      <c r="AG92" s="949"/>
      <c r="AH92" s="949"/>
      <c r="AI92" s="949"/>
      <c r="AJ92" s="949"/>
      <c r="AK92" s="949"/>
      <c r="AL92" s="949"/>
      <c r="AM92" s="949"/>
      <c r="AN92" s="949"/>
      <c r="AO92" s="949"/>
      <c r="AP92" s="949"/>
      <c r="AQ92" s="949"/>
      <c r="AR92" s="949"/>
      <c r="AS92" s="949"/>
      <c r="AT92" s="949"/>
      <c r="AU92" s="949"/>
      <c r="AV92" s="949"/>
      <c r="AW92" s="949"/>
      <c r="AX92" s="949"/>
      <c r="AY92" s="949"/>
      <c r="AZ92" s="949"/>
      <c r="BA92" s="949"/>
      <c r="BB92" s="949"/>
      <c r="BC92" s="949"/>
      <c r="BD92" s="949"/>
      <c r="BE92" s="949"/>
      <c r="BF92" s="949"/>
      <c r="BG92" s="949"/>
      <c r="BH92" s="949"/>
      <c r="BI92" s="949"/>
      <c r="BJ92" s="949"/>
      <c r="BK92" s="949"/>
      <c r="BL92" s="949"/>
      <c r="BM92" s="949"/>
      <c r="BN92" s="949"/>
      <c r="BO92" s="949"/>
      <c r="BP92" s="949"/>
      <c r="BQ92" s="949"/>
      <c r="BR92" s="949"/>
      <c r="BS92" s="949"/>
      <c r="BT92" s="949"/>
      <c r="BU92" s="949"/>
      <c r="BV92" s="949"/>
      <c r="BW92" s="949"/>
      <c r="BX92" s="949"/>
      <c r="BY92" s="949"/>
      <c r="BZ92" s="949"/>
      <c r="CA92" s="949"/>
      <c r="CB92" s="949"/>
      <c r="CC92" s="949"/>
      <c r="CD92" s="949"/>
      <c r="CE92" s="949"/>
      <c r="CF92" s="949"/>
      <c r="CG92" s="949"/>
      <c r="CH92" s="949"/>
      <c r="CI92" s="949"/>
      <c r="CJ92" s="949"/>
      <c r="CK92" s="949"/>
      <c r="CL92" s="949"/>
      <c r="CM92" s="949"/>
      <c r="CN92" s="949"/>
      <c r="CO92" s="949"/>
      <c r="CP92" s="949"/>
      <c r="CQ92" s="949"/>
      <c r="CR92" s="949"/>
      <c r="CS92" s="949"/>
      <c r="CT92" s="949"/>
      <c r="CU92" s="949"/>
      <c r="CV92" s="949"/>
      <c r="CW92" s="949"/>
      <c r="CX92" s="949"/>
      <c r="CY92" s="949"/>
      <c r="CZ92" s="949"/>
      <c r="DA92" s="949"/>
      <c r="DB92" s="949"/>
      <c r="DC92" s="949"/>
      <c r="DD92" s="949"/>
      <c r="DE92" s="949"/>
      <c r="DF92" s="949"/>
      <c r="DG92" s="949"/>
      <c r="DH92" s="949"/>
      <c r="DI92" s="949"/>
      <c r="DJ92" s="949"/>
      <c r="DK92" s="949"/>
      <c r="DL92" s="949"/>
      <c r="DM92" s="949"/>
      <c r="DN92" s="949"/>
      <c r="DO92" s="949"/>
      <c r="DP92" s="949"/>
      <c r="DQ92" s="949"/>
      <c r="DR92" s="949"/>
      <c r="DS92" s="949"/>
      <c r="DT92" s="949"/>
      <c r="DU92" s="949"/>
      <c r="DV92" s="949"/>
      <c r="DW92" s="949"/>
      <c r="DX92" s="949"/>
      <c r="DY92" s="949"/>
      <c r="DZ92" s="949"/>
      <c r="EA92" s="949"/>
      <c r="EB92" s="949"/>
      <c r="EC92" s="949"/>
      <c r="ED92" s="949"/>
      <c r="EE92" s="949"/>
      <c r="EF92" s="949"/>
      <c r="EG92" s="949"/>
      <c r="EH92" s="949"/>
      <c r="EI92" s="949"/>
      <c r="EJ92" s="949"/>
      <c r="EK92" s="949"/>
      <c r="EL92" s="949"/>
      <c r="EM92" s="949"/>
      <c r="EN92" s="949"/>
      <c r="EO92" s="949"/>
      <c r="EP92" s="949"/>
      <c r="EQ92" s="949"/>
      <c r="ER92" s="949"/>
      <c r="ES92" s="949"/>
      <c r="ET92" s="949"/>
      <c r="EU92" s="949"/>
      <c r="EV92" s="949"/>
      <c r="EW92" s="949"/>
      <c r="EX92" s="949"/>
      <c r="EY92" s="949"/>
      <c r="EZ92" s="949"/>
      <c r="FA92" s="949"/>
      <c r="FB92" s="949"/>
      <c r="FC92" s="949"/>
      <c r="FD92" s="949"/>
      <c r="FE92" s="949"/>
      <c r="FF92" s="949"/>
      <c r="FG92" s="949"/>
      <c r="FH92" s="949"/>
      <c r="FI92" s="949"/>
      <c r="FJ92" s="949"/>
      <c r="FK92" s="949"/>
      <c r="FL92" s="949"/>
      <c r="FM92" s="949"/>
      <c r="FN92" s="949"/>
      <c r="FO92" s="949"/>
      <c r="FP92" s="949"/>
      <c r="FQ92" s="949"/>
      <c r="FR92" s="949"/>
      <c r="FS92" s="949"/>
      <c r="FT92" s="949"/>
      <c r="FU92" s="949"/>
      <c r="FV92" s="949"/>
      <c r="FW92" s="949"/>
      <c r="FX92" s="949"/>
      <c r="FY92" s="949"/>
      <c r="FZ92" s="949"/>
      <c r="GA92" s="949"/>
      <c r="GB92" s="949"/>
      <c r="GC92" s="949"/>
      <c r="GD92" s="949"/>
      <c r="GE92" s="949"/>
      <c r="GF92" s="949"/>
      <c r="GG92" s="949"/>
      <c r="GH92" s="949"/>
      <c r="GI92" s="949"/>
      <c r="GJ92" s="949"/>
      <c r="GK92" s="949"/>
      <c r="GL92" s="949"/>
      <c r="GM92" s="949"/>
      <c r="GN92" s="949"/>
      <c r="GO92" s="949"/>
      <c r="GP92" s="949"/>
      <c r="GQ92" s="949"/>
      <c r="GR92" s="949"/>
      <c r="GS92" s="949"/>
      <c r="GT92" s="949"/>
      <c r="GU92" s="949"/>
      <c r="GV92" s="949"/>
      <c r="GW92" s="949"/>
      <c r="GX92" s="949"/>
      <c r="GY92" s="949"/>
      <c r="GZ92" s="949"/>
      <c r="HA92" s="949"/>
      <c r="HB92" s="949"/>
      <c r="HC92" s="949"/>
      <c r="HD92" s="949"/>
      <c r="HE92" s="949"/>
      <c r="HF92" s="949"/>
      <c r="HG92" s="949"/>
      <c r="HH92" s="949"/>
      <c r="HI92" s="949"/>
      <c r="HJ92" s="949"/>
      <c r="HK92" s="949"/>
      <c r="HL92" s="949"/>
      <c r="HM92" s="949"/>
      <c r="HN92" s="949"/>
      <c r="HO92" s="949"/>
      <c r="HP92" s="949"/>
      <c r="HQ92" s="949"/>
      <c r="HR92" s="949"/>
      <c r="HS92" s="949"/>
      <c r="HT92" s="949"/>
      <c r="HU92" s="949"/>
      <c r="HV92" s="949"/>
      <c r="HW92" s="949"/>
      <c r="HX92" s="949"/>
      <c r="HY92" s="949"/>
      <c r="HZ92" s="949"/>
      <c r="IA92" s="949"/>
      <c r="IB92" s="949"/>
      <c r="IC92" s="949"/>
      <c r="ID92" s="949"/>
      <c r="IE92" s="949"/>
      <c r="IF92" s="949"/>
      <c r="IG92" s="949"/>
      <c r="IH92" s="949"/>
      <c r="II92" s="949"/>
      <c r="IJ92" s="949"/>
      <c r="IK92" s="949"/>
      <c r="IL92" s="948"/>
      <c r="IM92" s="1"/>
      <c r="IN92" s="1"/>
      <c r="IO92" s="1"/>
      <c r="IP92" s="1"/>
      <c r="IQ92" s="1"/>
      <c r="IR92" s="1"/>
      <c r="IS92" s="1"/>
      <c r="IT92" s="1"/>
    </row>
    <row r="93" spans="1:254" s="84" customFormat="1" ht="12.9" customHeight="1" thickBot="1" x14ac:dyDescent="0.2">
      <c r="A93" s="950"/>
      <c r="B93" s="950"/>
      <c r="C93" s="950"/>
      <c r="D93" s="950"/>
      <c r="E93" s="951"/>
      <c r="F93" s="951"/>
      <c r="G93" s="938" t="s">
        <v>18</v>
      </c>
      <c r="H93" s="938"/>
      <c r="I93" s="952" t="s">
        <v>243</v>
      </c>
      <c r="J93" s="952"/>
      <c r="K93" s="953" t="s">
        <v>243</v>
      </c>
      <c r="L93" s="953"/>
      <c r="M93" s="958"/>
      <c r="N93" s="949"/>
      <c r="O93" s="949"/>
      <c r="P93" s="949"/>
      <c r="Q93" s="949"/>
      <c r="R93" s="949"/>
      <c r="S93" s="949"/>
      <c r="T93" s="949"/>
      <c r="U93" s="949"/>
      <c r="V93" s="949"/>
      <c r="W93" s="949"/>
      <c r="X93" s="949"/>
      <c r="Y93" s="949"/>
      <c r="Z93" s="949"/>
      <c r="AA93" s="949"/>
      <c r="AB93" s="949"/>
      <c r="AC93" s="949"/>
      <c r="AD93" s="949"/>
      <c r="AE93" s="949"/>
      <c r="AF93" s="949"/>
      <c r="AG93" s="949"/>
      <c r="AH93" s="949"/>
      <c r="AI93" s="949"/>
      <c r="AJ93" s="949"/>
      <c r="AK93" s="949"/>
      <c r="AL93" s="949"/>
      <c r="AM93" s="949"/>
      <c r="AN93" s="949"/>
      <c r="AO93" s="949"/>
      <c r="AP93" s="949"/>
      <c r="AQ93" s="949"/>
      <c r="AR93" s="949"/>
      <c r="AS93" s="949"/>
      <c r="AT93" s="949"/>
      <c r="AU93" s="949"/>
      <c r="AV93" s="949"/>
      <c r="AW93" s="949"/>
      <c r="AX93" s="949"/>
      <c r="AY93" s="949"/>
      <c r="AZ93" s="949"/>
      <c r="BA93" s="949"/>
      <c r="BB93" s="949"/>
      <c r="BC93" s="949"/>
      <c r="BD93" s="949"/>
      <c r="BE93" s="949"/>
      <c r="BF93" s="949"/>
      <c r="BG93" s="949"/>
      <c r="BH93" s="949"/>
      <c r="BI93" s="949"/>
      <c r="BJ93" s="949"/>
      <c r="BK93" s="949"/>
      <c r="BL93" s="949"/>
      <c r="BM93" s="949"/>
      <c r="BN93" s="949"/>
      <c r="BO93" s="949"/>
      <c r="BP93" s="949"/>
      <c r="BQ93" s="949"/>
      <c r="BR93" s="949"/>
      <c r="BS93" s="949"/>
      <c r="BT93" s="949"/>
      <c r="BU93" s="949"/>
      <c r="BV93" s="949"/>
      <c r="BW93" s="949"/>
      <c r="BX93" s="949"/>
      <c r="BY93" s="949"/>
      <c r="BZ93" s="949"/>
      <c r="CA93" s="949"/>
      <c r="CB93" s="949"/>
      <c r="CC93" s="949"/>
      <c r="CD93" s="949"/>
      <c r="CE93" s="949"/>
      <c r="CF93" s="949"/>
      <c r="CG93" s="949"/>
      <c r="CH93" s="949"/>
      <c r="CI93" s="949"/>
      <c r="CJ93" s="949"/>
      <c r="CK93" s="949"/>
      <c r="CL93" s="949"/>
      <c r="CM93" s="949"/>
      <c r="CN93" s="949"/>
      <c r="CO93" s="949"/>
      <c r="CP93" s="949"/>
      <c r="CQ93" s="949"/>
      <c r="CR93" s="949"/>
      <c r="CS93" s="949"/>
      <c r="CT93" s="949"/>
      <c r="CU93" s="949"/>
      <c r="CV93" s="949"/>
      <c r="CW93" s="949"/>
      <c r="CX93" s="949"/>
      <c r="CY93" s="949"/>
      <c r="CZ93" s="949"/>
      <c r="DA93" s="949"/>
      <c r="DB93" s="949"/>
      <c r="DC93" s="949"/>
      <c r="DD93" s="949"/>
      <c r="DE93" s="949"/>
      <c r="DF93" s="949"/>
      <c r="DG93" s="949"/>
      <c r="DH93" s="949"/>
      <c r="DI93" s="949"/>
      <c r="DJ93" s="949"/>
      <c r="DK93" s="949"/>
      <c r="DL93" s="949"/>
      <c r="DM93" s="949"/>
      <c r="DN93" s="949"/>
      <c r="DO93" s="949"/>
      <c r="DP93" s="949"/>
      <c r="DQ93" s="949"/>
      <c r="DR93" s="949"/>
      <c r="DS93" s="949"/>
      <c r="DT93" s="949"/>
      <c r="DU93" s="949"/>
      <c r="DV93" s="949"/>
      <c r="DW93" s="949"/>
      <c r="DX93" s="949"/>
      <c r="DY93" s="949"/>
      <c r="DZ93" s="949"/>
      <c r="EA93" s="949"/>
      <c r="EB93" s="949"/>
      <c r="EC93" s="949"/>
      <c r="ED93" s="949"/>
      <c r="EE93" s="949"/>
      <c r="EF93" s="949"/>
      <c r="EG93" s="949"/>
      <c r="EH93" s="949"/>
      <c r="EI93" s="949"/>
      <c r="EJ93" s="949"/>
      <c r="EK93" s="949"/>
      <c r="EL93" s="949"/>
      <c r="EM93" s="949"/>
      <c r="EN93" s="949"/>
      <c r="EO93" s="949"/>
      <c r="EP93" s="949"/>
      <c r="EQ93" s="949"/>
      <c r="ER93" s="949"/>
      <c r="ES93" s="949"/>
      <c r="ET93" s="949"/>
      <c r="EU93" s="949"/>
      <c r="EV93" s="949"/>
      <c r="EW93" s="949"/>
      <c r="EX93" s="949"/>
      <c r="EY93" s="949"/>
      <c r="EZ93" s="949"/>
      <c r="FA93" s="949"/>
      <c r="FB93" s="949"/>
      <c r="FC93" s="949"/>
      <c r="FD93" s="949"/>
      <c r="FE93" s="949"/>
      <c r="FF93" s="949"/>
      <c r="FG93" s="949"/>
      <c r="FH93" s="949"/>
      <c r="FI93" s="949"/>
      <c r="FJ93" s="949"/>
      <c r="FK93" s="949"/>
      <c r="FL93" s="949"/>
      <c r="FM93" s="949"/>
      <c r="FN93" s="949"/>
      <c r="FO93" s="949"/>
      <c r="FP93" s="949"/>
      <c r="FQ93" s="949"/>
      <c r="FR93" s="949"/>
      <c r="FS93" s="949"/>
      <c r="FT93" s="949"/>
      <c r="FU93" s="949"/>
      <c r="FV93" s="949"/>
      <c r="FW93" s="949"/>
      <c r="FX93" s="949"/>
      <c r="FY93" s="949"/>
      <c r="FZ93" s="949"/>
      <c r="GA93" s="949"/>
      <c r="GB93" s="949"/>
      <c r="GC93" s="949"/>
      <c r="GD93" s="949"/>
      <c r="GE93" s="949"/>
      <c r="GF93" s="949"/>
      <c r="GG93" s="949"/>
      <c r="GH93" s="949"/>
      <c r="GI93" s="949"/>
      <c r="GJ93" s="949"/>
      <c r="GK93" s="949"/>
      <c r="GL93" s="949"/>
      <c r="GM93" s="949"/>
      <c r="GN93" s="949"/>
      <c r="GO93" s="949"/>
      <c r="GP93" s="949"/>
      <c r="GQ93" s="949"/>
      <c r="GR93" s="949"/>
      <c r="GS93" s="949"/>
      <c r="GT93" s="949"/>
      <c r="GU93" s="949"/>
      <c r="GV93" s="949"/>
      <c r="GW93" s="949"/>
      <c r="GX93" s="949"/>
      <c r="GY93" s="949"/>
      <c r="GZ93" s="949"/>
      <c r="HA93" s="949"/>
      <c r="HB93" s="949"/>
      <c r="HC93" s="949"/>
      <c r="HD93" s="949"/>
      <c r="HE93" s="949"/>
      <c r="HF93" s="949"/>
      <c r="HG93" s="949"/>
      <c r="HH93" s="949"/>
      <c r="HI93" s="949"/>
      <c r="HJ93" s="949"/>
      <c r="HK93" s="949"/>
      <c r="HL93" s="949"/>
      <c r="HM93" s="949"/>
      <c r="HN93" s="949"/>
      <c r="HO93" s="949"/>
      <c r="HP93" s="949"/>
      <c r="HQ93" s="949"/>
      <c r="HR93" s="949"/>
      <c r="HS93" s="949"/>
      <c r="HT93" s="949"/>
      <c r="HU93" s="949"/>
      <c r="HV93" s="949"/>
      <c r="HW93" s="949"/>
      <c r="HX93" s="949"/>
      <c r="HY93" s="949"/>
      <c r="HZ93" s="949"/>
      <c r="IA93" s="949"/>
      <c r="IB93" s="949"/>
      <c r="IC93" s="949"/>
      <c r="ID93" s="949"/>
      <c r="IE93" s="949"/>
      <c r="IF93" s="949"/>
      <c r="IG93" s="949"/>
      <c r="IH93" s="949"/>
      <c r="II93" s="949"/>
      <c r="IJ93" s="949"/>
      <c r="IK93" s="949"/>
      <c r="IL93" s="949"/>
      <c r="IM93" s="1"/>
      <c r="IN93" s="1"/>
      <c r="IO93" s="1"/>
      <c r="IP93" s="1"/>
      <c r="IQ93" s="1"/>
      <c r="IR93" s="1"/>
      <c r="IS93" s="1"/>
      <c r="IT93" s="1"/>
    </row>
    <row r="94" spans="1:254" s="84" customFormat="1" ht="12.9" customHeight="1" thickBot="1" x14ac:dyDescent="0.2">
      <c r="A94" s="954" t="s">
        <v>599</v>
      </c>
      <c r="B94" s="954"/>
      <c r="C94" s="955" t="s">
        <v>389</v>
      </c>
      <c r="D94" s="955"/>
      <c r="E94" s="956" t="s">
        <v>461</v>
      </c>
      <c r="F94" s="956"/>
      <c r="G94" s="944" t="s">
        <v>4</v>
      </c>
      <c r="H94" s="944"/>
      <c r="I94" s="945" t="s">
        <v>600</v>
      </c>
      <c r="J94" s="945"/>
      <c r="K94" s="946" t="s">
        <v>601</v>
      </c>
      <c r="L94" s="946"/>
      <c r="M94" s="958"/>
      <c r="N94" s="949"/>
      <c r="O94" s="949"/>
      <c r="P94" s="949"/>
      <c r="Q94" s="949"/>
      <c r="R94" s="949"/>
      <c r="S94" s="949"/>
      <c r="T94" s="949"/>
      <c r="U94" s="949"/>
      <c r="V94" s="949"/>
      <c r="W94" s="949"/>
      <c r="X94" s="949"/>
      <c r="Y94" s="949"/>
      <c r="Z94" s="949"/>
      <c r="AA94" s="949"/>
      <c r="AB94" s="949"/>
      <c r="AC94" s="949"/>
      <c r="AD94" s="949"/>
      <c r="AE94" s="949"/>
      <c r="AF94" s="949"/>
      <c r="AG94" s="949"/>
      <c r="AH94" s="949"/>
      <c r="AI94" s="949"/>
      <c r="AJ94" s="949"/>
      <c r="AK94" s="949"/>
      <c r="AL94" s="949"/>
      <c r="AM94" s="949"/>
      <c r="AN94" s="949"/>
      <c r="AO94" s="949"/>
      <c r="AP94" s="949"/>
      <c r="AQ94" s="949"/>
      <c r="AR94" s="949"/>
      <c r="AS94" s="949"/>
      <c r="AT94" s="949"/>
      <c r="AU94" s="949"/>
      <c r="AV94" s="949"/>
      <c r="AW94" s="949"/>
      <c r="AX94" s="949"/>
      <c r="AY94" s="949"/>
      <c r="AZ94" s="949"/>
      <c r="BA94" s="949"/>
      <c r="BB94" s="949"/>
      <c r="BC94" s="949"/>
      <c r="BD94" s="949"/>
      <c r="BE94" s="949"/>
      <c r="BF94" s="949"/>
      <c r="BG94" s="949"/>
      <c r="BH94" s="949"/>
      <c r="BI94" s="949"/>
      <c r="BJ94" s="949"/>
      <c r="BK94" s="949"/>
      <c r="BL94" s="949"/>
      <c r="BM94" s="949"/>
      <c r="BN94" s="949"/>
      <c r="BO94" s="949"/>
      <c r="BP94" s="949"/>
      <c r="BQ94" s="949"/>
      <c r="BR94" s="949"/>
      <c r="BS94" s="949"/>
      <c r="BT94" s="949"/>
      <c r="BU94" s="949"/>
      <c r="BV94" s="949"/>
      <c r="BW94" s="949"/>
      <c r="BX94" s="949"/>
      <c r="BY94" s="949"/>
      <c r="BZ94" s="949"/>
      <c r="CA94" s="949"/>
      <c r="CB94" s="949"/>
      <c r="CC94" s="949"/>
      <c r="CD94" s="949"/>
      <c r="CE94" s="949"/>
      <c r="CF94" s="949"/>
      <c r="CG94" s="949"/>
      <c r="CH94" s="949"/>
      <c r="CI94" s="949"/>
      <c r="CJ94" s="949"/>
      <c r="CK94" s="949"/>
      <c r="CL94" s="949"/>
      <c r="CM94" s="949"/>
      <c r="CN94" s="949"/>
      <c r="CO94" s="949"/>
      <c r="CP94" s="949"/>
      <c r="CQ94" s="949"/>
      <c r="CR94" s="949"/>
      <c r="CS94" s="949"/>
      <c r="CT94" s="949"/>
      <c r="CU94" s="949"/>
      <c r="CV94" s="949"/>
      <c r="CW94" s="949"/>
      <c r="CX94" s="949"/>
      <c r="CY94" s="949"/>
      <c r="CZ94" s="949"/>
      <c r="DA94" s="949"/>
      <c r="DB94" s="949"/>
      <c r="DC94" s="949"/>
      <c r="DD94" s="949"/>
      <c r="DE94" s="949"/>
      <c r="DF94" s="949"/>
      <c r="DG94" s="949"/>
      <c r="DH94" s="949"/>
      <c r="DI94" s="949"/>
      <c r="DJ94" s="949"/>
      <c r="DK94" s="949"/>
      <c r="DL94" s="949"/>
      <c r="DM94" s="949"/>
      <c r="DN94" s="949"/>
      <c r="DO94" s="949"/>
      <c r="DP94" s="949"/>
      <c r="DQ94" s="949"/>
      <c r="DR94" s="949"/>
      <c r="DS94" s="949"/>
      <c r="DT94" s="949"/>
      <c r="DU94" s="949"/>
      <c r="DV94" s="949"/>
      <c r="DW94" s="949"/>
      <c r="DX94" s="949"/>
      <c r="DY94" s="949"/>
      <c r="DZ94" s="949"/>
      <c r="EA94" s="949"/>
      <c r="EB94" s="949"/>
      <c r="EC94" s="949"/>
      <c r="ED94" s="949"/>
      <c r="EE94" s="949"/>
      <c r="EF94" s="949"/>
      <c r="EG94" s="949"/>
      <c r="EH94" s="949"/>
      <c r="EI94" s="949"/>
      <c r="EJ94" s="949"/>
      <c r="EK94" s="949"/>
      <c r="EL94" s="949"/>
      <c r="EM94" s="949"/>
      <c r="EN94" s="949"/>
      <c r="EO94" s="949"/>
      <c r="EP94" s="949"/>
      <c r="EQ94" s="949"/>
      <c r="ER94" s="949"/>
      <c r="ES94" s="949"/>
      <c r="ET94" s="949"/>
      <c r="EU94" s="949"/>
      <c r="EV94" s="949"/>
      <c r="EW94" s="949"/>
      <c r="EX94" s="949"/>
      <c r="EY94" s="949"/>
      <c r="EZ94" s="949"/>
      <c r="FA94" s="949"/>
      <c r="FB94" s="949"/>
      <c r="FC94" s="949"/>
      <c r="FD94" s="949"/>
      <c r="FE94" s="949"/>
      <c r="FF94" s="949"/>
      <c r="FG94" s="949"/>
      <c r="FH94" s="949"/>
      <c r="FI94" s="949"/>
      <c r="FJ94" s="949"/>
      <c r="FK94" s="949"/>
      <c r="FL94" s="949"/>
      <c r="FM94" s="949"/>
      <c r="FN94" s="949"/>
      <c r="FO94" s="949"/>
      <c r="FP94" s="949"/>
      <c r="FQ94" s="949"/>
      <c r="FR94" s="949"/>
      <c r="FS94" s="949"/>
      <c r="FT94" s="949"/>
      <c r="FU94" s="949"/>
      <c r="FV94" s="949"/>
      <c r="FW94" s="949"/>
      <c r="FX94" s="949"/>
      <c r="FY94" s="949"/>
      <c r="FZ94" s="949"/>
      <c r="GA94" s="949"/>
      <c r="GB94" s="949"/>
      <c r="GC94" s="949"/>
      <c r="GD94" s="949"/>
      <c r="GE94" s="949"/>
      <c r="GF94" s="949"/>
      <c r="GG94" s="949"/>
      <c r="GH94" s="949"/>
      <c r="GI94" s="949"/>
      <c r="GJ94" s="949"/>
      <c r="GK94" s="949"/>
      <c r="GL94" s="949"/>
      <c r="GM94" s="949"/>
      <c r="GN94" s="949"/>
      <c r="GO94" s="949"/>
      <c r="GP94" s="949"/>
      <c r="GQ94" s="949"/>
      <c r="GR94" s="949"/>
      <c r="GS94" s="949"/>
      <c r="GT94" s="949"/>
      <c r="GU94" s="949"/>
      <c r="GV94" s="949"/>
      <c r="GW94" s="949"/>
      <c r="GX94" s="949"/>
      <c r="GY94" s="949"/>
      <c r="GZ94" s="949"/>
      <c r="HA94" s="949"/>
      <c r="HB94" s="949"/>
      <c r="HC94" s="949"/>
      <c r="HD94" s="949"/>
      <c r="HE94" s="949"/>
      <c r="HF94" s="949"/>
      <c r="HG94" s="949"/>
      <c r="HH94" s="949"/>
      <c r="HI94" s="949"/>
      <c r="HJ94" s="949"/>
      <c r="HK94" s="949"/>
      <c r="HL94" s="949"/>
      <c r="HM94" s="949"/>
      <c r="HN94" s="949"/>
      <c r="HO94" s="949"/>
      <c r="HP94" s="949"/>
      <c r="HQ94" s="949"/>
      <c r="HR94" s="949"/>
      <c r="HS94" s="949"/>
      <c r="HT94" s="949"/>
      <c r="HU94" s="949"/>
      <c r="HV94" s="949"/>
      <c r="HW94" s="949"/>
      <c r="HX94" s="949"/>
      <c r="HY94" s="949"/>
      <c r="HZ94" s="949"/>
      <c r="IA94" s="949"/>
      <c r="IB94" s="949"/>
      <c r="IC94" s="949"/>
      <c r="ID94" s="949"/>
      <c r="IE94" s="949"/>
      <c r="IF94" s="949"/>
      <c r="IG94" s="949"/>
      <c r="IH94" s="949"/>
      <c r="II94" s="949"/>
      <c r="IJ94" s="949"/>
      <c r="IK94" s="949"/>
      <c r="IL94" s="949"/>
      <c r="IM94" s="1"/>
      <c r="IN94" s="1"/>
      <c r="IO94" s="1"/>
      <c r="IP94" s="1"/>
      <c r="IQ94" s="1"/>
      <c r="IR94" s="1"/>
      <c r="IS94" s="1"/>
      <c r="IT94" s="1"/>
    </row>
    <row r="95" spans="1:254" s="84" customFormat="1" ht="12.9" customHeight="1" thickBot="1" x14ac:dyDescent="0.2">
      <c r="A95" s="85">
        <f>B95+SUM(O99:IL99)</f>
        <v>0</v>
      </c>
      <c r="B95" s="9">
        <f>J99+L99</f>
        <v>0</v>
      </c>
      <c r="C95" s="86">
        <f>D95-SUM(O100:IL100)+SUM(O101:IL101)</f>
        <v>0</v>
      </c>
      <c r="D95" s="10">
        <f>J101+L101</f>
        <v>0</v>
      </c>
      <c r="E95" s="11">
        <f>J102+L102</f>
        <v>0</v>
      </c>
      <c r="F95" s="12">
        <f>E95+SUM(O102:IL102)</f>
        <v>0</v>
      </c>
      <c r="G95" s="938" t="s">
        <v>18</v>
      </c>
      <c r="H95" s="938"/>
      <c r="I95" s="939" t="s">
        <v>18</v>
      </c>
      <c r="J95" s="939"/>
      <c r="K95" s="940" t="s">
        <v>18</v>
      </c>
      <c r="L95" s="940"/>
      <c r="M95" s="958"/>
      <c r="N95" s="958"/>
      <c r="O95" s="949"/>
      <c r="P95" s="949"/>
      <c r="Q95" s="949"/>
      <c r="R95" s="949"/>
      <c r="S95" s="949"/>
      <c r="T95" s="949"/>
      <c r="U95" s="949"/>
      <c r="V95" s="949"/>
      <c r="W95" s="949"/>
      <c r="X95" s="949"/>
      <c r="Y95" s="949"/>
      <c r="Z95" s="949"/>
      <c r="AA95" s="949"/>
      <c r="AB95" s="949"/>
      <c r="AC95" s="949"/>
      <c r="AD95" s="949"/>
      <c r="AE95" s="949"/>
      <c r="AF95" s="949"/>
      <c r="AG95" s="949"/>
      <c r="AH95" s="949"/>
      <c r="AI95" s="949"/>
      <c r="AJ95" s="949"/>
      <c r="AK95" s="949"/>
      <c r="AL95" s="949"/>
      <c r="AM95" s="949"/>
      <c r="AN95" s="949"/>
      <c r="AO95" s="949"/>
      <c r="AP95" s="949"/>
      <c r="AQ95" s="949"/>
      <c r="AR95" s="949"/>
      <c r="AS95" s="949"/>
      <c r="AT95" s="949"/>
      <c r="AU95" s="949"/>
      <c r="AV95" s="949"/>
      <c r="AW95" s="949"/>
      <c r="AX95" s="949"/>
      <c r="AY95" s="949"/>
      <c r="AZ95" s="949"/>
      <c r="BA95" s="949"/>
      <c r="BB95" s="949"/>
      <c r="BC95" s="949"/>
      <c r="BD95" s="949"/>
      <c r="BE95" s="949"/>
      <c r="BF95" s="949"/>
      <c r="BG95" s="949"/>
      <c r="BH95" s="949"/>
      <c r="BI95" s="949"/>
      <c r="BJ95" s="949"/>
      <c r="BK95" s="949"/>
      <c r="BL95" s="949"/>
      <c r="BM95" s="949"/>
      <c r="BN95" s="949"/>
      <c r="BO95" s="949"/>
      <c r="BP95" s="949"/>
      <c r="BQ95" s="949"/>
      <c r="BR95" s="949"/>
      <c r="BS95" s="949"/>
      <c r="BT95" s="949"/>
      <c r="BU95" s="949"/>
      <c r="BV95" s="949"/>
      <c r="BW95" s="949"/>
      <c r="BX95" s="949"/>
      <c r="BY95" s="949"/>
      <c r="BZ95" s="949"/>
      <c r="CA95" s="949"/>
      <c r="CB95" s="949"/>
      <c r="CC95" s="949"/>
      <c r="CD95" s="949"/>
      <c r="CE95" s="949"/>
      <c r="CF95" s="949"/>
      <c r="CG95" s="949"/>
      <c r="CH95" s="949"/>
      <c r="CI95" s="949"/>
      <c r="CJ95" s="949"/>
      <c r="CK95" s="949"/>
      <c r="CL95" s="949"/>
      <c r="CM95" s="949"/>
      <c r="CN95" s="949"/>
      <c r="CO95" s="949"/>
      <c r="CP95" s="949"/>
      <c r="CQ95" s="949"/>
      <c r="CR95" s="949"/>
      <c r="CS95" s="949"/>
      <c r="CT95" s="949"/>
      <c r="CU95" s="949"/>
      <c r="CV95" s="949"/>
      <c r="CW95" s="949"/>
      <c r="CX95" s="949"/>
      <c r="CY95" s="949"/>
      <c r="CZ95" s="949"/>
      <c r="DA95" s="949"/>
      <c r="DB95" s="949"/>
      <c r="DC95" s="949"/>
      <c r="DD95" s="949"/>
      <c r="DE95" s="949"/>
      <c r="DF95" s="949"/>
      <c r="DG95" s="949"/>
      <c r="DH95" s="949"/>
      <c r="DI95" s="949"/>
      <c r="DJ95" s="949"/>
      <c r="DK95" s="949"/>
      <c r="DL95" s="949"/>
      <c r="DM95" s="949"/>
      <c r="DN95" s="949"/>
      <c r="DO95" s="949"/>
      <c r="DP95" s="949"/>
      <c r="DQ95" s="949"/>
      <c r="DR95" s="949"/>
      <c r="DS95" s="949"/>
      <c r="DT95" s="949"/>
      <c r="DU95" s="949"/>
      <c r="DV95" s="949"/>
      <c r="DW95" s="949"/>
      <c r="DX95" s="949"/>
      <c r="DY95" s="949"/>
      <c r="DZ95" s="949"/>
      <c r="EA95" s="949"/>
      <c r="EB95" s="949"/>
      <c r="EC95" s="949"/>
      <c r="ED95" s="949"/>
      <c r="EE95" s="949"/>
      <c r="EF95" s="949"/>
      <c r="EG95" s="949"/>
      <c r="EH95" s="949"/>
      <c r="EI95" s="949"/>
      <c r="EJ95" s="949"/>
      <c r="EK95" s="949"/>
      <c r="EL95" s="949"/>
      <c r="EM95" s="949"/>
      <c r="EN95" s="949"/>
      <c r="EO95" s="949"/>
      <c r="EP95" s="949"/>
      <c r="EQ95" s="949"/>
      <c r="ER95" s="949"/>
      <c r="ES95" s="949"/>
      <c r="ET95" s="949"/>
      <c r="EU95" s="949"/>
      <c r="EV95" s="949"/>
      <c r="EW95" s="949"/>
      <c r="EX95" s="949"/>
      <c r="EY95" s="949"/>
      <c r="EZ95" s="949"/>
      <c r="FA95" s="949"/>
      <c r="FB95" s="949"/>
      <c r="FC95" s="949"/>
      <c r="FD95" s="949"/>
      <c r="FE95" s="949"/>
      <c r="FF95" s="949"/>
      <c r="FG95" s="949"/>
      <c r="FH95" s="949"/>
      <c r="FI95" s="949"/>
      <c r="FJ95" s="949"/>
      <c r="FK95" s="949"/>
      <c r="FL95" s="949"/>
      <c r="FM95" s="949"/>
      <c r="FN95" s="949"/>
      <c r="FO95" s="949"/>
      <c r="FP95" s="949"/>
      <c r="FQ95" s="949"/>
      <c r="FR95" s="949"/>
      <c r="FS95" s="949"/>
      <c r="FT95" s="949"/>
      <c r="FU95" s="949"/>
      <c r="FV95" s="949"/>
      <c r="FW95" s="949"/>
      <c r="FX95" s="949"/>
      <c r="FY95" s="949"/>
      <c r="FZ95" s="949"/>
      <c r="GA95" s="949"/>
      <c r="GB95" s="949"/>
      <c r="GC95" s="949"/>
      <c r="GD95" s="949"/>
      <c r="GE95" s="949"/>
      <c r="GF95" s="949"/>
      <c r="GG95" s="949"/>
      <c r="GH95" s="949"/>
      <c r="GI95" s="949"/>
      <c r="GJ95" s="949"/>
      <c r="GK95" s="949"/>
      <c r="GL95" s="949"/>
      <c r="GM95" s="949"/>
      <c r="GN95" s="949"/>
      <c r="GO95" s="949"/>
      <c r="GP95" s="949"/>
      <c r="GQ95" s="949"/>
      <c r="GR95" s="949"/>
      <c r="GS95" s="949"/>
      <c r="GT95" s="949"/>
      <c r="GU95" s="949"/>
      <c r="GV95" s="949"/>
      <c r="GW95" s="949"/>
      <c r="GX95" s="949"/>
      <c r="GY95" s="949"/>
      <c r="GZ95" s="949"/>
      <c r="HA95" s="949"/>
      <c r="HB95" s="949"/>
      <c r="HC95" s="949"/>
      <c r="HD95" s="949"/>
      <c r="HE95" s="949"/>
      <c r="HF95" s="949"/>
      <c r="HG95" s="949"/>
      <c r="HH95" s="949"/>
      <c r="HI95" s="949"/>
      <c r="HJ95" s="949"/>
      <c r="HK95" s="949"/>
      <c r="HL95" s="949"/>
      <c r="HM95" s="949"/>
      <c r="HN95" s="949"/>
      <c r="HO95" s="949"/>
      <c r="HP95" s="949"/>
      <c r="HQ95" s="949"/>
      <c r="HR95" s="949"/>
      <c r="HS95" s="949"/>
      <c r="HT95" s="949"/>
      <c r="HU95" s="949"/>
      <c r="HV95" s="949"/>
      <c r="HW95" s="949"/>
      <c r="HX95" s="949"/>
      <c r="HY95" s="949"/>
      <c r="HZ95" s="949"/>
      <c r="IA95" s="949"/>
      <c r="IB95" s="949"/>
      <c r="IC95" s="949"/>
      <c r="ID95" s="949"/>
      <c r="IE95" s="949"/>
      <c r="IF95" s="949"/>
      <c r="IG95" s="949"/>
      <c r="IH95" s="949"/>
      <c r="II95" s="949"/>
      <c r="IJ95" s="949"/>
      <c r="IK95" s="949"/>
      <c r="IL95" s="949"/>
      <c r="IM95" s="1"/>
      <c r="IN95" s="1"/>
      <c r="IO95" s="1"/>
      <c r="IP95" s="1"/>
      <c r="IQ95" s="1"/>
      <c r="IR95" s="1"/>
      <c r="IS95" s="1"/>
      <c r="IT95" s="1"/>
    </row>
    <row r="96" spans="1:254" s="84" customFormat="1" ht="12" customHeight="1" thickBot="1" x14ac:dyDescent="0.2">
      <c r="A96" s="941" t="s">
        <v>395</v>
      </c>
      <c r="B96" s="942"/>
      <c r="C96" s="87" t="s">
        <v>602</v>
      </c>
      <c r="D96" s="88" t="s">
        <v>603</v>
      </c>
      <c r="E96" s="943" t="str">
        <f>IF(F95&lt;100,IF(F95&lt;50,"通常状態",IF(F95&lt;60,"暴走Lv1 ",IF(F95&lt;70,"暴走Lv2",IF(F95&lt;80,"暴走Lv3",IF(F95&lt;90,"暴走Lv4","暴走Lv5"))))),IF(F95&lt;110,"臨界Lv1",IF(F95&lt;120,"臨界Lv2",IF(F95&lt;130,"臨界Lv3",IF(F95&lt;140,"臨界Lv4",IF(F95&lt;150,"臨界Lv5",IF(F95&lt;150,"活性Lv5","因子崩壊")))))))</f>
        <v>通常状態</v>
      </c>
      <c r="F96" s="943"/>
      <c r="G96" s="944" t="s">
        <v>15</v>
      </c>
      <c r="H96" s="944"/>
      <c r="I96" s="945" t="s">
        <v>415</v>
      </c>
      <c r="J96" s="945"/>
      <c r="K96" s="946" t="s">
        <v>604</v>
      </c>
      <c r="L96" s="946"/>
      <c r="M96" s="958"/>
      <c r="N96" s="958"/>
      <c r="O96" s="949"/>
      <c r="P96" s="949"/>
      <c r="Q96" s="949"/>
      <c r="R96" s="949"/>
      <c r="S96" s="949"/>
      <c r="T96" s="949"/>
      <c r="U96" s="949"/>
      <c r="V96" s="949"/>
      <c r="W96" s="949"/>
      <c r="X96" s="949"/>
      <c r="Y96" s="949"/>
      <c r="Z96" s="949"/>
      <c r="AA96" s="949"/>
      <c r="AB96" s="949"/>
      <c r="AC96" s="949"/>
      <c r="AD96" s="949"/>
      <c r="AE96" s="949"/>
      <c r="AF96" s="949"/>
      <c r="AG96" s="949"/>
      <c r="AH96" s="949"/>
      <c r="AI96" s="949"/>
      <c r="AJ96" s="949"/>
      <c r="AK96" s="949"/>
      <c r="AL96" s="949"/>
      <c r="AM96" s="949"/>
      <c r="AN96" s="949"/>
      <c r="AO96" s="949"/>
      <c r="AP96" s="949"/>
      <c r="AQ96" s="949"/>
      <c r="AR96" s="949"/>
      <c r="AS96" s="949"/>
      <c r="AT96" s="949"/>
      <c r="AU96" s="949"/>
      <c r="AV96" s="949"/>
      <c r="AW96" s="949"/>
      <c r="AX96" s="949"/>
      <c r="AY96" s="949"/>
      <c r="AZ96" s="949"/>
      <c r="BA96" s="949"/>
      <c r="BB96" s="949"/>
      <c r="BC96" s="949"/>
      <c r="BD96" s="949"/>
      <c r="BE96" s="949"/>
      <c r="BF96" s="949"/>
      <c r="BG96" s="949"/>
      <c r="BH96" s="949"/>
      <c r="BI96" s="949"/>
      <c r="BJ96" s="949"/>
      <c r="BK96" s="949"/>
      <c r="BL96" s="949"/>
      <c r="BM96" s="949"/>
      <c r="BN96" s="949"/>
      <c r="BO96" s="949"/>
      <c r="BP96" s="949"/>
      <c r="BQ96" s="949"/>
      <c r="BR96" s="949"/>
      <c r="BS96" s="949"/>
      <c r="BT96" s="949"/>
      <c r="BU96" s="949"/>
      <c r="BV96" s="949"/>
      <c r="BW96" s="949"/>
      <c r="BX96" s="949"/>
      <c r="BY96" s="949"/>
      <c r="BZ96" s="949"/>
      <c r="CA96" s="949"/>
      <c r="CB96" s="949"/>
      <c r="CC96" s="949"/>
      <c r="CD96" s="949"/>
      <c r="CE96" s="949"/>
      <c r="CF96" s="949"/>
      <c r="CG96" s="949"/>
      <c r="CH96" s="949"/>
      <c r="CI96" s="949"/>
      <c r="CJ96" s="949"/>
      <c r="CK96" s="949"/>
      <c r="CL96" s="949"/>
      <c r="CM96" s="949"/>
      <c r="CN96" s="949"/>
      <c r="CO96" s="949"/>
      <c r="CP96" s="949"/>
      <c r="CQ96" s="949"/>
      <c r="CR96" s="949"/>
      <c r="CS96" s="949"/>
      <c r="CT96" s="949"/>
      <c r="CU96" s="949"/>
      <c r="CV96" s="949"/>
      <c r="CW96" s="949"/>
      <c r="CX96" s="949"/>
      <c r="CY96" s="949"/>
      <c r="CZ96" s="949"/>
      <c r="DA96" s="949"/>
      <c r="DB96" s="949"/>
      <c r="DC96" s="949"/>
      <c r="DD96" s="949"/>
      <c r="DE96" s="949"/>
      <c r="DF96" s="949"/>
      <c r="DG96" s="949"/>
      <c r="DH96" s="949"/>
      <c r="DI96" s="949"/>
      <c r="DJ96" s="949"/>
      <c r="DK96" s="949"/>
      <c r="DL96" s="949"/>
      <c r="DM96" s="949"/>
      <c r="DN96" s="949"/>
      <c r="DO96" s="949"/>
      <c r="DP96" s="949"/>
      <c r="DQ96" s="949"/>
      <c r="DR96" s="949"/>
      <c r="DS96" s="949"/>
      <c r="DT96" s="949"/>
      <c r="DU96" s="949"/>
      <c r="DV96" s="949"/>
      <c r="DW96" s="949"/>
      <c r="DX96" s="949"/>
      <c r="DY96" s="949"/>
      <c r="DZ96" s="949"/>
      <c r="EA96" s="949"/>
      <c r="EB96" s="949"/>
      <c r="EC96" s="949"/>
      <c r="ED96" s="949"/>
      <c r="EE96" s="949"/>
      <c r="EF96" s="949"/>
      <c r="EG96" s="949"/>
      <c r="EH96" s="949"/>
      <c r="EI96" s="949"/>
      <c r="EJ96" s="949"/>
      <c r="EK96" s="949"/>
      <c r="EL96" s="949"/>
      <c r="EM96" s="949"/>
      <c r="EN96" s="949"/>
      <c r="EO96" s="949"/>
      <c r="EP96" s="949"/>
      <c r="EQ96" s="949"/>
      <c r="ER96" s="949"/>
      <c r="ES96" s="949"/>
      <c r="ET96" s="949"/>
      <c r="EU96" s="949"/>
      <c r="EV96" s="949"/>
      <c r="EW96" s="949"/>
      <c r="EX96" s="949"/>
      <c r="EY96" s="949"/>
      <c r="EZ96" s="949"/>
      <c r="FA96" s="949"/>
      <c r="FB96" s="949"/>
      <c r="FC96" s="949"/>
      <c r="FD96" s="949"/>
      <c r="FE96" s="949"/>
      <c r="FF96" s="949"/>
      <c r="FG96" s="949"/>
      <c r="FH96" s="949"/>
      <c r="FI96" s="949"/>
      <c r="FJ96" s="949"/>
      <c r="FK96" s="949"/>
      <c r="FL96" s="949"/>
      <c r="FM96" s="949"/>
      <c r="FN96" s="949"/>
      <c r="FO96" s="949"/>
      <c r="FP96" s="949"/>
      <c r="FQ96" s="949"/>
      <c r="FR96" s="949"/>
      <c r="FS96" s="949"/>
      <c r="FT96" s="949"/>
      <c r="FU96" s="949"/>
      <c r="FV96" s="949"/>
      <c r="FW96" s="949"/>
      <c r="FX96" s="949"/>
      <c r="FY96" s="949"/>
      <c r="FZ96" s="949"/>
      <c r="GA96" s="949"/>
      <c r="GB96" s="949"/>
      <c r="GC96" s="949"/>
      <c r="GD96" s="949"/>
      <c r="GE96" s="949"/>
      <c r="GF96" s="949"/>
      <c r="GG96" s="949"/>
      <c r="GH96" s="949"/>
      <c r="GI96" s="949"/>
      <c r="GJ96" s="949"/>
      <c r="GK96" s="949"/>
      <c r="GL96" s="949"/>
      <c r="GM96" s="949"/>
      <c r="GN96" s="949"/>
      <c r="GO96" s="949"/>
      <c r="GP96" s="949"/>
      <c r="GQ96" s="949"/>
      <c r="GR96" s="949"/>
      <c r="GS96" s="949"/>
      <c r="GT96" s="949"/>
      <c r="GU96" s="949"/>
      <c r="GV96" s="949"/>
      <c r="GW96" s="949"/>
      <c r="GX96" s="949"/>
      <c r="GY96" s="949"/>
      <c r="GZ96" s="949"/>
      <c r="HA96" s="949"/>
      <c r="HB96" s="949"/>
      <c r="HC96" s="949"/>
      <c r="HD96" s="949"/>
      <c r="HE96" s="949"/>
      <c r="HF96" s="949"/>
      <c r="HG96" s="949"/>
      <c r="HH96" s="949"/>
      <c r="HI96" s="949"/>
      <c r="HJ96" s="949"/>
      <c r="HK96" s="949"/>
      <c r="HL96" s="949"/>
      <c r="HM96" s="949"/>
      <c r="HN96" s="949"/>
      <c r="HO96" s="949"/>
      <c r="HP96" s="949"/>
      <c r="HQ96" s="949"/>
      <c r="HR96" s="949"/>
      <c r="HS96" s="949"/>
      <c r="HT96" s="949"/>
      <c r="HU96" s="949"/>
      <c r="HV96" s="949"/>
      <c r="HW96" s="949"/>
      <c r="HX96" s="949"/>
      <c r="HY96" s="949"/>
      <c r="HZ96" s="949"/>
      <c r="IA96" s="949"/>
      <c r="IB96" s="949"/>
      <c r="IC96" s="949"/>
      <c r="ID96" s="949"/>
      <c r="IE96" s="949"/>
      <c r="IF96" s="949"/>
      <c r="IG96" s="949"/>
      <c r="IH96" s="949"/>
      <c r="II96" s="949"/>
      <c r="IJ96" s="949"/>
      <c r="IK96" s="949"/>
      <c r="IL96" s="949"/>
      <c r="IM96" s="1"/>
      <c r="IN96" s="1"/>
      <c r="IO96" s="1"/>
      <c r="IP96" s="1"/>
      <c r="IQ96" s="1"/>
      <c r="IR96" s="1"/>
      <c r="IS96" s="1"/>
      <c r="IT96" s="1"/>
    </row>
    <row r="97" spans="1:254" s="84" customFormat="1" ht="12.9" customHeight="1" thickBot="1" x14ac:dyDescent="0.2">
      <c r="A97" s="941"/>
      <c r="B97" s="942"/>
      <c r="C97" s="89">
        <f>SUM(L100:IQ100)</f>
        <v>0</v>
      </c>
      <c r="D97" s="13">
        <f>ROUNDDOWN((C97/5),0)+SUM(I98:IL98)</f>
        <v>0</v>
      </c>
      <c r="E97" s="947" t="str">
        <f>IF(F95&lt;50,"未活性",IF(F95&lt;60,"活性Lv1",IF(F95&lt;70,"活性Lv2",IF(F95&lt;80,"活性Lv3",IF(F95&lt;90,"活性Lv4",IF(F95&lt;100,"活性Lv5",IF(F95&lt;150,"活性Lv5","強制キャラロスト")))))))</f>
        <v>未活性</v>
      </c>
      <c r="F97" s="947"/>
      <c r="G97" s="930" t="s">
        <v>18</v>
      </c>
      <c r="H97" s="930"/>
      <c r="I97" s="931" t="s">
        <v>18</v>
      </c>
      <c r="J97" s="931"/>
      <c r="K97" s="932" t="str">
        <f>IF(OR(A95&lt;=B95/2,F95&gt;=90),IF(F95&gt;=120,"オーバーフロー","発動中"),"-")</f>
        <v>発動中</v>
      </c>
      <c r="L97" s="932"/>
      <c r="M97" s="958"/>
      <c r="N97" s="958"/>
      <c r="O97" s="949"/>
      <c r="P97" s="949"/>
      <c r="Q97" s="949"/>
      <c r="R97" s="949"/>
      <c r="S97" s="949"/>
      <c r="T97" s="949"/>
      <c r="U97" s="949"/>
      <c r="V97" s="949"/>
      <c r="W97" s="949"/>
      <c r="X97" s="949"/>
      <c r="Y97" s="949"/>
      <c r="Z97" s="949"/>
      <c r="AA97" s="949"/>
      <c r="AB97" s="949"/>
      <c r="AC97" s="949"/>
      <c r="AD97" s="949"/>
      <c r="AE97" s="949"/>
      <c r="AF97" s="949"/>
      <c r="AG97" s="949"/>
      <c r="AH97" s="949"/>
      <c r="AI97" s="949"/>
      <c r="AJ97" s="949"/>
      <c r="AK97" s="949"/>
      <c r="AL97" s="949"/>
      <c r="AM97" s="949"/>
      <c r="AN97" s="949"/>
      <c r="AO97" s="949"/>
      <c r="AP97" s="949"/>
      <c r="AQ97" s="949"/>
      <c r="AR97" s="949"/>
      <c r="AS97" s="949"/>
      <c r="AT97" s="949"/>
      <c r="AU97" s="949"/>
      <c r="AV97" s="949"/>
      <c r="AW97" s="949"/>
      <c r="AX97" s="949"/>
      <c r="AY97" s="949"/>
      <c r="AZ97" s="949"/>
      <c r="BA97" s="949"/>
      <c r="BB97" s="949"/>
      <c r="BC97" s="949"/>
      <c r="BD97" s="949"/>
      <c r="BE97" s="949"/>
      <c r="BF97" s="949"/>
      <c r="BG97" s="949"/>
      <c r="BH97" s="949"/>
      <c r="BI97" s="949"/>
      <c r="BJ97" s="949"/>
      <c r="BK97" s="949"/>
      <c r="BL97" s="949"/>
      <c r="BM97" s="949"/>
      <c r="BN97" s="949"/>
      <c r="BO97" s="949"/>
      <c r="BP97" s="949"/>
      <c r="BQ97" s="949"/>
      <c r="BR97" s="949"/>
      <c r="BS97" s="949"/>
      <c r="BT97" s="949"/>
      <c r="BU97" s="949"/>
      <c r="BV97" s="949"/>
      <c r="BW97" s="949"/>
      <c r="BX97" s="949"/>
      <c r="BY97" s="949"/>
      <c r="BZ97" s="949"/>
      <c r="CA97" s="949"/>
      <c r="CB97" s="949"/>
      <c r="CC97" s="949"/>
      <c r="CD97" s="949"/>
      <c r="CE97" s="949"/>
      <c r="CF97" s="949"/>
      <c r="CG97" s="949"/>
      <c r="CH97" s="949"/>
      <c r="CI97" s="949"/>
      <c r="CJ97" s="949"/>
      <c r="CK97" s="949"/>
      <c r="CL97" s="949"/>
      <c r="CM97" s="949"/>
      <c r="CN97" s="949"/>
      <c r="CO97" s="949"/>
      <c r="CP97" s="949"/>
      <c r="CQ97" s="949"/>
      <c r="CR97" s="949"/>
      <c r="CS97" s="949"/>
      <c r="CT97" s="949"/>
      <c r="CU97" s="949"/>
      <c r="CV97" s="949"/>
      <c r="CW97" s="949"/>
      <c r="CX97" s="949"/>
      <c r="CY97" s="949"/>
      <c r="CZ97" s="949"/>
      <c r="DA97" s="949"/>
      <c r="DB97" s="949"/>
      <c r="DC97" s="949"/>
      <c r="DD97" s="949"/>
      <c r="DE97" s="949"/>
      <c r="DF97" s="949"/>
      <c r="DG97" s="949"/>
      <c r="DH97" s="949"/>
      <c r="DI97" s="949"/>
      <c r="DJ97" s="949"/>
      <c r="DK97" s="949"/>
      <c r="DL97" s="949"/>
      <c r="DM97" s="949"/>
      <c r="DN97" s="949"/>
      <c r="DO97" s="949"/>
      <c r="DP97" s="949"/>
      <c r="DQ97" s="949"/>
      <c r="DR97" s="949"/>
      <c r="DS97" s="949"/>
      <c r="DT97" s="949"/>
      <c r="DU97" s="949"/>
      <c r="DV97" s="949"/>
      <c r="DW97" s="949"/>
      <c r="DX97" s="949"/>
      <c r="DY97" s="949"/>
      <c r="DZ97" s="949"/>
      <c r="EA97" s="949"/>
      <c r="EB97" s="949"/>
      <c r="EC97" s="949"/>
      <c r="ED97" s="949"/>
      <c r="EE97" s="949"/>
      <c r="EF97" s="949"/>
      <c r="EG97" s="949"/>
      <c r="EH97" s="949"/>
      <c r="EI97" s="949"/>
      <c r="EJ97" s="949"/>
      <c r="EK97" s="949"/>
      <c r="EL97" s="949"/>
      <c r="EM97" s="949"/>
      <c r="EN97" s="949"/>
      <c r="EO97" s="949"/>
      <c r="EP97" s="949"/>
      <c r="EQ97" s="949"/>
      <c r="ER97" s="949"/>
      <c r="ES97" s="949"/>
      <c r="ET97" s="949"/>
      <c r="EU97" s="949"/>
      <c r="EV97" s="949"/>
      <c r="EW97" s="949"/>
      <c r="EX97" s="949"/>
      <c r="EY97" s="949"/>
      <c r="EZ97" s="949"/>
      <c r="FA97" s="949"/>
      <c r="FB97" s="949"/>
      <c r="FC97" s="949"/>
      <c r="FD97" s="949"/>
      <c r="FE97" s="949"/>
      <c r="FF97" s="949"/>
      <c r="FG97" s="949"/>
      <c r="FH97" s="949"/>
      <c r="FI97" s="949"/>
      <c r="FJ97" s="949"/>
      <c r="FK97" s="949"/>
      <c r="FL97" s="949"/>
      <c r="FM97" s="949"/>
      <c r="FN97" s="949"/>
      <c r="FO97" s="949"/>
      <c r="FP97" s="949"/>
      <c r="FQ97" s="949"/>
      <c r="FR97" s="949"/>
      <c r="FS97" s="949"/>
      <c r="FT97" s="949"/>
      <c r="FU97" s="949"/>
      <c r="FV97" s="949"/>
      <c r="FW97" s="949"/>
      <c r="FX97" s="949"/>
      <c r="FY97" s="949"/>
      <c r="FZ97" s="949"/>
      <c r="GA97" s="949"/>
      <c r="GB97" s="949"/>
      <c r="GC97" s="949"/>
      <c r="GD97" s="949"/>
      <c r="GE97" s="949"/>
      <c r="GF97" s="949"/>
      <c r="GG97" s="949"/>
      <c r="GH97" s="949"/>
      <c r="GI97" s="949"/>
      <c r="GJ97" s="949"/>
      <c r="GK97" s="949"/>
      <c r="GL97" s="949"/>
      <c r="GM97" s="949"/>
      <c r="GN97" s="949"/>
      <c r="GO97" s="949"/>
      <c r="GP97" s="949"/>
      <c r="GQ97" s="949"/>
      <c r="GR97" s="949"/>
      <c r="GS97" s="949"/>
      <c r="GT97" s="949"/>
      <c r="GU97" s="949"/>
      <c r="GV97" s="949"/>
      <c r="GW97" s="949"/>
      <c r="GX97" s="949"/>
      <c r="GY97" s="949"/>
      <c r="GZ97" s="949"/>
      <c r="HA97" s="949"/>
      <c r="HB97" s="949"/>
      <c r="HC97" s="949"/>
      <c r="HD97" s="949"/>
      <c r="HE97" s="949"/>
      <c r="HF97" s="949"/>
      <c r="HG97" s="949"/>
      <c r="HH97" s="949"/>
      <c r="HI97" s="949"/>
      <c r="HJ97" s="949"/>
      <c r="HK97" s="949"/>
      <c r="HL97" s="949"/>
      <c r="HM97" s="949"/>
      <c r="HN97" s="949"/>
      <c r="HO97" s="949"/>
      <c r="HP97" s="949"/>
      <c r="HQ97" s="949"/>
      <c r="HR97" s="949"/>
      <c r="HS97" s="949"/>
      <c r="HT97" s="949"/>
      <c r="HU97" s="949"/>
      <c r="HV97" s="949"/>
      <c r="HW97" s="949"/>
      <c r="HX97" s="949"/>
      <c r="HY97" s="949"/>
      <c r="HZ97" s="949"/>
      <c r="IA97" s="949"/>
      <c r="IB97" s="949"/>
      <c r="IC97" s="949"/>
      <c r="ID97" s="949"/>
      <c r="IE97" s="949"/>
      <c r="IF97" s="949"/>
      <c r="IG97" s="949"/>
      <c r="IH97" s="949"/>
      <c r="II97" s="949"/>
      <c r="IJ97" s="949"/>
      <c r="IK97" s="949"/>
      <c r="IL97" s="949"/>
      <c r="IM97" s="1"/>
      <c r="IN97" s="1"/>
      <c r="IO97" s="1"/>
      <c r="IP97" s="1"/>
      <c r="IQ97" s="1"/>
      <c r="IR97" s="1"/>
      <c r="IS97" s="1"/>
      <c r="IT97" s="1"/>
    </row>
    <row r="98" spans="1:254" s="92" customFormat="1" ht="12.9" customHeight="1" thickBot="1" x14ac:dyDescent="0.2">
      <c r="A98" s="90" t="s">
        <v>387</v>
      </c>
      <c r="B98" s="41"/>
      <c r="C98" s="933" t="str">
        <f>IF(G93="反応型",IF(50&gt;F95,"+0",IF(60&gt;F95,"+1",IF(70&gt;F95,"+2",IF(F95&gt;=70,"+3")))),"活性補正")</f>
        <v>活性補正</v>
      </c>
      <c r="D98" s="46" t="s">
        <v>388</v>
      </c>
      <c r="E98" s="42"/>
      <c r="F98" s="934" t="str">
        <f>IF(G93="増強型",IF(50&gt;F95,"+0",IF(60&gt;F95,"+1",IF(70&gt;F95,"+2",IF(F95&gt;=70,"+3")))),"活性補正")</f>
        <v>活性補正</v>
      </c>
      <c r="G98" s="935" t="s">
        <v>605</v>
      </c>
      <c r="H98" s="935"/>
      <c r="I98" s="936" t="s">
        <v>606</v>
      </c>
      <c r="J98" s="936"/>
      <c r="K98" s="936"/>
      <c r="L98" s="936"/>
      <c r="M98" s="91" t="s">
        <v>607</v>
      </c>
      <c r="N98" s="92" t="s">
        <v>593</v>
      </c>
      <c r="O98" s="92">
        <v>0</v>
      </c>
      <c r="IL98" s="93"/>
      <c r="IM98" s="1"/>
      <c r="IN98" s="1"/>
      <c r="IO98" s="1"/>
      <c r="IP98" s="1"/>
      <c r="IQ98" s="1"/>
      <c r="IR98" s="1"/>
      <c r="IS98" s="1"/>
      <c r="IT98" s="1"/>
    </row>
    <row r="99" spans="1:254" s="98" customFormat="1" ht="12.9" customHeight="1" thickBot="1" x14ac:dyDescent="0.2">
      <c r="A99" s="21" t="s">
        <v>390</v>
      </c>
      <c r="B99" s="43"/>
      <c r="C99" s="933"/>
      <c r="D99" s="20" t="s">
        <v>391</v>
      </c>
      <c r="E99" s="44"/>
      <c r="F99" s="934"/>
      <c r="G99" s="937" t="s">
        <v>608</v>
      </c>
      <c r="H99" s="937"/>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33"/>
      <c r="D100" s="20" t="s">
        <v>394</v>
      </c>
      <c r="E100" s="44"/>
      <c r="F100" s="934"/>
      <c r="G100" s="928" t="s">
        <v>611</v>
      </c>
      <c r="H100" s="928"/>
      <c r="I100" s="100"/>
      <c r="J100" s="101"/>
      <c r="K100" s="101"/>
      <c r="L100" s="102"/>
      <c r="M100" s="103" t="s">
        <v>612</v>
      </c>
      <c r="N100" s="104" t="s">
        <v>593</v>
      </c>
      <c r="O100" s="104"/>
      <c r="IL100" s="106"/>
      <c r="IM100" s="1"/>
      <c r="IN100" s="1"/>
      <c r="IO100" s="1"/>
      <c r="IP100" s="1"/>
      <c r="IQ100" s="1"/>
      <c r="IR100" s="1"/>
      <c r="IS100" s="1"/>
      <c r="IT100" s="1"/>
    </row>
    <row r="101" spans="1:254" s="105" customFormat="1" ht="12.9" customHeight="1" x14ac:dyDescent="0.15">
      <c r="A101" s="21" t="s">
        <v>244</v>
      </c>
      <c r="B101" s="150"/>
      <c r="C101" s="927" t="str">
        <f>IF(G93="増強型",IF(50&gt;F95,"+0",IF(60&gt;F95,"+1",IF(70&gt;F95,"+2",IF(F95&gt;=70,"+3")))),"活性補正")</f>
        <v>活性補正</v>
      </c>
      <c r="D101" s="20" t="s">
        <v>613</v>
      </c>
      <c r="E101" s="150"/>
      <c r="F101" s="18"/>
      <c r="G101" s="928" t="s">
        <v>614</v>
      </c>
      <c r="H101" s="928"/>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 customHeight="1" thickBot="1" x14ac:dyDescent="0.2">
      <c r="A102" s="21" t="s">
        <v>392</v>
      </c>
      <c r="B102" s="150"/>
      <c r="C102" s="927"/>
      <c r="D102" s="20" t="s">
        <v>397</v>
      </c>
      <c r="E102" s="150"/>
      <c r="F102" s="109" t="str">
        <f>IF(G93="覚醒型",IF(50&gt;F95,"+0",IF(60&gt;F95,"+1",IF(70&gt;F95,"+2",IF(F95&gt;=70,"+3")))),"活性補正")</f>
        <v>活性補正</v>
      </c>
      <c r="G102" s="929" t="s">
        <v>617</v>
      </c>
      <c r="H102" s="929"/>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 customHeight="1" thickBot="1" x14ac:dyDescent="0.2">
      <c r="A106" s="959" t="s">
        <v>383</v>
      </c>
      <c r="B106" s="959"/>
      <c r="C106" s="959"/>
      <c r="D106" s="959"/>
      <c r="E106" s="960" t="s">
        <v>401</v>
      </c>
      <c r="F106" s="960"/>
      <c r="G106" s="957" t="s">
        <v>1</v>
      </c>
      <c r="H106" s="957"/>
      <c r="I106" s="957" t="s">
        <v>257</v>
      </c>
      <c r="J106" s="957"/>
      <c r="K106" s="957"/>
      <c r="L106" s="957"/>
      <c r="M106" s="958" t="s">
        <v>592</v>
      </c>
      <c r="N106" s="949" t="s">
        <v>593</v>
      </c>
      <c r="O106" s="949" t="s">
        <v>634</v>
      </c>
      <c r="P106" s="949"/>
      <c r="Q106" s="949"/>
      <c r="R106" s="949"/>
      <c r="S106" s="949"/>
      <c r="T106" s="949"/>
      <c r="U106" s="949"/>
      <c r="V106" s="949"/>
      <c r="W106" s="949"/>
      <c r="X106" s="949"/>
      <c r="Y106" s="949"/>
      <c r="Z106" s="949"/>
      <c r="AA106" s="949"/>
      <c r="AB106" s="949"/>
      <c r="AC106" s="949"/>
      <c r="AD106" s="949"/>
      <c r="AE106" s="949"/>
      <c r="AF106" s="949"/>
      <c r="AG106" s="949"/>
      <c r="AH106" s="949"/>
      <c r="AI106" s="949"/>
      <c r="AJ106" s="949"/>
      <c r="AK106" s="949"/>
      <c r="AL106" s="949"/>
      <c r="AM106" s="949"/>
      <c r="AN106" s="949"/>
      <c r="AO106" s="949"/>
      <c r="AP106" s="949"/>
      <c r="AQ106" s="949"/>
      <c r="AR106" s="949"/>
      <c r="AS106" s="949"/>
      <c r="AT106" s="949"/>
      <c r="AU106" s="949"/>
      <c r="AV106" s="949"/>
      <c r="AW106" s="949"/>
      <c r="AX106" s="949"/>
      <c r="AY106" s="949"/>
      <c r="AZ106" s="949"/>
      <c r="BA106" s="949"/>
      <c r="BB106" s="949"/>
      <c r="BC106" s="949"/>
      <c r="BD106" s="949"/>
      <c r="BE106" s="949"/>
      <c r="BF106" s="949"/>
      <c r="BG106" s="949"/>
      <c r="BH106" s="949"/>
      <c r="BI106" s="949"/>
      <c r="BJ106" s="949"/>
      <c r="BK106" s="949"/>
      <c r="BL106" s="949"/>
      <c r="BM106" s="949"/>
      <c r="BN106" s="949"/>
      <c r="BO106" s="949"/>
      <c r="BP106" s="949"/>
      <c r="BQ106" s="949"/>
      <c r="BR106" s="949"/>
      <c r="BS106" s="949"/>
      <c r="BT106" s="949"/>
      <c r="BU106" s="949"/>
      <c r="BV106" s="949"/>
      <c r="BW106" s="949"/>
      <c r="BX106" s="949"/>
      <c r="BY106" s="949"/>
      <c r="BZ106" s="949"/>
      <c r="CA106" s="949"/>
      <c r="CB106" s="949"/>
      <c r="CC106" s="949"/>
      <c r="CD106" s="949"/>
      <c r="CE106" s="949"/>
      <c r="CF106" s="949"/>
      <c r="CG106" s="949"/>
      <c r="CH106" s="949"/>
      <c r="CI106" s="949"/>
      <c r="CJ106" s="949"/>
      <c r="CK106" s="949"/>
      <c r="CL106" s="949"/>
      <c r="CM106" s="949"/>
      <c r="CN106" s="949"/>
      <c r="CO106" s="949"/>
      <c r="CP106" s="949"/>
      <c r="CQ106" s="949"/>
      <c r="CR106" s="949"/>
      <c r="CS106" s="949"/>
      <c r="CT106" s="949"/>
      <c r="CU106" s="949"/>
      <c r="CV106" s="949"/>
      <c r="CW106" s="949"/>
      <c r="CX106" s="949"/>
      <c r="CY106" s="949"/>
      <c r="CZ106" s="949"/>
      <c r="DA106" s="949"/>
      <c r="DB106" s="949"/>
      <c r="DC106" s="949"/>
      <c r="DD106" s="949"/>
      <c r="DE106" s="949"/>
      <c r="DF106" s="949"/>
      <c r="DG106" s="949"/>
      <c r="DH106" s="949"/>
      <c r="DI106" s="949"/>
      <c r="DJ106" s="949"/>
      <c r="DK106" s="949"/>
      <c r="DL106" s="949"/>
      <c r="DM106" s="949"/>
      <c r="DN106" s="949"/>
      <c r="DO106" s="949"/>
      <c r="DP106" s="949"/>
      <c r="DQ106" s="949"/>
      <c r="DR106" s="949"/>
      <c r="DS106" s="949"/>
      <c r="DT106" s="949"/>
      <c r="DU106" s="949"/>
      <c r="DV106" s="949"/>
      <c r="DW106" s="949"/>
      <c r="DX106" s="949"/>
      <c r="DY106" s="949"/>
      <c r="DZ106" s="949"/>
      <c r="EA106" s="949"/>
      <c r="EB106" s="949"/>
      <c r="EC106" s="949"/>
      <c r="ED106" s="949"/>
      <c r="EE106" s="949"/>
      <c r="EF106" s="949"/>
      <c r="EG106" s="949"/>
      <c r="EH106" s="949"/>
      <c r="EI106" s="949"/>
      <c r="EJ106" s="949"/>
      <c r="EK106" s="949"/>
      <c r="EL106" s="949"/>
      <c r="EM106" s="949"/>
      <c r="EN106" s="949"/>
      <c r="EO106" s="949"/>
      <c r="EP106" s="949"/>
      <c r="EQ106" s="949"/>
      <c r="ER106" s="949"/>
      <c r="ES106" s="949"/>
      <c r="ET106" s="949"/>
      <c r="EU106" s="949"/>
      <c r="EV106" s="949"/>
      <c r="EW106" s="949"/>
      <c r="EX106" s="949"/>
      <c r="EY106" s="949"/>
      <c r="EZ106" s="949"/>
      <c r="FA106" s="949"/>
      <c r="FB106" s="949"/>
      <c r="FC106" s="949"/>
      <c r="FD106" s="949"/>
      <c r="FE106" s="949"/>
      <c r="FF106" s="949"/>
      <c r="FG106" s="949"/>
      <c r="FH106" s="949"/>
      <c r="FI106" s="949"/>
      <c r="FJ106" s="949"/>
      <c r="FK106" s="949"/>
      <c r="FL106" s="949"/>
      <c r="FM106" s="949"/>
      <c r="FN106" s="949"/>
      <c r="FO106" s="949"/>
      <c r="FP106" s="949"/>
      <c r="FQ106" s="949"/>
      <c r="FR106" s="949"/>
      <c r="FS106" s="949"/>
      <c r="FT106" s="949"/>
      <c r="FU106" s="949"/>
      <c r="FV106" s="949"/>
      <c r="FW106" s="949"/>
      <c r="FX106" s="949"/>
      <c r="FY106" s="949"/>
      <c r="FZ106" s="949"/>
      <c r="GA106" s="949"/>
      <c r="GB106" s="949"/>
      <c r="GC106" s="949"/>
      <c r="GD106" s="949"/>
      <c r="GE106" s="949"/>
      <c r="GF106" s="949"/>
      <c r="GG106" s="949"/>
      <c r="GH106" s="949"/>
      <c r="GI106" s="949"/>
      <c r="GJ106" s="949"/>
      <c r="GK106" s="949"/>
      <c r="GL106" s="949"/>
      <c r="GM106" s="949"/>
      <c r="GN106" s="949"/>
      <c r="GO106" s="949"/>
      <c r="GP106" s="949"/>
      <c r="GQ106" s="949"/>
      <c r="GR106" s="949"/>
      <c r="GS106" s="949"/>
      <c r="GT106" s="949"/>
      <c r="GU106" s="949"/>
      <c r="GV106" s="949"/>
      <c r="GW106" s="949"/>
      <c r="GX106" s="949"/>
      <c r="GY106" s="949"/>
      <c r="GZ106" s="949"/>
      <c r="HA106" s="949"/>
      <c r="HB106" s="949"/>
      <c r="HC106" s="949"/>
      <c r="HD106" s="949"/>
      <c r="HE106" s="949"/>
      <c r="HF106" s="949"/>
      <c r="HG106" s="949"/>
      <c r="HH106" s="949"/>
      <c r="HI106" s="949"/>
      <c r="HJ106" s="949"/>
      <c r="HK106" s="949"/>
      <c r="HL106" s="949"/>
      <c r="HM106" s="949"/>
      <c r="HN106" s="949"/>
      <c r="HO106" s="949"/>
      <c r="HP106" s="949"/>
      <c r="HQ106" s="949"/>
      <c r="HR106" s="949"/>
      <c r="HS106" s="949"/>
      <c r="HT106" s="949"/>
      <c r="HU106" s="949"/>
      <c r="HV106" s="949"/>
      <c r="HW106" s="949"/>
      <c r="HX106" s="949"/>
      <c r="HY106" s="949"/>
      <c r="HZ106" s="949"/>
      <c r="IA106" s="949"/>
      <c r="IB106" s="949"/>
      <c r="IC106" s="949"/>
      <c r="ID106" s="949"/>
      <c r="IE106" s="949"/>
      <c r="IF106" s="949"/>
      <c r="IG106" s="949"/>
      <c r="IH106" s="949"/>
      <c r="II106" s="949"/>
      <c r="IJ106" s="949"/>
      <c r="IK106" s="949"/>
      <c r="IL106" s="948"/>
      <c r="IM106" s="1"/>
      <c r="IN106" s="1"/>
      <c r="IO106" s="1"/>
      <c r="IP106" s="1"/>
      <c r="IQ106" s="1"/>
      <c r="IR106" s="1"/>
      <c r="IS106" s="1"/>
      <c r="IT106" s="1"/>
    </row>
    <row r="107" spans="1:254" s="84" customFormat="1" ht="12.9" customHeight="1" thickBot="1" x14ac:dyDescent="0.2">
      <c r="A107" s="950"/>
      <c r="B107" s="950"/>
      <c r="C107" s="950"/>
      <c r="D107" s="950"/>
      <c r="E107" s="951"/>
      <c r="F107" s="951"/>
      <c r="G107" s="938" t="s">
        <v>18</v>
      </c>
      <c r="H107" s="938"/>
      <c r="I107" s="952" t="s">
        <v>243</v>
      </c>
      <c r="J107" s="952"/>
      <c r="K107" s="953" t="s">
        <v>243</v>
      </c>
      <c r="L107" s="953"/>
      <c r="M107" s="958"/>
      <c r="N107" s="949"/>
      <c r="O107" s="949"/>
      <c r="P107" s="949"/>
      <c r="Q107" s="949"/>
      <c r="R107" s="949"/>
      <c r="S107" s="949"/>
      <c r="T107" s="949"/>
      <c r="U107" s="949"/>
      <c r="V107" s="949"/>
      <c r="W107" s="949"/>
      <c r="X107" s="949"/>
      <c r="Y107" s="949"/>
      <c r="Z107" s="949"/>
      <c r="AA107" s="949"/>
      <c r="AB107" s="949"/>
      <c r="AC107" s="949"/>
      <c r="AD107" s="949"/>
      <c r="AE107" s="949"/>
      <c r="AF107" s="949"/>
      <c r="AG107" s="949"/>
      <c r="AH107" s="949"/>
      <c r="AI107" s="949"/>
      <c r="AJ107" s="949"/>
      <c r="AK107" s="949"/>
      <c r="AL107" s="949"/>
      <c r="AM107" s="949"/>
      <c r="AN107" s="949"/>
      <c r="AO107" s="949"/>
      <c r="AP107" s="949"/>
      <c r="AQ107" s="949"/>
      <c r="AR107" s="949"/>
      <c r="AS107" s="949"/>
      <c r="AT107" s="949"/>
      <c r="AU107" s="949"/>
      <c r="AV107" s="949"/>
      <c r="AW107" s="949"/>
      <c r="AX107" s="949"/>
      <c r="AY107" s="949"/>
      <c r="AZ107" s="949"/>
      <c r="BA107" s="949"/>
      <c r="BB107" s="949"/>
      <c r="BC107" s="949"/>
      <c r="BD107" s="949"/>
      <c r="BE107" s="949"/>
      <c r="BF107" s="949"/>
      <c r="BG107" s="949"/>
      <c r="BH107" s="949"/>
      <c r="BI107" s="949"/>
      <c r="BJ107" s="949"/>
      <c r="BK107" s="949"/>
      <c r="BL107" s="949"/>
      <c r="BM107" s="949"/>
      <c r="BN107" s="949"/>
      <c r="BO107" s="949"/>
      <c r="BP107" s="949"/>
      <c r="BQ107" s="949"/>
      <c r="BR107" s="949"/>
      <c r="BS107" s="949"/>
      <c r="BT107" s="949"/>
      <c r="BU107" s="949"/>
      <c r="BV107" s="949"/>
      <c r="BW107" s="949"/>
      <c r="BX107" s="949"/>
      <c r="BY107" s="949"/>
      <c r="BZ107" s="949"/>
      <c r="CA107" s="949"/>
      <c r="CB107" s="949"/>
      <c r="CC107" s="949"/>
      <c r="CD107" s="949"/>
      <c r="CE107" s="949"/>
      <c r="CF107" s="949"/>
      <c r="CG107" s="949"/>
      <c r="CH107" s="949"/>
      <c r="CI107" s="949"/>
      <c r="CJ107" s="949"/>
      <c r="CK107" s="949"/>
      <c r="CL107" s="949"/>
      <c r="CM107" s="949"/>
      <c r="CN107" s="949"/>
      <c r="CO107" s="949"/>
      <c r="CP107" s="949"/>
      <c r="CQ107" s="949"/>
      <c r="CR107" s="949"/>
      <c r="CS107" s="949"/>
      <c r="CT107" s="949"/>
      <c r="CU107" s="949"/>
      <c r="CV107" s="949"/>
      <c r="CW107" s="949"/>
      <c r="CX107" s="949"/>
      <c r="CY107" s="949"/>
      <c r="CZ107" s="949"/>
      <c r="DA107" s="949"/>
      <c r="DB107" s="949"/>
      <c r="DC107" s="949"/>
      <c r="DD107" s="949"/>
      <c r="DE107" s="949"/>
      <c r="DF107" s="949"/>
      <c r="DG107" s="949"/>
      <c r="DH107" s="949"/>
      <c r="DI107" s="949"/>
      <c r="DJ107" s="949"/>
      <c r="DK107" s="949"/>
      <c r="DL107" s="949"/>
      <c r="DM107" s="949"/>
      <c r="DN107" s="949"/>
      <c r="DO107" s="949"/>
      <c r="DP107" s="949"/>
      <c r="DQ107" s="949"/>
      <c r="DR107" s="949"/>
      <c r="DS107" s="949"/>
      <c r="DT107" s="949"/>
      <c r="DU107" s="949"/>
      <c r="DV107" s="949"/>
      <c r="DW107" s="949"/>
      <c r="DX107" s="949"/>
      <c r="DY107" s="949"/>
      <c r="DZ107" s="949"/>
      <c r="EA107" s="949"/>
      <c r="EB107" s="949"/>
      <c r="EC107" s="949"/>
      <c r="ED107" s="949"/>
      <c r="EE107" s="949"/>
      <c r="EF107" s="949"/>
      <c r="EG107" s="949"/>
      <c r="EH107" s="949"/>
      <c r="EI107" s="949"/>
      <c r="EJ107" s="949"/>
      <c r="EK107" s="949"/>
      <c r="EL107" s="949"/>
      <c r="EM107" s="949"/>
      <c r="EN107" s="949"/>
      <c r="EO107" s="949"/>
      <c r="EP107" s="949"/>
      <c r="EQ107" s="949"/>
      <c r="ER107" s="949"/>
      <c r="ES107" s="949"/>
      <c r="ET107" s="949"/>
      <c r="EU107" s="949"/>
      <c r="EV107" s="949"/>
      <c r="EW107" s="949"/>
      <c r="EX107" s="949"/>
      <c r="EY107" s="949"/>
      <c r="EZ107" s="949"/>
      <c r="FA107" s="949"/>
      <c r="FB107" s="949"/>
      <c r="FC107" s="949"/>
      <c r="FD107" s="949"/>
      <c r="FE107" s="949"/>
      <c r="FF107" s="949"/>
      <c r="FG107" s="949"/>
      <c r="FH107" s="949"/>
      <c r="FI107" s="949"/>
      <c r="FJ107" s="949"/>
      <c r="FK107" s="949"/>
      <c r="FL107" s="949"/>
      <c r="FM107" s="949"/>
      <c r="FN107" s="949"/>
      <c r="FO107" s="949"/>
      <c r="FP107" s="949"/>
      <c r="FQ107" s="949"/>
      <c r="FR107" s="949"/>
      <c r="FS107" s="949"/>
      <c r="FT107" s="949"/>
      <c r="FU107" s="949"/>
      <c r="FV107" s="949"/>
      <c r="FW107" s="949"/>
      <c r="FX107" s="949"/>
      <c r="FY107" s="949"/>
      <c r="FZ107" s="949"/>
      <c r="GA107" s="949"/>
      <c r="GB107" s="949"/>
      <c r="GC107" s="949"/>
      <c r="GD107" s="949"/>
      <c r="GE107" s="949"/>
      <c r="GF107" s="949"/>
      <c r="GG107" s="949"/>
      <c r="GH107" s="949"/>
      <c r="GI107" s="949"/>
      <c r="GJ107" s="949"/>
      <c r="GK107" s="949"/>
      <c r="GL107" s="949"/>
      <c r="GM107" s="949"/>
      <c r="GN107" s="949"/>
      <c r="GO107" s="949"/>
      <c r="GP107" s="949"/>
      <c r="GQ107" s="949"/>
      <c r="GR107" s="949"/>
      <c r="GS107" s="949"/>
      <c r="GT107" s="949"/>
      <c r="GU107" s="949"/>
      <c r="GV107" s="949"/>
      <c r="GW107" s="949"/>
      <c r="GX107" s="949"/>
      <c r="GY107" s="949"/>
      <c r="GZ107" s="949"/>
      <c r="HA107" s="949"/>
      <c r="HB107" s="949"/>
      <c r="HC107" s="949"/>
      <c r="HD107" s="949"/>
      <c r="HE107" s="949"/>
      <c r="HF107" s="949"/>
      <c r="HG107" s="949"/>
      <c r="HH107" s="949"/>
      <c r="HI107" s="949"/>
      <c r="HJ107" s="949"/>
      <c r="HK107" s="949"/>
      <c r="HL107" s="949"/>
      <c r="HM107" s="949"/>
      <c r="HN107" s="949"/>
      <c r="HO107" s="949"/>
      <c r="HP107" s="949"/>
      <c r="HQ107" s="949"/>
      <c r="HR107" s="949"/>
      <c r="HS107" s="949"/>
      <c r="HT107" s="949"/>
      <c r="HU107" s="949"/>
      <c r="HV107" s="949"/>
      <c r="HW107" s="949"/>
      <c r="HX107" s="949"/>
      <c r="HY107" s="949"/>
      <c r="HZ107" s="949"/>
      <c r="IA107" s="949"/>
      <c r="IB107" s="949"/>
      <c r="IC107" s="949"/>
      <c r="ID107" s="949"/>
      <c r="IE107" s="949"/>
      <c r="IF107" s="949"/>
      <c r="IG107" s="949"/>
      <c r="IH107" s="949"/>
      <c r="II107" s="949"/>
      <c r="IJ107" s="949"/>
      <c r="IK107" s="949"/>
      <c r="IL107" s="949"/>
      <c r="IM107" s="1"/>
      <c r="IN107" s="1"/>
      <c r="IO107" s="1"/>
      <c r="IP107" s="1"/>
      <c r="IQ107" s="1"/>
      <c r="IR107" s="1"/>
      <c r="IS107" s="1"/>
      <c r="IT107" s="1"/>
    </row>
    <row r="108" spans="1:254" s="84" customFormat="1" ht="12.9" customHeight="1" thickBot="1" x14ac:dyDescent="0.2">
      <c r="A108" s="954" t="s">
        <v>599</v>
      </c>
      <c r="B108" s="954"/>
      <c r="C108" s="955" t="s">
        <v>389</v>
      </c>
      <c r="D108" s="955"/>
      <c r="E108" s="956" t="s">
        <v>461</v>
      </c>
      <c r="F108" s="956"/>
      <c r="G108" s="944" t="s">
        <v>4</v>
      </c>
      <c r="H108" s="944"/>
      <c r="I108" s="945" t="s">
        <v>600</v>
      </c>
      <c r="J108" s="945"/>
      <c r="K108" s="946" t="s">
        <v>601</v>
      </c>
      <c r="L108" s="946"/>
      <c r="M108" s="958"/>
      <c r="N108" s="949"/>
      <c r="O108" s="949"/>
      <c r="P108" s="949"/>
      <c r="Q108" s="949"/>
      <c r="R108" s="949"/>
      <c r="S108" s="949"/>
      <c r="T108" s="949"/>
      <c r="U108" s="949"/>
      <c r="V108" s="949"/>
      <c r="W108" s="949"/>
      <c r="X108" s="949"/>
      <c r="Y108" s="949"/>
      <c r="Z108" s="949"/>
      <c r="AA108" s="949"/>
      <c r="AB108" s="949"/>
      <c r="AC108" s="949"/>
      <c r="AD108" s="949"/>
      <c r="AE108" s="949"/>
      <c r="AF108" s="949"/>
      <c r="AG108" s="949"/>
      <c r="AH108" s="949"/>
      <c r="AI108" s="949"/>
      <c r="AJ108" s="949"/>
      <c r="AK108" s="949"/>
      <c r="AL108" s="949"/>
      <c r="AM108" s="949"/>
      <c r="AN108" s="949"/>
      <c r="AO108" s="949"/>
      <c r="AP108" s="949"/>
      <c r="AQ108" s="949"/>
      <c r="AR108" s="949"/>
      <c r="AS108" s="949"/>
      <c r="AT108" s="949"/>
      <c r="AU108" s="949"/>
      <c r="AV108" s="949"/>
      <c r="AW108" s="949"/>
      <c r="AX108" s="949"/>
      <c r="AY108" s="949"/>
      <c r="AZ108" s="949"/>
      <c r="BA108" s="949"/>
      <c r="BB108" s="949"/>
      <c r="BC108" s="949"/>
      <c r="BD108" s="949"/>
      <c r="BE108" s="949"/>
      <c r="BF108" s="949"/>
      <c r="BG108" s="949"/>
      <c r="BH108" s="949"/>
      <c r="BI108" s="949"/>
      <c r="BJ108" s="949"/>
      <c r="BK108" s="949"/>
      <c r="BL108" s="949"/>
      <c r="BM108" s="949"/>
      <c r="BN108" s="949"/>
      <c r="BO108" s="949"/>
      <c r="BP108" s="949"/>
      <c r="BQ108" s="949"/>
      <c r="BR108" s="949"/>
      <c r="BS108" s="949"/>
      <c r="BT108" s="949"/>
      <c r="BU108" s="949"/>
      <c r="BV108" s="949"/>
      <c r="BW108" s="949"/>
      <c r="BX108" s="949"/>
      <c r="BY108" s="949"/>
      <c r="BZ108" s="949"/>
      <c r="CA108" s="949"/>
      <c r="CB108" s="949"/>
      <c r="CC108" s="949"/>
      <c r="CD108" s="949"/>
      <c r="CE108" s="949"/>
      <c r="CF108" s="949"/>
      <c r="CG108" s="949"/>
      <c r="CH108" s="949"/>
      <c r="CI108" s="949"/>
      <c r="CJ108" s="949"/>
      <c r="CK108" s="949"/>
      <c r="CL108" s="949"/>
      <c r="CM108" s="949"/>
      <c r="CN108" s="949"/>
      <c r="CO108" s="949"/>
      <c r="CP108" s="949"/>
      <c r="CQ108" s="949"/>
      <c r="CR108" s="949"/>
      <c r="CS108" s="949"/>
      <c r="CT108" s="949"/>
      <c r="CU108" s="949"/>
      <c r="CV108" s="949"/>
      <c r="CW108" s="949"/>
      <c r="CX108" s="949"/>
      <c r="CY108" s="949"/>
      <c r="CZ108" s="949"/>
      <c r="DA108" s="949"/>
      <c r="DB108" s="949"/>
      <c r="DC108" s="949"/>
      <c r="DD108" s="949"/>
      <c r="DE108" s="949"/>
      <c r="DF108" s="949"/>
      <c r="DG108" s="949"/>
      <c r="DH108" s="949"/>
      <c r="DI108" s="949"/>
      <c r="DJ108" s="949"/>
      <c r="DK108" s="949"/>
      <c r="DL108" s="949"/>
      <c r="DM108" s="949"/>
      <c r="DN108" s="949"/>
      <c r="DO108" s="949"/>
      <c r="DP108" s="949"/>
      <c r="DQ108" s="949"/>
      <c r="DR108" s="949"/>
      <c r="DS108" s="949"/>
      <c r="DT108" s="949"/>
      <c r="DU108" s="949"/>
      <c r="DV108" s="949"/>
      <c r="DW108" s="949"/>
      <c r="DX108" s="949"/>
      <c r="DY108" s="949"/>
      <c r="DZ108" s="949"/>
      <c r="EA108" s="949"/>
      <c r="EB108" s="949"/>
      <c r="EC108" s="949"/>
      <c r="ED108" s="949"/>
      <c r="EE108" s="949"/>
      <c r="EF108" s="949"/>
      <c r="EG108" s="949"/>
      <c r="EH108" s="949"/>
      <c r="EI108" s="949"/>
      <c r="EJ108" s="949"/>
      <c r="EK108" s="949"/>
      <c r="EL108" s="949"/>
      <c r="EM108" s="949"/>
      <c r="EN108" s="949"/>
      <c r="EO108" s="949"/>
      <c r="EP108" s="949"/>
      <c r="EQ108" s="949"/>
      <c r="ER108" s="949"/>
      <c r="ES108" s="949"/>
      <c r="ET108" s="949"/>
      <c r="EU108" s="949"/>
      <c r="EV108" s="949"/>
      <c r="EW108" s="949"/>
      <c r="EX108" s="949"/>
      <c r="EY108" s="949"/>
      <c r="EZ108" s="949"/>
      <c r="FA108" s="949"/>
      <c r="FB108" s="949"/>
      <c r="FC108" s="949"/>
      <c r="FD108" s="949"/>
      <c r="FE108" s="949"/>
      <c r="FF108" s="949"/>
      <c r="FG108" s="949"/>
      <c r="FH108" s="949"/>
      <c r="FI108" s="949"/>
      <c r="FJ108" s="949"/>
      <c r="FK108" s="949"/>
      <c r="FL108" s="949"/>
      <c r="FM108" s="949"/>
      <c r="FN108" s="949"/>
      <c r="FO108" s="949"/>
      <c r="FP108" s="949"/>
      <c r="FQ108" s="949"/>
      <c r="FR108" s="949"/>
      <c r="FS108" s="949"/>
      <c r="FT108" s="949"/>
      <c r="FU108" s="949"/>
      <c r="FV108" s="949"/>
      <c r="FW108" s="949"/>
      <c r="FX108" s="949"/>
      <c r="FY108" s="949"/>
      <c r="FZ108" s="949"/>
      <c r="GA108" s="949"/>
      <c r="GB108" s="949"/>
      <c r="GC108" s="949"/>
      <c r="GD108" s="949"/>
      <c r="GE108" s="949"/>
      <c r="GF108" s="949"/>
      <c r="GG108" s="949"/>
      <c r="GH108" s="949"/>
      <c r="GI108" s="949"/>
      <c r="GJ108" s="949"/>
      <c r="GK108" s="949"/>
      <c r="GL108" s="949"/>
      <c r="GM108" s="949"/>
      <c r="GN108" s="949"/>
      <c r="GO108" s="949"/>
      <c r="GP108" s="949"/>
      <c r="GQ108" s="949"/>
      <c r="GR108" s="949"/>
      <c r="GS108" s="949"/>
      <c r="GT108" s="949"/>
      <c r="GU108" s="949"/>
      <c r="GV108" s="949"/>
      <c r="GW108" s="949"/>
      <c r="GX108" s="949"/>
      <c r="GY108" s="949"/>
      <c r="GZ108" s="949"/>
      <c r="HA108" s="949"/>
      <c r="HB108" s="949"/>
      <c r="HC108" s="949"/>
      <c r="HD108" s="949"/>
      <c r="HE108" s="949"/>
      <c r="HF108" s="949"/>
      <c r="HG108" s="949"/>
      <c r="HH108" s="949"/>
      <c r="HI108" s="949"/>
      <c r="HJ108" s="949"/>
      <c r="HK108" s="949"/>
      <c r="HL108" s="949"/>
      <c r="HM108" s="949"/>
      <c r="HN108" s="949"/>
      <c r="HO108" s="949"/>
      <c r="HP108" s="949"/>
      <c r="HQ108" s="949"/>
      <c r="HR108" s="949"/>
      <c r="HS108" s="949"/>
      <c r="HT108" s="949"/>
      <c r="HU108" s="949"/>
      <c r="HV108" s="949"/>
      <c r="HW108" s="949"/>
      <c r="HX108" s="949"/>
      <c r="HY108" s="949"/>
      <c r="HZ108" s="949"/>
      <c r="IA108" s="949"/>
      <c r="IB108" s="949"/>
      <c r="IC108" s="949"/>
      <c r="ID108" s="949"/>
      <c r="IE108" s="949"/>
      <c r="IF108" s="949"/>
      <c r="IG108" s="949"/>
      <c r="IH108" s="949"/>
      <c r="II108" s="949"/>
      <c r="IJ108" s="949"/>
      <c r="IK108" s="949"/>
      <c r="IL108" s="949"/>
      <c r="IM108" s="1"/>
      <c r="IN108" s="1"/>
      <c r="IO108" s="1"/>
      <c r="IP108" s="1"/>
      <c r="IQ108" s="1"/>
      <c r="IR108" s="1"/>
      <c r="IS108" s="1"/>
      <c r="IT108" s="1"/>
    </row>
    <row r="109" spans="1:254" s="84" customFormat="1" ht="12.9" customHeight="1" thickBot="1" x14ac:dyDescent="0.2">
      <c r="A109" s="85">
        <f>B109+SUM(O113:IL113)</f>
        <v>0</v>
      </c>
      <c r="B109" s="9">
        <f>J113+L113</f>
        <v>0</v>
      </c>
      <c r="C109" s="86">
        <f>D109-SUM(O114:IL114)+SUM(O115:IL115)</f>
        <v>0</v>
      </c>
      <c r="D109" s="10">
        <f>J115+L115</f>
        <v>0</v>
      </c>
      <c r="E109" s="11">
        <f>J116+L116</f>
        <v>0</v>
      </c>
      <c r="F109" s="12">
        <f>E109+SUM(O116:IL116)</f>
        <v>0</v>
      </c>
      <c r="G109" s="938" t="s">
        <v>18</v>
      </c>
      <c r="H109" s="938"/>
      <c r="I109" s="939" t="s">
        <v>18</v>
      </c>
      <c r="J109" s="939"/>
      <c r="K109" s="940" t="s">
        <v>18</v>
      </c>
      <c r="L109" s="940"/>
      <c r="M109" s="958"/>
      <c r="N109" s="958"/>
      <c r="O109" s="949"/>
      <c r="P109" s="949"/>
      <c r="Q109" s="949"/>
      <c r="R109" s="949"/>
      <c r="S109" s="949"/>
      <c r="T109" s="949"/>
      <c r="U109" s="949"/>
      <c r="V109" s="949"/>
      <c r="W109" s="949"/>
      <c r="X109" s="949"/>
      <c r="Y109" s="949"/>
      <c r="Z109" s="949"/>
      <c r="AA109" s="949"/>
      <c r="AB109" s="949"/>
      <c r="AC109" s="949"/>
      <c r="AD109" s="949"/>
      <c r="AE109" s="949"/>
      <c r="AF109" s="949"/>
      <c r="AG109" s="949"/>
      <c r="AH109" s="949"/>
      <c r="AI109" s="949"/>
      <c r="AJ109" s="949"/>
      <c r="AK109" s="949"/>
      <c r="AL109" s="949"/>
      <c r="AM109" s="949"/>
      <c r="AN109" s="949"/>
      <c r="AO109" s="949"/>
      <c r="AP109" s="949"/>
      <c r="AQ109" s="949"/>
      <c r="AR109" s="949"/>
      <c r="AS109" s="949"/>
      <c r="AT109" s="949"/>
      <c r="AU109" s="949"/>
      <c r="AV109" s="949"/>
      <c r="AW109" s="949"/>
      <c r="AX109" s="949"/>
      <c r="AY109" s="949"/>
      <c r="AZ109" s="949"/>
      <c r="BA109" s="949"/>
      <c r="BB109" s="949"/>
      <c r="BC109" s="949"/>
      <c r="BD109" s="949"/>
      <c r="BE109" s="949"/>
      <c r="BF109" s="949"/>
      <c r="BG109" s="949"/>
      <c r="BH109" s="949"/>
      <c r="BI109" s="949"/>
      <c r="BJ109" s="949"/>
      <c r="BK109" s="949"/>
      <c r="BL109" s="949"/>
      <c r="BM109" s="949"/>
      <c r="BN109" s="949"/>
      <c r="BO109" s="949"/>
      <c r="BP109" s="949"/>
      <c r="BQ109" s="949"/>
      <c r="BR109" s="949"/>
      <c r="BS109" s="949"/>
      <c r="BT109" s="949"/>
      <c r="BU109" s="949"/>
      <c r="BV109" s="949"/>
      <c r="BW109" s="949"/>
      <c r="BX109" s="949"/>
      <c r="BY109" s="949"/>
      <c r="BZ109" s="949"/>
      <c r="CA109" s="949"/>
      <c r="CB109" s="949"/>
      <c r="CC109" s="949"/>
      <c r="CD109" s="949"/>
      <c r="CE109" s="949"/>
      <c r="CF109" s="949"/>
      <c r="CG109" s="949"/>
      <c r="CH109" s="949"/>
      <c r="CI109" s="949"/>
      <c r="CJ109" s="949"/>
      <c r="CK109" s="949"/>
      <c r="CL109" s="949"/>
      <c r="CM109" s="949"/>
      <c r="CN109" s="949"/>
      <c r="CO109" s="949"/>
      <c r="CP109" s="949"/>
      <c r="CQ109" s="949"/>
      <c r="CR109" s="949"/>
      <c r="CS109" s="949"/>
      <c r="CT109" s="949"/>
      <c r="CU109" s="949"/>
      <c r="CV109" s="949"/>
      <c r="CW109" s="949"/>
      <c r="CX109" s="949"/>
      <c r="CY109" s="949"/>
      <c r="CZ109" s="949"/>
      <c r="DA109" s="949"/>
      <c r="DB109" s="949"/>
      <c r="DC109" s="949"/>
      <c r="DD109" s="949"/>
      <c r="DE109" s="949"/>
      <c r="DF109" s="949"/>
      <c r="DG109" s="949"/>
      <c r="DH109" s="949"/>
      <c r="DI109" s="949"/>
      <c r="DJ109" s="949"/>
      <c r="DK109" s="949"/>
      <c r="DL109" s="949"/>
      <c r="DM109" s="949"/>
      <c r="DN109" s="949"/>
      <c r="DO109" s="949"/>
      <c r="DP109" s="949"/>
      <c r="DQ109" s="949"/>
      <c r="DR109" s="949"/>
      <c r="DS109" s="949"/>
      <c r="DT109" s="949"/>
      <c r="DU109" s="949"/>
      <c r="DV109" s="949"/>
      <c r="DW109" s="949"/>
      <c r="DX109" s="949"/>
      <c r="DY109" s="949"/>
      <c r="DZ109" s="949"/>
      <c r="EA109" s="949"/>
      <c r="EB109" s="949"/>
      <c r="EC109" s="949"/>
      <c r="ED109" s="949"/>
      <c r="EE109" s="949"/>
      <c r="EF109" s="949"/>
      <c r="EG109" s="949"/>
      <c r="EH109" s="949"/>
      <c r="EI109" s="949"/>
      <c r="EJ109" s="949"/>
      <c r="EK109" s="949"/>
      <c r="EL109" s="949"/>
      <c r="EM109" s="949"/>
      <c r="EN109" s="949"/>
      <c r="EO109" s="949"/>
      <c r="EP109" s="949"/>
      <c r="EQ109" s="949"/>
      <c r="ER109" s="949"/>
      <c r="ES109" s="949"/>
      <c r="ET109" s="949"/>
      <c r="EU109" s="949"/>
      <c r="EV109" s="949"/>
      <c r="EW109" s="949"/>
      <c r="EX109" s="949"/>
      <c r="EY109" s="949"/>
      <c r="EZ109" s="949"/>
      <c r="FA109" s="949"/>
      <c r="FB109" s="949"/>
      <c r="FC109" s="949"/>
      <c r="FD109" s="949"/>
      <c r="FE109" s="949"/>
      <c r="FF109" s="949"/>
      <c r="FG109" s="949"/>
      <c r="FH109" s="949"/>
      <c r="FI109" s="949"/>
      <c r="FJ109" s="949"/>
      <c r="FK109" s="949"/>
      <c r="FL109" s="949"/>
      <c r="FM109" s="949"/>
      <c r="FN109" s="949"/>
      <c r="FO109" s="949"/>
      <c r="FP109" s="949"/>
      <c r="FQ109" s="949"/>
      <c r="FR109" s="949"/>
      <c r="FS109" s="949"/>
      <c r="FT109" s="949"/>
      <c r="FU109" s="949"/>
      <c r="FV109" s="949"/>
      <c r="FW109" s="949"/>
      <c r="FX109" s="949"/>
      <c r="FY109" s="949"/>
      <c r="FZ109" s="949"/>
      <c r="GA109" s="949"/>
      <c r="GB109" s="949"/>
      <c r="GC109" s="949"/>
      <c r="GD109" s="949"/>
      <c r="GE109" s="949"/>
      <c r="GF109" s="949"/>
      <c r="GG109" s="949"/>
      <c r="GH109" s="949"/>
      <c r="GI109" s="949"/>
      <c r="GJ109" s="949"/>
      <c r="GK109" s="949"/>
      <c r="GL109" s="949"/>
      <c r="GM109" s="949"/>
      <c r="GN109" s="949"/>
      <c r="GO109" s="949"/>
      <c r="GP109" s="949"/>
      <c r="GQ109" s="949"/>
      <c r="GR109" s="949"/>
      <c r="GS109" s="949"/>
      <c r="GT109" s="949"/>
      <c r="GU109" s="949"/>
      <c r="GV109" s="949"/>
      <c r="GW109" s="949"/>
      <c r="GX109" s="949"/>
      <c r="GY109" s="949"/>
      <c r="GZ109" s="949"/>
      <c r="HA109" s="949"/>
      <c r="HB109" s="949"/>
      <c r="HC109" s="949"/>
      <c r="HD109" s="949"/>
      <c r="HE109" s="949"/>
      <c r="HF109" s="949"/>
      <c r="HG109" s="949"/>
      <c r="HH109" s="949"/>
      <c r="HI109" s="949"/>
      <c r="HJ109" s="949"/>
      <c r="HK109" s="949"/>
      <c r="HL109" s="949"/>
      <c r="HM109" s="949"/>
      <c r="HN109" s="949"/>
      <c r="HO109" s="949"/>
      <c r="HP109" s="949"/>
      <c r="HQ109" s="949"/>
      <c r="HR109" s="949"/>
      <c r="HS109" s="949"/>
      <c r="HT109" s="949"/>
      <c r="HU109" s="949"/>
      <c r="HV109" s="949"/>
      <c r="HW109" s="949"/>
      <c r="HX109" s="949"/>
      <c r="HY109" s="949"/>
      <c r="HZ109" s="949"/>
      <c r="IA109" s="949"/>
      <c r="IB109" s="949"/>
      <c r="IC109" s="949"/>
      <c r="ID109" s="949"/>
      <c r="IE109" s="949"/>
      <c r="IF109" s="949"/>
      <c r="IG109" s="949"/>
      <c r="IH109" s="949"/>
      <c r="II109" s="949"/>
      <c r="IJ109" s="949"/>
      <c r="IK109" s="949"/>
      <c r="IL109" s="949"/>
      <c r="IM109" s="1"/>
      <c r="IN109" s="1"/>
      <c r="IO109" s="1"/>
      <c r="IP109" s="1"/>
      <c r="IQ109" s="1"/>
      <c r="IR109" s="1"/>
      <c r="IS109" s="1"/>
      <c r="IT109" s="1"/>
    </row>
    <row r="110" spans="1:254" s="84" customFormat="1" ht="12" customHeight="1" thickBot="1" x14ac:dyDescent="0.2">
      <c r="A110" s="941" t="s">
        <v>395</v>
      </c>
      <c r="B110" s="942"/>
      <c r="C110" s="87" t="s">
        <v>602</v>
      </c>
      <c r="D110" s="88" t="s">
        <v>603</v>
      </c>
      <c r="E110" s="943"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3"/>
      <c r="G110" s="944" t="s">
        <v>15</v>
      </c>
      <c r="H110" s="944"/>
      <c r="I110" s="945" t="s">
        <v>415</v>
      </c>
      <c r="J110" s="945"/>
      <c r="K110" s="946" t="s">
        <v>604</v>
      </c>
      <c r="L110" s="946"/>
      <c r="M110" s="958"/>
      <c r="N110" s="958"/>
      <c r="O110" s="949"/>
      <c r="P110" s="949"/>
      <c r="Q110" s="949"/>
      <c r="R110" s="949"/>
      <c r="S110" s="949"/>
      <c r="T110" s="949"/>
      <c r="U110" s="949"/>
      <c r="V110" s="949"/>
      <c r="W110" s="949"/>
      <c r="X110" s="949"/>
      <c r="Y110" s="949"/>
      <c r="Z110" s="949"/>
      <c r="AA110" s="949"/>
      <c r="AB110" s="949"/>
      <c r="AC110" s="949"/>
      <c r="AD110" s="949"/>
      <c r="AE110" s="949"/>
      <c r="AF110" s="949"/>
      <c r="AG110" s="949"/>
      <c r="AH110" s="949"/>
      <c r="AI110" s="949"/>
      <c r="AJ110" s="949"/>
      <c r="AK110" s="949"/>
      <c r="AL110" s="949"/>
      <c r="AM110" s="949"/>
      <c r="AN110" s="949"/>
      <c r="AO110" s="949"/>
      <c r="AP110" s="949"/>
      <c r="AQ110" s="949"/>
      <c r="AR110" s="949"/>
      <c r="AS110" s="949"/>
      <c r="AT110" s="949"/>
      <c r="AU110" s="949"/>
      <c r="AV110" s="949"/>
      <c r="AW110" s="949"/>
      <c r="AX110" s="949"/>
      <c r="AY110" s="949"/>
      <c r="AZ110" s="949"/>
      <c r="BA110" s="949"/>
      <c r="BB110" s="949"/>
      <c r="BC110" s="949"/>
      <c r="BD110" s="949"/>
      <c r="BE110" s="949"/>
      <c r="BF110" s="949"/>
      <c r="BG110" s="949"/>
      <c r="BH110" s="949"/>
      <c r="BI110" s="949"/>
      <c r="BJ110" s="949"/>
      <c r="BK110" s="949"/>
      <c r="BL110" s="949"/>
      <c r="BM110" s="949"/>
      <c r="BN110" s="949"/>
      <c r="BO110" s="949"/>
      <c r="BP110" s="949"/>
      <c r="BQ110" s="949"/>
      <c r="BR110" s="949"/>
      <c r="BS110" s="949"/>
      <c r="BT110" s="949"/>
      <c r="BU110" s="949"/>
      <c r="BV110" s="949"/>
      <c r="BW110" s="949"/>
      <c r="BX110" s="949"/>
      <c r="BY110" s="949"/>
      <c r="BZ110" s="949"/>
      <c r="CA110" s="949"/>
      <c r="CB110" s="949"/>
      <c r="CC110" s="949"/>
      <c r="CD110" s="949"/>
      <c r="CE110" s="949"/>
      <c r="CF110" s="949"/>
      <c r="CG110" s="949"/>
      <c r="CH110" s="949"/>
      <c r="CI110" s="949"/>
      <c r="CJ110" s="949"/>
      <c r="CK110" s="949"/>
      <c r="CL110" s="949"/>
      <c r="CM110" s="949"/>
      <c r="CN110" s="949"/>
      <c r="CO110" s="949"/>
      <c r="CP110" s="949"/>
      <c r="CQ110" s="949"/>
      <c r="CR110" s="949"/>
      <c r="CS110" s="949"/>
      <c r="CT110" s="949"/>
      <c r="CU110" s="949"/>
      <c r="CV110" s="949"/>
      <c r="CW110" s="949"/>
      <c r="CX110" s="949"/>
      <c r="CY110" s="949"/>
      <c r="CZ110" s="949"/>
      <c r="DA110" s="949"/>
      <c r="DB110" s="949"/>
      <c r="DC110" s="949"/>
      <c r="DD110" s="949"/>
      <c r="DE110" s="949"/>
      <c r="DF110" s="949"/>
      <c r="DG110" s="949"/>
      <c r="DH110" s="949"/>
      <c r="DI110" s="949"/>
      <c r="DJ110" s="949"/>
      <c r="DK110" s="949"/>
      <c r="DL110" s="949"/>
      <c r="DM110" s="949"/>
      <c r="DN110" s="949"/>
      <c r="DO110" s="949"/>
      <c r="DP110" s="949"/>
      <c r="DQ110" s="949"/>
      <c r="DR110" s="949"/>
      <c r="DS110" s="949"/>
      <c r="DT110" s="949"/>
      <c r="DU110" s="949"/>
      <c r="DV110" s="949"/>
      <c r="DW110" s="949"/>
      <c r="DX110" s="949"/>
      <c r="DY110" s="949"/>
      <c r="DZ110" s="949"/>
      <c r="EA110" s="949"/>
      <c r="EB110" s="949"/>
      <c r="EC110" s="949"/>
      <c r="ED110" s="949"/>
      <c r="EE110" s="949"/>
      <c r="EF110" s="949"/>
      <c r="EG110" s="949"/>
      <c r="EH110" s="949"/>
      <c r="EI110" s="949"/>
      <c r="EJ110" s="949"/>
      <c r="EK110" s="949"/>
      <c r="EL110" s="949"/>
      <c r="EM110" s="949"/>
      <c r="EN110" s="949"/>
      <c r="EO110" s="949"/>
      <c r="EP110" s="949"/>
      <c r="EQ110" s="949"/>
      <c r="ER110" s="949"/>
      <c r="ES110" s="949"/>
      <c r="ET110" s="949"/>
      <c r="EU110" s="949"/>
      <c r="EV110" s="949"/>
      <c r="EW110" s="949"/>
      <c r="EX110" s="949"/>
      <c r="EY110" s="949"/>
      <c r="EZ110" s="949"/>
      <c r="FA110" s="949"/>
      <c r="FB110" s="949"/>
      <c r="FC110" s="949"/>
      <c r="FD110" s="949"/>
      <c r="FE110" s="949"/>
      <c r="FF110" s="949"/>
      <c r="FG110" s="949"/>
      <c r="FH110" s="949"/>
      <c r="FI110" s="949"/>
      <c r="FJ110" s="949"/>
      <c r="FK110" s="949"/>
      <c r="FL110" s="949"/>
      <c r="FM110" s="949"/>
      <c r="FN110" s="949"/>
      <c r="FO110" s="949"/>
      <c r="FP110" s="949"/>
      <c r="FQ110" s="949"/>
      <c r="FR110" s="949"/>
      <c r="FS110" s="949"/>
      <c r="FT110" s="949"/>
      <c r="FU110" s="949"/>
      <c r="FV110" s="949"/>
      <c r="FW110" s="949"/>
      <c r="FX110" s="949"/>
      <c r="FY110" s="949"/>
      <c r="FZ110" s="949"/>
      <c r="GA110" s="949"/>
      <c r="GB110" s="949"/>
      <c r="GC110" s="949"/>
      <c r="GD110" s="949"/>
      <c r="GE110" s="949"/>
      <c r="GF110" s="949"/>
      <c r="GG110" s="949"/>
      <c r="GH110" s="949"/>
      <c r="GI110" s="949"/>
      <c r="GJ110" s="949"/>
      <c r="GK110" s="949"/>
      <c r="GL110" s="949"/>
      <c r="GM110" s="949"/>
      <c r="GN110" s="949"/>
      <c r="GO110" s="949"/>
      <c r="GP110" s="949"/>
      <c r="GQ110" s="949"/>
      <c r="GR110" s="949"/>
      <c r="GS110" s="949"/>
      <c r="GT110" s="949"/>
      <c r="GU110" s="949"/>
      <c r="GV110" s="949"/>
      <c r="GW110" s="949"/>
      <c r="GX110" s="949"/>
      <c r="GY110" s="949"/>
      <c r="GZ110" s="949"/>
      <c r="HA110" s="949"/>
      <c r="HB110" s="949"/>
      <c r="HC110" s="949"/>
      <c r="HD110" s="949"/>
      <c r="HE110" s="949"/>
      <c r="HF110" s="949"/>
      <c r="HG110" s="949"/>
      <c r="HH110" s="949"/>
      <c r="HI110" s="949"/>
      <c r="HJ110" s="949"/>
      <c r="HK110" s="949"/>
      <c r="HL110" s="949"/>
      <c r="HM110" s="949"/>
      <c r="HN110" s="949"/>
      <c r="HO110" s="949"/>
      <c r="HP110" s="949"/>
      <c r="HQ110" s="949"/>
      <c r="HR110" s="949"/>
      <c r="HS110" s="949"/>
      <c r="HT110" s="949"/>
      <c r="HU110" s="949"/>
      <c r="HV110" s="949"/>
      <c r="HW110" s="949"/>
      <c r="HX110" s="949"/>
      <c r="HY110" s="949"/>
      <c r="HZ110" s="949"/>
      <c r="IA110" s="949"/>
      <c r="IB110" s="949"/>
      <c r="IC110" s="949"/>
      <c r="ID110" s="949"/>
      <c r="IE110" s="949"/>
      <c r="IF110" s="949"/>
      <c r="IG110" s="949"/>
      <c r="IH110" s="949"/>
      <c r="II110" s="949"/>
      <c r="IJ110" s="949"/>
      <c r="IK110" s="949"/>
      <c r="IL110" s="949"/>
      <c r="IM110" s="1"/>
      <c r="IN110" s="1"/>
      <c r="IO110" s="1"/>
      <c r="IP110" s="1"/>
      <c r="IQ110" s="1"/>
      <c r="IR110" s="1"/>
      <c r="IS110" s="1"/>
      <c r="IT110" s="1"/>
    </row>
    <row r="111" spans="1:254" s="84" customFormat="1" ht="12.9" customHeight="1" thickBot="1" x14ac:dyDescent="0.2">
      <c r="A111" s="941"/>
      <c r="B111" s="942"/>
      <c r="C111" s="89">
        <f>SUM(L114:IQ114)</f>
        <v>0</v>
      </c>
      <c r="D111" s="13">
        <f>ROUNDDOWN((C111/5),0)+SUM(I112:IL112)</f>
        <v>0</v>
      </c>
      <c r="E111" s="947" t="str">
        <f>IF(F109&lt;50,"未活性",IF(F109&lt;60,"活性Lv1",IF(F109&lt;70,"活性Lv2",IF(F109&lt;80,"活性Lv3",IF(F109&lt;90,"活性Lv4",IF(F109&lt;100,"活性Lv5",IF(F109&lt;150,"活性Lv5","強制キャラロスト")))))))</f>
        <v>未活性</v>
      </c>
      <c r="F111" s="947"/>
      <c r="G111" s="930" t="s">
        <v>18</v>
      </c>
      <c r="H111" s="930"/>
      <c r="I111" s="931" t="s">
        <v>18</v>
      </c>
      <c r="J111" s="931"/>
      <c r="K111" s="932" t="str">
        <f>IF(OR(A109&lt;=B109/2,F109&gt;=90),IF(F109&gt;=120,"オーバーフロー","発動中"),"-")</f>
        <v>発動中</v>
      </c>
      <c r="L111" s="932"/>
      <c r="M111" s="958"/>
      <c r="N111" s="958"/>
      <c r="O111" s="949"/>
      <c r="P111" s="949"/>
      <c r="Q111" s="949"/>
      <c r="R111" s="949"/>
      <c r="S111" s="949"/>
      <c r="T111" s="949"/>
      <c r="U111" s="949"/>
      <c r="V111" s="949"/>
      <c r="W111" s="949"/>
      <c r="X111" s="949"/>
      <c r="Y111" s="949"/>
      <c r="Z111" s="949"/>
      <c r="AA111" s="949"/>
      <c r="AB111" s="949"/>
      <c r="AC111" s="949"/>
      <c r="AD111" s="949"/>
      <c r="AE111" s="949"/>
      <c r="AF111" s="949"/>
      <c r="AG111" s="949"/>
      <c r="AH111" s="949"/>
      <c r="AI111" s="949"/>
      <c r="AJ111" s="949"/>
      <c r="AK111" s="949"/>
      <c r="AL111" s="949"/>
      <c r="AM111" s="949"/>
      <c r="AN111" s="949"/>
      <c r="AO111" s="949"/>
      <c r="AP111" s="949"/>
      <c r="AQ111" s="949"/>
      <c r="AR111" s="949"/>
      <c r="AS111" s="949"/>
      <c r="AT111" s="949"/>
      <c r="AU111" s="949"/>
      <c r="AV111" s="949"/>
      <c r="AW111" s="949"/>
      <c r="AX111" s="949"/>
      <c r="AY111" s="949"/>
      <c r="AZ111" s="949"/>
      <c r="BA111" s="949"/>
      <c r="BB111" s="949"/>
      <c r="BC111" s="949"/>
      <c r="BD111" s="949"/>
      <c r="BE111" s="949"/>
      <c r="BF111" s="949"/>
      <c r="BG111" s="949"/>
      <c r="BH111" s="949"/>
      <c r="BI111" s="949"/>
      <c r="BJ111" s="949"/>
      <c r="BK111" s="949"/>
      <c r="BL111" s="949"/>
      <c r="BM111" s="949"/>
      <c r="BN111" s="949"/>
      <c r="BO111" s="949"/>
      <c r="BP111" s="949"/>
      <c r="BQ111" s="949"/>
      <c r="BR111" s="949"/>
      <c r="BS111" s="949"/>
      <c r="BT111" s="949"/>
      <c r="BU111" s="949"/>
      <c r="BV111" s="949"/>
      <c r="BW111" s="949"/>
      <c r="BX111" s="949"/>
      <c r="BY111" s="949"/>
      <c r="BZ111" s="949"/>
      <c r="CA111" s="949"/>
      <c r="CB111" s="949"/>
      <c r="CC111" s="949"/>
      <c r="CD111" s="949"/>
      <c r="CE111" s="949"/>
      <c r="CF111" s="949"/>
      <c r="CG111" s="949"/>
      <c r="CH111" s="949"/>
      <c r="CI111" s="949"/>
      <c r="CJ111" s="949"/>
      <c r="CK111" s="949"/>
      <c r="CL111" s="949"/>
      <c r="CM111" s="949"/>
      <c r="CN111" s="949"/>
      <c r="CO111" s="949"/>
      <c r="CP111" s="949"/>
      <c r="CQ111" s="949"/>
      <c r="CR111" s="949"/>
      <c r="CS111" s="949"/>
      <c r="CT111" s="949"/>
      <c r="CU111" s="949"/>
      <c r="CV111" s="949"/>
      <c r="CW111" s="949"/>
      <c r="CX111" s="949"/>
      <c r="CY111" s="949"/>
      <c r="CZ111" s="949"/>
      <c r="DA111" s="949"/>
      <c r="DB111" s="949"/>
      <c r="DC111" s="949"/>
      <c r="DD111" s="949"/>
      <c r="DE111" s="949"/>
      <c r="DF111" s="949"/>
      <c r="DG111" s="949"/>
      <c r="DH111" s="949"/>
      <c r="DI111" s="949"/>
      <c r="DJ111" s="949"/>
      <c r="DK111" s="949"/>
      <c r="DL111" s="949"/>
      <c r="DM111" s="949"/>
      <c r="DN111" s="949"/>
      <c r="DO111" s="949"/>
      <c r="DP111" s="949"/>
      <c r="DQ111" s="949"/>
      <c r="DR111" s="949"/>
      <c r="DS111" s="949"/>
      <c r="DT111" s="949"/>
      <c r="DU111" s="949"/>
      <c r="DV111" s="949"/>
      <c r="DW111" s="949"/>
      <c r="DX111" s="949"/>
      <c r="DY111" s="949"/>
      <c r="DZ111" s="949"/>
      <c r="EA111" s="949"/>
      <c r="EB111" s="949"/>
      <c r="EC111" s="949"/>
      <c r="ED111" s="949"/>
      <c r="EE111" s="949"/>
      <c r="EF111" s="949"/>
      <c r="EG111" s="949"/>
      <c r="EH111" s="949"/>
      <c r="EI111" s="949"/>
      <c r="EJ111" s="949"/>
      <c r="EK111" s="949"/>
      <c r="EL111" s="949"/>
      <c r="EM111" s="949"/>
      <c r="EN111" s="949"/>
      <c r="EO111" s="949"/>
      <c r="EP111" s="949"/>
      <c r="EQ111" s="949"/>
      <c r="ER111" s="949"/>
      <c r="ES111" s="949"/>
      <c r="ET111" s="949"/>
      <c r="EU111" s="949"/>
      <c r="EV111" s="949"/>
      <c r="EW111" s="949"/>
      <c r="EX111" s="949"/>
      <c r="EY111" s="949"/>
      <c r="EZ111" s="949"/>
      <c r="FA111" s="949"/>
      <c r="FB111" s="949"/>
      <c r="FC111" s="949"/>
      <c r="FD111" s="949"/>
      <c r="FE111" s="949"/>
      <c r="FF111" s="949"/>
      <c r="FG111" s="949"/>
      <c r="FH111" s="949"/>
      <c r="FI111" s="949"/>
      <c r="FJ111" s="949"/>
      <c r="FK111" s="949"/>
      <c r="FL111" s="949"/>
      <c r="FM111" s="949"/>
      <c r="FN111" s="949"/>
      <c r="FO111" s="949"/>
      <c r="FP111" s="949"/>
      <c r="FQ111" s="949"/>
      <c r="FR111" s="949"/>
      <c r="FS111" s="949"/>
      <c r="FT111" s="949"/>
      <c r="FU111" s="949"/>
      <c r="FV111" s="949"/>
      <c r="FW111" s="949"/>
      <c r="FX111" s="949"/>
      <c r="FY111" s="949"/>
      <c r="FZ111" s="949"/>
      <c r="GA111" s="949"/>
      <c r="GB111" s="949"/>
      <c r="GC111" s="949"/>
      <c r="GD111" s="949"/>
      <c r="GE111" s="949"/>
      <c r="GF111" s="949"/>
      <c r="GG111" s="949"/>
      <c r="GH111" s="949"/>
      <c r="GI111" s="949"/>
      <c r="GJ111" s="949"/>
      <c r="GK111" s="949"/>
      <c r="GL111" s="949"/>
      <c r="GM111" s="949"/>
      <c r="GN111" s="949"/>
      <c r="GO111" s="949"/>
      <c r="GP111" s="949"/>
      <c r="GQ111" s="949"/>
      <c r="GR111" s="949"/>
      <c r="GS111" s="949"/>
      <c r="GT111" s="949"/>
      <c r="GU111" s="949"/>
      <c r="GV111" s="949"/>
      <c r="GW111" s="949"/>
      <c r="GX111" s="949"/>
      <c r="GY111" s="949"/>
      <c r="GZ111" s="949"/>
      <c r="HA111" s="949"/>
      <c r="HB111" s="949"/>
      <c r="HC111" s="949"/>
      <c r="HD111" s="949"/>
      <c r="HE111" s="949"/>
      <c r="HF111" s="949"/>
      <c r="HG111" s="949"/>
      <c r="HH111" s="949"/>
      <c r="HI111" s="949"/>
      <c r="HJ111" s="949"/>
      <c r="HK111" s="949"/>
      <c r="HL111" s="949"/>
      <c r="HM111" s="949"/>
      <c r="HN111" s="949"/>
      <c r="HO111" s="949"/>
      <c r="HP111" s="949"/>
      <c r="HQ111" s="949"/>
      <c r="HR111" s="949"/>
      <c r="HS111" s="949"/>
      <c r="HT111" s="949"/>
      <c r="HU111" s="949"/>
      <c r="HV111" s="949"/>
      <c r="HW111" s="949"/>
      <c r="HX111" s="949"/>
      <c r="HY111" s="949"/>
      <c r="HZ111" s="949"/>
      <c r="IA111" s="949"/>
      <c r="IB111" s="949"/>
      <c r="IC111" s="949"/>
      <c r="ID111" s="949"/>
      <c r="IE111" s="949"/>
      <c r="IF111" s="949"/>
      <c r="IG111" s="949"/>
      <c r="IH111" s="949"/>
      <c r="II111" s="949"/>
      <c r="IJ111" s="949"/>
      <c r="IK111" s="949"/>
      <c r="IL111" s="949"/>
      <c r="IM111" s="1"/>
      <c r="IN111" s="1"/>
      <c r="IO111" s="1"/>
      <c r="IP111" s="1"/>
      <c r="IQ111" s="1"/>
      <c r="IR111" s="1"/>
      <c r="IS111" s="1"/>
      <c r="IT111" s="1"/>
    </row>
    <row r="112" spans="1:254" s="92" customFormat="1" ht="12.9" customHeight="1" thickBot="1" x14ac:dyDescent="0.2">
      <c r="A112" s="90" t="s">
        <v>387</v>
      </c>
      <c r="B112" s="41"/>
      <c r="C112" s="933" t="str">
        <f>IF(G107="反応型",IF(50&gt;F109,"+0",IF(60&gt;F109,"+1",IF(70&gt;F109,"+2",IF(F109&gt;=70,"+3")))),"活性補正")</f>
        <v>活性補正</v>
      </c>
      <c r="D112" s="46" t="s">
        <v>388</v>
      </c>
      <c r="E112" s="42"/>
      <c r="F112" s="934" t="str">
        <f>IF(G107="増強型",IF(50&gt;F109,"+0",IF(60&gt;F109,"+1",IF(70&gt;F109,"+2",IF(F109&gt;=70,"+3")))),"活性補正")</f>
        <v>活性補正</v>
      </c>
      <c r="G112" s="935" t="s">
        <v>605</v>
      </c>
      <c r="H112" s="935"/>
      <c r="I112" s="936" t="s">
        <v>606</v>
      </c>
      <c r="J112" s="936"/>
      <c r="K112" s="936"/>
      <c r="L112" s="936"/>
      <c r="M112" s="91" t="s">
        <v>607</v>
      </c>
      <c r="N112" s="92" t="s">
        <v>593</v>
      </c>
      <c r="O112" s="92">
        <v>0</v>
      </c>
      <c r="IL112" s="93"/>
      <c r="IM112" s="1"/>
      <c r="IN112" s="1"/>
      <c r="IO112" s="1"/>
      <c r="IP112" s="1"/>
      <c r="IQ112" s="1"/>
      <c r="IR112" s="1"/>
      <c r="IS112" s="1"/>
      <c r="IT112" s="1"/>
    </row>
    <row r="113" spans="1:254" s="98" customFormat="1" ht="12.9" customHeight="1" thickBot="1" x14ac:dyDescent="0.2">
      <c r="A113" s="21" t="s">
        <v>390</v>
      </c>
      <c r="B113" s="43"/>
      <c r="C113" s="933"/>
      <c r="D113" s="20" t="s">
        <v>391</v>
      </c>
      <c r="E113" s="44"/>
      <c r="F113" s="934"/>
      <c r="G113" s="937" t="s">
        <v>608</v>
      </c>
      <c r="H113" s="937"/>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33"/>
      <c r="D114" s="20" t="s">
        <v>394</v>
      </c>
      <c r="E114" s="44"/>
      <c r="F114" s="934"/>
      <c r="G114" s="928" t="s">
        <v>611</v>
      </c>
      <c r="H114" s="928"/>
      <c r="I114" s="100"/>
      <c r="J114" s="101"/>
      <c r="K114" s="101"/>
      <c r="L114" s="102"/>
      <c r="M114" s="103" t="s">
        <v>612</v>
      </c>
      <c r="N114" s="104" t="s">
        <v>593</v>
      </c>
      <c r="O114" s="104"/>
      <c r="IL114" s="106"/>
      <c r="IM114" s="1"/>
      <c r="IN114" s="1"/>
      <c r="IO114" s="1"/>
      <c r="IP114" s="1"/>
      <c r="IQ114" s="1"/>
      <c r="IR114" s="1"/>
      <c r="IS114" s="1"/>
      <c r="IT114" s="1"/>
    </row>
    <row r="115" spans="1:254" s="105" customFormat="1" ht="12.9" customHeight="1" x14ac:dyDescent="0.15">
      <c r="A115" s="21" t="s">
        <v>244</v>
      </c>
      <c r="B115" s="150"/>
      <c r="C115" s="927" t="str">
        <f>IF(G107="増強型",IF(50&gt;F109,"+0",IF(60&gt;F109,"+1",IF(70&gt;F109,"+2",IF(F109&gt;=70,"+3")))),"活性補正")</f>
        <v>活性補正</v>
      </c>
      <c r="D115" s="20" t="s">
        <v>613</v>
      </c>
      <c r="E115" s="150"/>
      <c r="F115" s="18"/>
      <c r="G115" s="928" t="s">
        <v>614</v>
      </c>
      <c r="H115" s="928"/>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 customHeight="1" thickBot="1" x14ac:dyDescent="0.2">
      <c r="A116" s="21" t="s">
        <v>392</v>
      </c>
      <c r="B116" s="150"/>
      <c r="C116" s="927"/>
      <c r="D116" s="20" t="s">
        <v>397</v>
      </c>
      <c r="E116" s="150"/>
      <c r="F116" s="109" t="str">
        <f>IF(G107="覚醒型",IF(50&gt;F109,"+0",IF(60&gt;F109,"+1",IF(70&gt;F109,"+2",IF(F109&gt;=70,"+3")))),"活性補正")</f>
        <v>活性補正</v>
      </c>
      <c r="G116" s="929" t="s">
        <v>617</v>
      </c>
      <c r="H116" s="929"/>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 customHeight="1" thickBot="1" x14ac:dyDescent="0.2">
      <c r="A120" s="959" t="s">
        <v>383</v>
      </c>
      <c r="B120" s="959"/>
      <c r="C120" s="959"/>
      <c r="D120" s="959"/>
      <c r="E120" s="960" t="s">
        <v>401</v>
      </c>
      <c r="F120" s="960"/>
      <c r="G120" s="957" t="s">
        <v>1</v>
      </c>
      <c r="H120" s="957"/>
      <c r="I120" s="957" t="s">
        <v>257</v>
      </c>
      <c r="J120" s="957"/>
      <c r="K120" s="957"/>
      <c r="L120" s="957"/>
      <c r="M120" s="958" t="s">
        <v>592</v>
      </c>
      <c r="N120" s="949" t="s">
        <v>593</v>
      </c>
      <c r="O120" s="949" t="s">
        <v>634</v>
      </c>
      <c r="P120" s="949"/>
      <c r="Q120" s="949"/>
      <c r="R120" s="949"/>
      <c r="S120" s="949"/>
      <c r="T120" s="949"/>
      <c r="U120" s="949"/>
      <c r="V120" s="949"/>
      <c r="W120" s="949"/>
      <c r="X120" s="949"/>
      <c r="Y120" s="949"/>
      <c r="Z120" s="949"/>
      <c r="AA120" s="949"/>
      <c r="AB120" s="949"/>
      <c r="AC120" s="949"/>
      <c r="AD120" s="949"/>
      <c r="AE120" s="949"/>
      <c r="AF120" s="949"/>
      <c r="AG120" s="949"/>
      <c r="AH120" s="949"/>
      <c r="AI120" s="949"/>
      <c r="AJ120" s="949"/>
      <c r="AK120" s="949"/>
      <c r="AL120" s="949"/>
      <c r="AM120" s="949"/>
      <c r="AN120" s="949"/>
      <c r="AO120" s="949"/>
      <c r="AP120" s="949"/>
      <c r="AQ120" s="949"/>
      <c r="AR120" s="949"/>
      <c r="AS120" s="949"/>
      <c r="AT120" s="949"/>
      <c r="AU120" s="949"/>
      <c r="AV120" s="949"/>
      <c r="AW120" s="949"/>
      <c r="AX120" s="949"/>
      <c r="AY120" s="949"/>
      <c r="AZ120" s="949"/>
      <c r="BA120" s="949"/>
      <c r="BB120" s="949"/>
      <c r="BC120" s="949"/>
      <c r="BD120" s="949"/>
      <c r="BE120" s="949"/>
      <c r="BF120" s="949"/>
      <c r="BG120" s="949"/>
      <c r="BH120" s="949"/>
      <c r="BI120" s="949"/>
      <c r="BJ120" s="949"/>
      <c r="BK120" s="949"/>
      <c r="BL120" s="949"/>
      <c r="BM120" s="949"/>
      <c r="BN120" s="949"/>
      <c r="BO120" s="949"/>
      <c r="BP120" s="949"/>
      <c r="BQ120" s="949"/>
      <c r="BR120" s="949"/>
      <c r="BS120" s="949"/>
      <c r="BT120" s="949"/>
      <c r="BU120" s="949"/>
      <c r="BV120" s="949"/>
      <c r="BW120" s="949"/>
      <c r="BX120" s="949"/>
      <c r="BY120" s="949"/>
      <c r="BZ120" s="949"/>
      <c r="CA120" s="949"/>
      <c r="CB120" s="949"/>
      <c r="CC120" s="949"/>
      <c r="CD120" s="949"/>
      <c r="CE120" s="949"/>
      <c r="CF120" s="949"/>
      <c r="CG120" s="949"/>
      <c r="CH120" s="949"/>
      <c r="CI120" s="949"/>
      <c r="CJ120" s="949"/>
      <c r="CK120" s="949"/>
      <c r="CL120" s="949"/>
      <c r="CM120" s="949"/>
      <c r="CN120" s="949"/>
      <c r="CO120" s="949"/>
      <c r="CP120" s="949"/>
      <c r="CQ120" s="949"/>
      <c r="CR120" s="949"/>
      <c r="CS120" s="949"/>
      <c r="CT120" s="949"/>
      <c r="CU120" s="949"/>
      <c r="CV120" s="949"/>
      <c r="CW120" s="949"/>
      <c r="CX120" s="949"/>
      <c r="CY120" s="949"/>
      <c r="CZ120" s="949"/>
      <c r="DA120" s="949"/>
      <c r="DB120" s="949"/>
      <c r="DC120" s="949"/>
      <c r="DD120" s="949"/>
      <c r="DE120" s="949"/>
      <c r="DF120" s="949"/>
      <c r="DG120" s="949"/>
      <c r="DH120" s="949"/>
      <c r="DI120" s="949"/>
      <c r="DJ120" s="949"/>
      <c r="DK120" s="949"/>
      <c r="DL120" s="949"/>
      <c r="DM120" s="949"/>
      <c r="DN120" s="949"/>
      <c r="DO120" s="949"/>
      <c r="DP120" s="949"/>
      <c r="DQ120" s="949"/>
      <c r="DR120" s="949"/>
      <c r="DS120" s="949"/>
      <c r="DT120" s="949"/>
      <c r="DU120" s="949"/>
      <c r="DV120" s="949"/>
      <c r="DW120" s="949"/>
      <c r="DX120" s="949"/>
      <c r="DY120" s="949"/>
      <c r="DZ120" s="949"/>
      <c r="EA120" s="949"/>
      <c r="EB120" s="949"/>
      <c r="EC120" s="949"/>
      <c r="ED120" s="949"/>
      <c r="EE120" s="949"/>
      <c r="EF120" s="949"/>
      <c r="EG120" s="949"/>
      <c r="EH120" s="949"/>
      <c r="EI120" s="949"/>
      <c r="EJ120" s="949"/>
      <c r="EK120" s="949"/>
      <c r="EL120" s="949"/>
      <c r="EM120" s="949"/>
      <c r="EN120" s="949"/>
      <c r="EO120" s="949"/>
      <c r="EP120" s="949"/>
      <c r="EQ120" s="949"/>
      <c r="ER120" s="949"/>
      <c r="ES120" s="949"/>
      <c r="ET120" s="949"/>
      <c r="EU120" s="949"/>
      <c r="EV120" s="949"/>
      <c r="EW120" s="949"/>
      <c r="EX120" s="949"/>
      <c r="EY120" s="949"/>
      <c r="EZ120" s="949"/>
      <c r="FA120" s="949"/>
      <c r="FB120" s="949"/>
      <c r="FC120" s="949"/>
      <c r="FD120" s="949"/>
      <c r="FE120" s="949"/>
      <c r="FF120" s="949"/>
      <c r="FG120" s="949"/>
      <c r="FH120" s="949"/>
      <c r="FI120" s="949"/>
      <c r="FJ120" s="949"/>
      <c r="FK120" s="949"/>
      <c r="FL120" s="949"/>
      <c r="FM120" s="949"/>
      <c r="FN120" s="949"/>
      <c r="FO120" s="949"/>
      <c r="FP120" s="949"/>
      <c r="FQ120" s="949"/>
      <c r="FR120" s="949"/>
      <c r="FS120" s="949"/>
      <c r="FT120" s="949"/>
      <c r="FU120" s="949"/>
      <c r="FV120" s="949"/>
      <c r="FW120" s="949"/>
      <c r="FX120" s="949"/>
      <c r="FY120" s="949"/>
      <c r="FZ120" s="949"/>
      <c r="GA120" s="949"/>
      <c r="GB120" s="949"/>
      <c r="GC120" s="949"/>
      <c r="GD120" s="949"/>
      <c r="GE120" s="949"/>
      <c r="GF120" s="949"/>
      <c r="GG120" s="949"/>
      <c r="GH120" s="949"/>
      <c r="GI120" s="949"/>
      <c r="GJ120" s="949"/>
      <c r="GK120" s="949"/>
      <c r="GL120" s="949"/>
      <c r="GM120" s="949"/>
      <c r="GN120" s="949"/>
      <c r="GO120" s="949"/>
      <c r="GP120" s="949"/>
      <c r="GQ120" s="949"/>
      <c r="GR120" s="949"/>
      <c r="GS120" s="949"/>
      <c r="GT120" s="949"/>
      <c r="GU120" s="949"/>
      <c r="GV120" s="949"/>
      <c r="GW120" s="949"/>
      <c r="GX120" s="949"/>
      <c r="GY120" s="949"/>
      <c r="GZ120" s="949"/>
      <c r="HA120" s="949"/>
      <c r="HB120" s="949"/>
      <c r="HC120" s="949"/>
      <c r="HD120" s="949"/>
      <c r="HE120" s="949"/>
      <c r="HF120" s="949"/>
      <c r="HG120" s="949"/>
      <c r="HH120" s="949"/>
      <c r="HI120" s="949"/>
      <c r="HJ120" s="949"/>
      <c r="HK120" s="949"/>
      <c r="HL120" s="949"/>
      <c r="HM120" s="949"/>
      <c r="HN120" s="949"/>
      <c r="HO120" s="949"/>
      <c r="HP120" s="949"/>
      <c r="HQ120" s="949"/>
      <c r="HR120" s="949"/>
      <c r="HS120" s="949"/>
      <c r="HT120" s="949"/>
      <c r="HU120" s="949"/>
      <c r="HV120" s="949"/>
      <c r="HW120" s="949"/>
      <c r="HX120" s="949"/>
      <c r="HY120" s="949"/>
      <c r="HZ120" s="949"/>
      <c r="IA120" s="949"/>
      <c r="IB120" s="949"/>
      <c r="IC120" s="949"/>
      <c r="ID120" s="949"/>
      <c r="IE120" s="949"/>
      <c r="IF120" s="949"/>
      <c r="IG120" s="949"/>
      <c r="IH120" s="949"/>
      <c r="II120" s="949"/>
      <c r="IJ120" s="949"/>
      <c r="IK120" s="949"/>
      <c r="IL120" s="948"/>
      <c r="IM120" s="1"/>
      <c r="IN120" s="1"/>
      <c r="IO120" s="1"/>
      <c r="IP120" s="1"/>
      <c r="IQ120" s="1"/>
      <c r="IR120" s="1"/>
      <c r="IS120" s="1"/>
      <c r="IT120" s="1"/>
    </row>
    <row r="121" spans="1:254" s="84" customFormat="1" ht="12.9" customHeight="1" thickBot="1" x14ac:dyDescent="0.2">
      <c r="A121" s="950"/>
      <c r="B121" s="950"/>
      <c r="C121" s="950"/>
      <c r="D121" s="950"/>
      <c r="E121" s="951"/>
      <c r="F121" s="951"/>
      <c r="G121" s="938" t="s">
        <v>18</v>
      </c>
      <c r="H121" s="938"/>
      <c r="I121" s="952" t="s">
        <v>243</v>
      </c>
      <c r="J121" s="952"/>
      <c r="K121" s="953" t="s">
        <v>243</v>
      </c>
      <c r="L121" s="953"/>
      <c r="M121" s="958"/>
      <c r="N121" s="949"/>
      <c r="O121" s="949"/>
      <c r="P121" s="949"/>
      <c r="Q121" s="949"/>
      <c r="R121" s="949"/>
      <c r="S121" s="949"/>
      <c r="T121" s="949"/>
      <c r="U121" s="949"/>
      <c r="V121" s="949"/>
      <c r="W121" s="949"/>
      <c r="X121" s="949"/>
      <c r="Y121" s="949"/>
      <c r="Z121" s="949"/>
      <c r="AA121" s="949"/>
      <c r="AB121" s="949"/>
      <c r="AC121" s="949"/>
      <c r="AD121" s="949"/>
      <c r="AE121" s="949"/>
      <c r="AF121" s="949"/>
      <c r="AG121" s="949"/>
      <c r="AH121" s="949"/>
      <c r="AI121" s="949"/>
      <c r="AJ121" s="949"/>
      <c r="AK121" s="949"/>
      <c r="AL121" s="949"/>
      <c r="AM121" s="949"/>
      <c r="AN121" s="949"/>
      <c r="AO121" s="949"/>
      <c r="AP121" s="949"/>
      <c r="AQ121" s="949"/>
      <c r="AR121" s="949"/>
      <c r="AS121" s="949"/>
      <c r="AT121" s="949"/>
      <c r="AU121" s="949"/>
      <c r="AV121" s="949"/>
      <c r="AW121" s="949"/>
      <c r="AX121" s="949"/>
      <c r="AY121" s="949"/>
      <c r="AZ121" s="949"/>
      <c r="BA121" s="949"/>
      <c r="BB121" s="949"/>
      <c r="BC121" s="949"/>
      <c r="BD121" s="949"/>
      <c r="BE121" s="949"/>
      <c r="BF121" s="949"/>
      <c r="BG121" s="949"/>
      <c r="BH121" s="949"/>
      <c r="BI121" s="949"/>
      <c r="BJ121" s="949"/>
      <c r="BK121" s="949"/>
      <c r="BL121" s="949"/>
      <c r="BM121" s="949"/>
      <c r="BN121" s="949"/>
      <c r="BO121" s="949"/>
      <c r="BP121" s="949"/>
      <c r="BQ121" s="949"/>
      <c r="BR121" s="949"/>
      <c r="BS121" s="949"/>
      <c r="BT121" s="949"/>
      <c r="BU121" s="949"/>
      <c r="BV121" s="949"/>
      <c r="BW121" s="949"/>
      <c r="BX121" s="949"/>
      <c r="BY121" s="949"/>
      <c r="BZ121" s="949"/>
      <c r="CA121" s="949"/>
      <c r="CB121" s="949"/>
      <c r="CC121" s="949"/>
      <c r="CD121" s="949"/>
      <c r="CE121" s="949"/>
      <c r="CF121" s="949"/>
      <c r="CG121" s="949"/>
      <c r="CH121" s="949"/>
      <c r="CI121" s="949"/>
      <c r="CJ121" s="949"/>
      <c r="CK121" s="949"/>
      <c r="CL121" s="949"/>
      <c r="CM121" s="949"/>
      <c r="CN121" s="949"/>
      <c r="CO121" s="949"/>
      <c r="CP121" s="949"/>
      <c r="CQ121" s="949"/>
      <c r="CR121" s="949"/>
      <c r="CS121" s="949"/>
      <c r="CT121" s="949"/>
      <c r="CU121" s="949"/>
      <c r="CV121" s="949"/>
      <c r="CW121" s="949"/>
      <c r="CX121" s="949"/>
      <c r="CY121" s="949"/>
      <c r="CZ121" s="949"/>
      <c r="DA121" s="949"/>
      <c r="DB121" s="949"/>
      <c r="DC121" s="949"/>
      <c r="DD121" s="949"/>
      <c r="DE121" s="949"/>
      <c r="DF121" s="949"/>
      <c r="DG121" s="949"/>
      <c r="DH121" s="949"/>
      <c r="DI121" s="949"/>
      <c r="DJ121" s="949"/>
      <c r="DK121" s="949"/>
      <c r="DL121" s="949"/>
      <c r="DM121" s="949"/>
      <c r="DN121" s="949"/>
      <c r="DO121" s="949"/>
      <c r="DP121" s="949"/>
      <c r="DQ121" s="949"/>
      <c r="DR121" s="949"/>
      <c r="DS121" s="949"/>
      <c r="DT121" s="949"/>
      <c r="DU121" s="949"/>
      <c r="DV121" s="949"/>
      <c r="DW121" s="949"/>
      <c r="DX121" s="949"/>
      <c r="DY121" s="949"/>
      <c r="DZ121" s="949"/>
      <c r="EA121" s="949"/>
      <c r="EB121" s="949"/>
      <c r="EC121" s="949"/>
      <c r="ED121" s="949"/>
      <c r="EE121" s="949"/>
      <c r="EF121" s="949"/>
      <c r="EG121" s="949"/>
      <c r="EH121" s="949"/>
      <c r="EI121" s="949"/>
      <c r="EJ121" s="949"/>
      <c r="EK121" s="949"/>
      <c r="EL121" s="949"/>
      <c r="EM121" s="949"/>
      <c r="EN121" s="949"/>
      <c r="EO121" s="949"/>
      <c r="EP121" s="949"/>
      <c r="EQ121" s="949"/>
      <c r="ER121" s="949"/>
      <c r="ES121" s="949"/>
      <c r="ET121" s="949"/>
      <c r="EU121" s="949"/>
      <c r="EV121" s="949"/>
      <c r="EW121" s="949"/>
      <c r="EX121" s="949"/>
      <c r="EY121" s="949"/>
      <c r="EZ121" s="949"/>
      <c r="FA121" s="949"/>
      <c r="FB121" s="949"/>
      <c r="FC121" s="949"/>
      <c r="FD121" s="949"/>
      <c r="FE121" s="949"/>
      <c r="FF121" s="949"/>
      <c r="FG121" s="949"/>
      <c r="FH121" s="949"/>
      <c r="FI121" s="949"/>
      <c r="FJ121" s="949"/>
      <c r="FK121" s="949"/>
      <c r="FL121" s="949"/>
      <c r="FM121" s="949"/>
      <c r="FN121" s="949"/>
      <c r="FO121" s="949"/>
      <c r="FP121" s="949"/>
      <c r="FQ121" s="949"/>
      <c r="FR121" s="949"/>
      <c r="FS121" s="949"/>
      <c r="FT121" s="949"/>
      <c r="FU121" s="949"/>
      <c r="FV121" s="949"/>
      <c r="FW121" s="949"/>
      <c r="FX121" s="949"/>
      <c r="FY121" s="949"/>
      <c r="FZ121" s="949"/>
      <c r="GA121" s="949"/>
      <c r="GB121" s="949"/>
      <c r="GC121" s="949"/>
      <c r="GD121" s="949"/>
      <c r="GE121" s="949"/>
      <c r="GF121" s="949"/>
      <c r="GG121" s="949"/>
      <c r="GH121" s="949"/>
      <c r="GI121" s="949"/>
      <c r="GJ121" s="949"/>
      <c r="GK121" s="949"/>
      <c r="GL121" s="949"/>
      <c r="GM121" s="949"/>
      <c r="GN121" s="949"/>
      <c r="GO121" s="949"/>
      <c r="GP121" s="949"/>
      <c r="GQ121" s="949"/>
      <c r="GR121" s="949"/>
      <c r="GS121" s="949"/>
      <c r="GT121" s="949"/>
      <c r="GU121" s="949"/>
      <c r="GV121" s="949"/>
      <c r="GW121" s="949"/>
      <c r="GX121" s="949"/>
      <c r="GY121" s="949"/>
      <c r="GZ121" s="949"/>
      <c r="HA121" s="949"/>
      <c r="HB121" s="949"/>
      <c r="HC121" s="949"/>
      <c r="HD121" s="949"/>
      <c r="HE121" s="949"/>
      <c r="HF121" s="949"/>
      <c r="HG121" s="949"/>
      <c r="HH121" s="949"/>
      <c r="HI121" s="949"/>
      <c r="HJ121" s="949"/>
      <c r="HK121" s="949"/>
      <c r="HL121" s="949"/>
      <c r="HM121" s="949"/>
      <c r="HN121" s="949"/>
      <c r="HO121" s="949"/>
      <c r="HP121" s="949"/>
      <c r="HQ121" s="949"/>
      <c r="HR121" s="949"/>
      <c r="HS121" s="949"/>
      <c r="HT121" s="949"/>
      <c r="HU121" s="949"/>
      <c r="HV121" s="949"/>
      <c r="HW121" s="949"/>
      <c r="HX121" s="949"/>
      <c r="HY121" s="949"/>
      <c r="HZ121" s="949"/>
      <c r="IA121" s="949"/>
      <c r="IB121" s="949"/>
      <c r="IC121" s="949"/>
      <c r="ID121" s="949"/>
      <c r="IE121" s="949"/>
      <c r="IF121" s="949"/>
      <c r="IG121" s="949"/>
      <c r="IH121" s="949"/>
      <c r="II121" s="949"/>
      <c r="IJ121" s="949"/>
      <c r="IK121" s="949"/>
      <c r="IL121" s="949"/>
      <c r="IM121" s="1"/>
      <c r="IN121" s="1"/>
      <c r="IO121" s="1"/>
      <c r="IP121" s="1"/>
      <c r="IQ121" s="1"/>
      <c r="IR121" s="1"/>
      <c r="IS121" s="1"/>
      <c r="IT121" s="1"/>
    </row>
    <row r="122" spans="1:254" s="84" customFormat="1" ht="12.9" customHeight="1" thickBot="1" x14ac:dyDescent="0.2">
      <c r="A122" s="954" t="s">
        <v>599</v>
      </c>
      <c r="B122" s="954"/>
      <c r="C122" s="955" t="s">
        <v>389</v>
      </c>
      <c r="D122" s="955"/>
      <c r="E122" s="956" t="s">
        <v>461</v>
      </c>
      <c r="F122" s="956"/>
      <c r="G122" s="944" t="s">
        <v>4</v>
      </c>
      <c r="H122" s="944"/>
      <c r="I122" s="945" t="s">
        <v>600</v>
      </c>
      <c r="J122" s="945"/>
      <c r="K122" s="946" t="s">
        <v>601</v>
      </c>
      <c r="L122" s="946"/>
      <c r="M122" s="958"/>
      <c r="N122" s="949"/>
      <c r="O122" s="949"/>
      <c r="P122" s="949"/>
      <c r="Q122" s="949"/>
      <c r="R122" s="949"/>
      <c r="S122" s="949"/>
      <c r="T122" s="949"/>
      <c r="U122" s="949"/>
      <c r="V122" s="949"/>
      <c r="W122" s="949"/>
      <c r="X122" s="949"/>
      <c r="Y122" s="949"/>
      <c r="Z122" s="949"/>
      <c r="AA122" s="949"/>
      <c r="AB122" s="949"/>
      <c r="AC122" s="949"/>
      <c r="AD122" s="949"/>
      <c r="AE122" s="949"/>
      <c r="AF122" s="949"/>
      <c r="AG122" s="949"/>
      <c r="AH122" s="949"/>
      <c r="AI122" s="949"/>
      <c r="AJ122" s="949"/>
      <c r="AK122" s="949"/>
      <c r="AL122" s="949"/>
      <c r="AM122" s="949"/>
      <c r="AN122" s="949"/>
      <c r="AO122" s="949"/>
      <c r="AP122" s="949"/>
      <c r="AQ122" s="949"/>
      <c r="AR122" s="949"/>
      <c r="AS122" s="949"/>
      <c r="AT122" s="949"/>
      <c r="AU122" s="949"/>
      <c r="AV122" s="949"/>
      <c r="AW122" s="949"/>
      <c r="AX122" s="949"/>
      <c r="AY122" s="949"/>
      <c r="AZ122" s="949"/>
      <c r="BA122" s="949"/>
      <c r="BB122" s="949"/>
      <c r="BC122" s="949"/>
      <c r="BD122" s="949"/>
      <c r="BE122" s="949"/>
      <c r="BF122" s="949"/>
      <c r="BG122" s="949"/>
      <c r="BH122" s="949"/>
      <c r="BI122" s="949"/>
      <c r="BJ122" s="949"/>
      <c r="BK122" s="949"/>
      <c r="BL122" s="949"/>
      <c r="BM122" s="949"/>
      <c r="BN122" s="949"/>
      <c r="BO122" s="949"/>
      <c r="BP122" s="949"/>
      <c r="BQ122" s="949"/>
      <c r="BR122" s="949"/>
      <c r="BS122" s="949"/>
      <c r="BT122" s="949"/>
      <c r="BU122" s="949"/>
      <c r="BV122" s="949"/>
      <c r="BW122" s="949"/>
      <c r="BX122" s="949"/>
      <c r="BY122" s="949"/>
      <c r="BZ122" s="949"/>
      <c r="CA122" s="949"/>
      <c r="CB122" s="949"/>
      <c r="CC122" s="949"/>
      <c r="CD122" s="949"/>
      <c r="CE122" s="949"/>
      <c r="CF122" s="949"/>
      <c r="CG122" s="949"/>
      <c r="CH122" s="949"/>
      <c r="CI122" s="949"/>
      <c r="CJ122" s="949"/>
      <c r="CK122" s="949"/>
      <c r="CL122" s="949"/>
      <c r="CM122" s="949"/>
      <c r="CN122" s="949"/>
      <c r="CO122" s="949"/>
      <c r="CP122" s="949"/>
      <c r="CQ122" s="949"/>
      <c r="CR122" s="949"/>
      <c r="CS122" s="949"/>
      <c r="CT122" s="949"/>
      <c r="CU122" s="949"/>
      <c r="CV122" s="949"/>
      <c r="CW122" s="949"/>
      <c r="CX122" s="949"/>
      <c r="CY122" s="949"/>
      <c r="CZ122" s="949"/>
      <c r="DA122" s="949"/>
      <c r="DB122" s="949"/>
      <c r="DC122" s="949"/>
      <c r="DD122" s="949"/>
      <c r="DE122" s="949"/>
      <c r="DF122" s="949"/>
      <c r="DG122" s="949"/>
      <c r="DH122" s="949"/>
      <c r="DI122" s="949"/>
      <c r="DJ122" s="949"/>
      <c r="DK122" s="949"/>
      <c r="DL122" s="949"/>
      <c r="DM122" s="949"/>
      <c r="DN122" s="949"/>
      <c r="DO122" s="949"/>
      <c r="DP122" s="949"/>
      <c r="DQ122" s="949"/>
      <c r="DR122" s="949"/>
      <c r="DS122" s="949"/>
      <c r="DT122" s="949"/>
      <c r="DU122" s="949"/>
      <c r="DV122" s="949"/>
      <c r="DW122" s="949"/>
      <c r="DX122" s="949"/>
      <c r="DY122" s="949"/>
      <c r="DZ122" s="949"/>
      <c r="EA122" s="949"/>
      <c r="EB122" s="949"/>
      <c r="EC122" s="949"/>
      <c r="ED122" s="949"/>
      <c r="EE122" s="949"/>
      <c r="EF122" s="949"/>
      <c r="EG122" s="949"/>
      <c r="EH122" s="949"/>
      <c r="EI122" s="949"/>
      <c r="EJ122" s="949"/>
      <c r="EK122" s="949"/>
      <c r="EL122" s="949"/>
      <c r="EM122" s="949"/>
      <c r="EN122" s="949"/>
      <c r="EO122" s="949"/>
      <c r="EP122" s="949"/>
      <c r="EQ122" s="949"/>
      <c r="ER122" s="949"/>
      <c r="ES122" s="949"/>
      <c r="ET122" s="949"/>
      <c r="EU122" s="949"/>
      <c r="EV122" s="949"/>
      <c r="EW122" s="949"/>
      <c r="EX122" s="949"/>
      <c r="EY122" s="949"/>
      <c r="EZ122" s="949"/>
      <c r="FA122" s="949"/>
      <c r="FB122" s="949"/>
      <c r="FC122" s="949"/>
      <c r="FD122" s="949"/>
      <c r="FE122" s="949"/>
      <c r="FF122" s="949"/>
      <c r="FG122" s="949"/>
      <c r="FH122" s="949"/>
      <c r="FI122" s="949"/>
      <c r="FJ122" s="949"/>
      <c r="FK122" s="949"/>
      <c r="FL122" s="949"/>
      <c r="FM122" s="949"/>
      <c r="FN122" s="949"/>
      <c r="FO122" s="949"/>
      <c r="FP122" s="949"/>
      <c r="FQ122" s="949"/>
      <c r="FR122" s="949"/>
      <c r="FS122" s="949"/>
      <c r="FT122" s="949"/>
      <c r="FU122" s="949"/>
      <c r="FV122" s="949"/>
      <c r="FW122" s="949"/>
      <c r="FX122" s="949"/>
      <c r="FY122" s="949"/>
      <c r="FZ122" s="949"/>
      <c r="GA122" s="949"/>
      <c r="GB122" s="949"/>
      <c r="GC122" s="949"/>
      <c r="GD122" s="949"/>
      <c r="GE122" s="949"/>
      <c r="GF122" s="949"/>
      <c r="GG122" s="949"/>
      <c r="GH122" s="949"/>
      <c r="GI122" s="949"/>
      <c r="GJ122" s="949"/>
      <c r="GK122" s="949"/>
      <c r="GL122" s="949"/>
      <c r="GM122" s="949"/>
      <c r="GN122" s="949"/>
      <c r="GO122" s="949"/>
      <c r="GP122" s="949"/>
      <c r="GQ122" s="949"/>
      <c r="GR122" s="949"/>
      <c r="GS122" s="949"/>
      <c r="GT122" s="949"/>
      <c r="GU122" s="949"/>
      <c r="GV122" s="949"/>
      <c r="GW122" s="949"/>
      <c r="GX122" s="949"/>
      <c r="GY122" s="949"/>
      <c r="GZ122" s="949"/>
      <c r="HA122" s="949"/>
      <c r="HB122" s="949"/>
      <c r="HC122" s="949"/>
      <c r="HD122" s="949"/>
      <c r="HE122" s="949"/>
      <c r="HF122" s="949"/>
      <c r="HG122" s="949"/>
      <c r="HH122" s="949"/>
      <c r="HI122" s="949"/>
      <c r="HJ122" s="949"/>
      <c r="HK122" s="949"/>
      <c r="HL122" s="949"/>
      <c r="HM122" s="949"/>
      <c r="HN122" s="949"/>
      <c r="HO122" s="949"/>
      <c r="HP122" s="949"/>
      <c r="HQ122" s="949"/>
      <c r="HR122" s="949"/>
      <c r="HS122" s="949"/>
      <c r="HT122" s="949"/>
      <c r="HU122" s="949"/>
      <c r="HV122" s="949"/>
      <c r="HW122" s="949"/>
      <c r="HX122" s="949"/>
      <c r="HY122" s="949"/>
      <c r="HZ122" s="949"/>
      <c r="IA122" s="949"/>
      <c r="IB122" s="949"/>
      <c r="IC122" s="949"/>
      <c r="ID122" s="949"/>
      <c r="IE122" s="949"/>
      <c r="IF122" s="949"/>
      <c r="IG122" s="949"/>
      <c r="IH122" s="949"/>
      <c r="II122" s="949"/>
      <c r="IJ122" s="949"/>
      <c r="IK122" s="949"/>
      <c r="IL122" s="949"/>
      <c r="IM122" s="1"/>
      <c r="IN122" s="1"/>
      <c r="IO122" s="1"/>
      <c r="IP122" s="1"/>
      <c r="IQ122" s="1"/>
      <c r="IR122" s="1"/>
      <c r="IS122" s="1"/>
      <c r="IT122" s="1"/>
    </row>
    <row r="123" spans="1:254" s="84" customFormat="1" ht="12.9" customHeight="1" thickBot="1" x14ac:dyDescent="0.2">
      <c r="A123" s="85">
        <f>B123+SUM(O127:IL127)</f>
        <v>0</v>
      </c>
      <c r="B123" s="9">
        <f>J127+L127</f>
        <v>0</v>
      </c>
      <c r="C123" s="86">
        <f>D123-SUM(O128:IL128)+SUM(O129:IL129)</f>
        <v>0</v>
      </c>
      <c r="D123" s="10">
        <f>J129+L129</f>
        <v>0</v>
      </c>
      <c r="E123" s="11">
        <f>J130+L130</f>
        <v>0</v>
      </c>
      <c r="F123" s="12">
        <f>E123+SUM(O130:IL130)</f>
        <v>0</v>
      </c>
      <c r="G123" s="938" t="s">
        <v>18</v>
      </c>
      <c r="H123" s="938"/>
      <c r="I123" s="939" t="s">
        <v>18</v>
      </c>
      <c r="J123" s="939"/>
      <c r="K123" s="940" t="s">
        <v>18</v>
      </c>
      <c r="L123" s="940"/>
      <c r="M123" s="958"/>
      <c r="N123" s="958"/>
      <c r="O123" s="949"/>
      <c r="P123" s="949"/>
      <c r="Q123" s="949"/>
      <c r="R123" s="949"/>
      <c r="S123" s="949"/>
      <c r="T123" s="949"/>
      <c r="U123" s="949"/>
      <c r="V123" s="949"/>
      <c r="W123" s="949"/>
      <c r="X123" s="949"/>
      <c r="Y123" s="949"/>
      <c r="Z123" s="949"/>
      <c r="AA123" s="949"/>
      <c r="AB123" s="949"/>
      <c r="AC123" s="949"/>
      <c r="AD123" s="949"/>
      <c r="AE123" s="949"/>
      <c r="AF123" s="949"/>
      <c r="AG123" s="949"/>
      <c r="AH123" s="949"/>
      <c r="AI123" s="949"/>
      <c r="AJ123" s="949"/>
      <c r="AK123" s="949"/>
      <c r="AL123" s="949"/>
      <c r="AM123" s="949"/>
      <c r="AN123" s="949"/>
      <c r="AO123" s="949"/>
      <c r="AP123" s="949"/>
      <c r="AQ123" s="949"/>
      <c r="AR123" s="949"/>
      <c r="AS123" s="949"/>
      <c r="AT123" s="949"/>
      <c r="AU123" s="949"/>
      <c r="AV123" s="949"/>
      <c r="AW123" s="949"/>
      <c r="AX123" s="949"/>
      <c r="AY123" s="949"/>
      <c r="AZ123" s="949"/>
      <c r="BA123" s="949"/>
      <c r="BB123" s="949"/>
      <c r="BC123" s="949"/>
      <c r="BD123" s="949"/>
      <c r="BE123" s="949"/>
      <c r="BF123" s="949"/>
      <c r="BG123" s="949"/>
      <c r="BH123" s="949"/>
      <c r="BI123" s="949"/>
      <c r="BJ123" s="949"/>
      <c r="BK123" s="949"/>
      <c r="BL123" s="949"/>
      <c r="BM123" s="949"/>
      <c r="BN123" s="949"/>
      <c r="BO123" s="949"/>
      <c r="BP123" s="949"/>
      <c r="BQ123" s="949"/>
      <c r="BR123" s="949"/>
      <c r="BS123" s="949"/>
      <c r="BT123" s="949"/>
      <c r="BU123" s="949"/>
      <c r="BV123" s="949"/>
      <c r="BW123" s="949"/>
      <c r="BX123" s="949"/>
      <c r="BY123" s="949"/>
      <c r="BZ123" s="949"/>
      <c r="CA123" s="949"/>
      <c r="CB123" s="949"/>
      <c r="CC123" s="949"/>
      <c r="CD123" s="949"/>
      <c r="CE123" s="949"/>
      <c r="CF123" s="949"/>
      <c r="CG123" s="949"/>
      <c r="CH123" s="949"/>
      <c r="CI123" s="949"/>
      <c r="CJ123" s="949"/>
      <c r="CK123" s="949"/>
      <c r="CL123" s="949"/>
      <c r="CM123" s="949"/>
      <c r="CN123" s="949"/>
      <c r="CO123" s="949"/>
      <c r="CP123" s="949"/>
      <c r="CQ123" s="949"/>
      <c r="CR123" s="949"/>
      <c r="CS123" s="949"/>
      <c r="CT123" s="949"/>
      <c r="CU123" s="949"/>
      <c r="CV123" s="949"/>
      <c r="CW123" s="949"/>
      <c r="CX123" s="949"/>
      <c r="CY123" s="949"/>
      <c r="CZ123" s="949"/>
      <c r="DA123" s="949"/>
      <c r="DB123" s="949"/>
      <c r="DC123" s="949"/>
      <c r="DD123" s="949"/>
      <c r="DE123" s="949"/>
      <c r="DF123" s="949"/>
      <c r="DG123" s="949"/>
      <c r="DH123" s="949"/>
      <c r="DI123" s="949"/>
      <c r="DJ123" s="949"/>
      <c r="DK123" s="949"/>
      <c r="DL123" s="949"/>
      <c r="DM123" s="949"/>
      <c r="DN123" s="949"/>
      <c r="DO123" s="949"/>
      <c r="DP123" s="949"/>
      <c r="DQ123" s="949"/>
      <c r="DR123" s="949"/>
      <c r="DS123" s="949"/>
      <c r="DT123" s="949"/>
      <c r="DU123" s="949"/>
      <c r="DV123" s="949"/>
      <c r="DW123" s="949"/>
      <c r="DX123" s="949"/>
      <c r="DY123" s="949"/>
      <c r="DZ123" s="949"/>
      <c r="EA123" s="949"/>
      <c r="EB123" s="949"/>
      <c r="EC123" s="949"/>
      <c r="ED123" s="949"/>
      <c r="EE123" s="949"/>
      <c r="EF123" s="949"/>
      <c r="EG123" s="949"/>
      <c r="EH123" s="949"/>
      <c r="EI123" s="949"/>
      <c r="EJ123" s="949"/>
      <c r="EK123" s="949"/>
      <c r="EL123" s="949"/>
      <c r="EM123" s="949"/>
      <c r="EN123" s="949"/>
      <c r="EO123" s="949"/>
      <c r="EP123" s="949"/>
      <c r="EQ123" s="949"/>
      <c r="ER123" s="949"/>
      <c r="ES123" s="949"/>
      <c r="ET123" s="949"/>
      <c r="EU123" s="949"/>
      <c r="EV123" s="949"/>
      <c r="EW123" s="949"/>
      <c r="EX123" s="949"/>
      <c r="EY123" s="949"/>
      <c r="EZ123" s="949"/>
      <c r="FA123" s="949"/>
      <c r="FB123" s="949"/>
      <c r="FC123" s="949"/>
      <c r="FD123" s="949"/>
      <c r="FE123" s="949"/>
      <c r="FF123" s="949"/>
      <c r="FG123" s="949"/>
      <c r="FH123" s="949"/>
      <c r="FI123" s="949"/>
      <c r="FJ123" s="949"/>
      <c r="FK123" s="949"/>
      <c r="FL123" s="949"/>
      <c r="FM123" s="949"/>
      <c r="FN123" s="949"/>
      <c r="FO123" s="949"/>
      <c r="FP123" s="949"/>
      <c r="FQ123" s="949"/>
      <c r="FR123" s="949"/>
      <c r="FS123" s="949"/>
      <c r="FT123" s="949"/>
      <c r="FU123" s="949"/>
      <c r="FV123" s="949"/>
      <c r="FW123" s="949"/>
      <c r="FX123" s="949"/>
      <c r="FY123" s="949"/>
      <c r="FZ123" s="949"/>
      <c r="GA123" s="949"/>
      <c r="GB123" s="949"/>
      <c r="GC123" s="949"/>
      <c r="GD123" s="949"/>
      <c r="GE123" s="949"/>
      <c r="GF123" s="949"/>
      <c r="GG123" s="949"/>
      <c r="GH123" s="949"/>
      <c r="GI123" s="949"/>
      <c r="GJ123" s="949"/>
      <c r="GK123" s="949"/>
      <c r="GL123" s="949"/>
      <c r="GM123" s="949"/>
      <c r="GN123" s="949"/>
      <c r="GO123" s="949"/>
      <c r="GP123" s="949"/>
      <c r="GQ123" s="949"/>
      <c r="GR123" s="949"/>
      <c r="GS123" s="949"/>
      <c r="GT123" s="949"/>
      <c r="GU123" s="949"/>
      <c r="GV123" s="949"/>
      <c r="GW123" s="949"/>
      <c r="GX123" s="949"/>
      <c r="GY123" s="949"/>
      <c r="GZ123" s="949"/>
      <c r="HA123" s="949"/>
      <c r="HB123" s="949"/>
      <c r="HC123" s="949"/>
      <c r="HD123" s="949"/>
      <c r="HE123" s="949"/>
      <c r="HF123" s="949"/>
      <c r="HG123" s="949"/>
      <c r="HH123" s="949"/>
      <c r="HI123" s="949"/>
      <c r="HJ123" s="949"/>
      <c r="HK123" s="949"/>
      <c r="HL123" s="949"/>
      <c r="HM123" s="949"/>
      <c r="HN123" s="949"/>
      <c r="HO123" s="949"/>
      <c r="HP123" s="949"/>
      <c r="HQ123" s="949"/>
      <c r="HR123" s="949"/>
      <c r="HS123" s="949"/>
      <c r="HT123" s="949"/>
      <c r="HU123" s="949"/>
      <c r="HV123" s="949"/>
      <c r="HW123" s="949"/>
      <c r="HX123" s="949"/>
      <c r="HY123" s="949"/>
      <c r="HZ123" s="949"/>
      <c r="IA123" s="949"/>
      <c r="IB123" s="949"/>
      <c r="IC123" s="949"/>
      <c r="ID123" s="949"/>
      <c r="IE123" s="949"/>
      <c r="IF123" s="949"/>
      <c r="IG123" s="949"/>
      <c r="IH123" s="949"/>
      <c r="II123" s="949"/>
      <c r="IJ123" s="949"/>
      <c r="IK123" s="949"/>
      <c r="IL123" s="949"/>
      <c r="IM123" s="1"/>
      <c r="IN123" s="1"/>
      <c r="IO123" s="1"/>
      <c r="IP123" s="1"/>
      <c r="IQ123" s="1"/>
      <c r="IR123" s="1"/>
      <c r="IS123" s="1"/>
      <c r="IT123" s="1"/>
    </row>
    <row r="124" spans="1:254" s="84" customFormat="1" ht="12" customHeight="1" thickBot="1" x14ac:dyDescent="0.2">
      <c r="A124" s="941" t="s">
        <v>395</v>
      </c>
      <c r="B124" s="942"/>
      <c r="C124" s="87" t="s">
        <v>602</v>
      </c>
      <c r="D124" s="88" t="s">
        <v>603</v>
      </c>
      <c r="E124" s="943"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3"/>
      <c r="G124" s="944" t="s">
        <v>15</v>
      </c>
      <c r="H124" s="944"/>
      <c r="I124" s="945" t="s">
        <v>415</v>
      </c>
      <c r="J124" s="945"/>
      <c r="K124" s="946" t="s">
        <v>604</v>
      </c>
      <c r="L124" s="946"/>
      <c r="M124" s="958"/>
      <c r="N124" s="958"/>
      <c r="O124" s="949"/>
      <c r="P124" s="949"/>
      <c r="Q124" s="949"/>
      <c r="R124" s="949"/>
      <c r="S124" s="949"/>
      <c r="T124" s="949"/>
      <c r="U124" s="949"/>
      <c r="V124" s="949"/>
      <c r="W124" s="949"/>
      <c r="X124" s="949"/>
      <c r="Y124" s="949"/>
      <c r="Z124" s="949"/>
      <c r="AA124" s="949"/>
      <c r="AB124" s="949"/>
      <c r="AC124" s="949"/>
      <c r="AD124" s="949"/>
      <c r="AE124" s="949"/>
      <c r="AF124" s="949"/>
      <c r="AG124" s="949"/>
      <c r="AH124" s="949"/>
      <c r="AI124" s="949"/>
      <c r="AJ124" s="949"/>
      <c r="AK124" s="949"/>
      <c r="AL124" s="949"/>
      <c r="AM124" s="949"/>
      <c r="AN124" s="949"/>
      <c r="AO124" s="949"/>
      <c r="AP124" s="949"/>
      <c r="AQ124" s="949"/>
      <c r="AR124" s="949"/>
      <c r="AS124" s="949"/>
      <c r="AT124" s="949"/>
      <c r="AU124" s="949"/>
      <c r="AV124" s="949"/>
      <c r="AW124" s="949"/>
      <c r="AX124" s="949"/>
      <c r="AY124" s="949"/>
      <c r="AZ124" s="949"/>
      <c r="BA124" s="949"/>
      <c r="BB124" s="949"/>
      <c r="BC124" s="949"/>
      <c r="BD124" s="949"/>
      <c r="BE124" s="949"/>
      <c r="BF124" s="949"/>
      <c r="BG124" s="949"/>
      <c r="BH124" s="949"/>
      <c r="BI124" s="949"/>
      <c r="BJ124" s="949"/>
      <c r="BK124" s="949"/>
      <c r="BL124" s="949"/>
      <c r="BM124" s="949"/>
      <c r="BN124" s="949"/>
      <c r="BO124" s="949"/>
      <c r="BP124" s="949"/>
      <c r="BQ124" s="949"/>
      <c r="BR124" s="949"/>
      <c r="BS124" s="949"/>
      <c r="BT124" s="949"/>
      <c r="BU124" s="949"/>
      <c r="BV124" s="949"/>
      <c r="BW124" s="949"/>
      <c r="BX124" s="949"/>
      <c r="BY124" s="949"/>
      <c r="BZ124" s="949"/>
      <c r="CA124" s="949"/>
      <c r="CB124" s="949"/>
      <c r="CC124" s="949"/>
      <c r="CD124" s="949"/>
      <c r="CE124" s="949"/>
      <c r="CF124" s="949"/>
      <c r="CG124" s="949"/>
      <c r="CH124" s="949"/>
      <c r="CI124" s="949"/>
      <c r="CJ124" s="949"/>
      <c r="CK124" s="949"/>
      <c r="CL124" s="949"/>
      <c r="CM124" s="949"/>
      <c r="CN124" s="949"/>
      <c r="CO124" s="949"/>
      <c r="CP124" s="949"/>
      <c r="CQ124" s="949"/>
      <c r="CR124" s="949"/>
      <c r="CS124" s="949"/>
      <c r="CT124" s="949"/>
      <c r="CU124" s="949"/>
      <c r="CV124" s="949"/>
      <c r="CW124" s="949"/>
      <c r="CX124" s="949"/>
      <c r="CY124" s="949"/>
      <c r="CZ124" s="949"/>
      <c r="DA124" s="949"/>
      <c r="DB124" s="949"/>
      <c r="DC124" s="949"/>
      <c r="DD124" s="949"/>
      <c r="DE124" s="949"/>
      <c r="DF124" s="949"/>
      <c r="DG124" s="949"/>
      <c r="DH124" s="949"/>
      <c r="DI124" s="949"/>
      <c r="DJ124" s="949"/>
      <c r="DK124" s="949"/>
      <c r="DL124" s="949"/>
      <c r="DM124" s="949"/>
      <c r="DN124" s="949"/>
      <c r="DO124" s="949"/>
      <c r="DP124" s="949"/>
      <c r="DQ124" s="949"/>
      <c r="DR124" s="949"/>
      <c r="DS124" s="949"/>
      <c r="DT124" s="949"/>
      <c r="DU124" s="949"/>
      <c r="DV124" s="949"/>
      <c r="DW124" s="949"/>
      <c r="DX124" s="949"/>
      <c r="DY124" s="949"/>
      <c r="DZ124" s="949"/>
      <c r="EA124" s="949"/>
      <c r="EB124" s="949"/>
      <c r="EC124" s="949"/>
      <c r="ED124" s="949"/>
      <c r="EE124" s="949"/>
      <c r="EF124" s="949"/>
      <c r="EG124" s="949"/>
      <c r="EH124" s="949"/>
      <c r="EI124" s="949"/>
      <c r="EJ124" s="949"/>
      <c r="EK124" s="949"/>
      <c r="EL124" s="949"/>
      <c r="EM124" s="949"/>
      <c r="EN124" s="949"/>
      <c r="EO124" s="949"/>
      <c r="EP124" s="949"/>
      <c r="EQ124" s="949"/>
      <c r="ER124" s="949"/>
      <c r="ES124" s="949"/>
      <c r="ET124" s="949"/>
      <c r="EU124" s="949"/>
      <c r="EV124" s="949"/>
      <c r="EW124" s="949"/>
      <c r="EX124" s="949"/>
      <c r="EY124" s="949"/>
      <c r="EZ124" s="949"/>
      <c r="FA124" s="949"/>
      <c r="FB124" s="949"/>
      <c r="FC124" s="949"/>
      <c r="FD124" s="949"/>
      <c r="FE124" s="949"/>
      <c r="FF124" s="949"/>
      <c r="FG124" s="949"/>
      <c r="FH124" s="949"/>
      <c r="FI124" s="949"/>
      <c r="FJ124" s="949"/>
      <c r="FK124" s="949"/>
      <c r="FL124" s="949"/>
      <c r="FM124" s="949"/>
      <c r="FN124" s="949"/>
      <c r="FO124" s="949"/>
      <c r="FP124" s="949"/>
      <c r="FQ124" s="949"/>
      <c r="FR124" s="949"/>
      <c r="FS124" s="949"/>
      <c r="FT124" s="949"/>
      <c r="FU124" s="949"/>
      <c r="FV124" s="949"/>
      <c r="FW124" s="949"/>
      <c r="FX124" s="949"/>
      <c r="FY124" s="949"/>
      <c r="FZ124" s="949"/>
      <c r="GA124" s="949"/>
      <c r="GB124" s="949"/>
      <c r="GC124" s="949"/>
      <c r="GD124" s="949"/>
      <c r="GE124" s="949"/>
      <c r="GF124" s="949"/>
      <c r="GG124" s="949"/>
      <c r="GH124" s="949"/>
      <c r="GI124" s="949"/>
      <c r="GJ124" s="949"/>
      <c r="GK124" s="949"/>
      <c r="GL124" s="949"/>
      <c r="GM124" s="949"/>
      <c r="GN124" s="949"/>
      <c r="GO124" s="949"/>
      <c r="GP124" s="949"/>
      <c r="GQ124" s="949"/>
      <c r="GR124" s="949"/>
      <c r="GS124" s="949"/>
      <c r="GT124" s="949"/>
      <c r="GU124" s="949"/>
      <c r="GV124" s="949"/>
      <c r="GW124" s="949"/>
      <c r="GX124" s="949"/>
      <c r="GY124" s="949"/>
      <c r="GZ124" s="949"/>
      <c r="HA124" s="949"/>
      <c r="HB124" s="949"/>
      <c r="HC124" s="949"/>
      <c r="HD124" s="949"/>
      <c r="HE124" s="949"/>
      <c r="HF124" s="949"/>
      <c r="HG124" s="949"/>
      <c r="HH124" s="949"/>
      <c r="HI124" s="949"/>
      <c r="HJ124" s="949"/>
      <c r="HK124" s="949"/>
      <c r="HL124" s="949"/>
      <c r="HM124" s="949"/>
      <c r="HN124" s="949"/>
      <c r="HO124" s="949"/>
      <c r="HP124" s="949"/>
      <c r="HQ124" s="949"/>
      <c r="HR124" s="949"/>
      <c r="HS124" s="949"/>
      <c r="HT124" s="949"/>
      <c r="HU124" s="949"/>
      <c r="HV124" s="949"/>
      <c r="HW124" s="949"/>
      <c r="HX124" s="949"/>
      <c r="HY124" s="949"/>
      <c r="HZ124" s="949"/>
      <c r="IA124" s="949"/>
      <c r="IB124" s="949"/>
      <c r="IC124" s="949"/>
      <c r="ID124" s="949"/>
      <c r="IE124" s="949"/>
      <c r="IF124" s="949"/>
      <c r="IG124" s="949"/>
      <c r="IH124" s="949"/>
      <c r="II124" s="949"/>
      <c r="IJ124" s="949"/>
      <c r="IK124" s="949"/>
      <c r="IL124" s="949"/>
      <c r="IM124" s="1"/>
      <c r="IN124" s="1"/>
      <c r="IO124" s="1"/>
      <c r="IP124" s="1"/>
      <c r="IQ124" s="1"/>
      <c r="IR124" s="1"/>
      <c r="IS124" s="1"/>
      <c r="IT124" s="1"/>
    </row>
    <row r="125" spans="1:254" s="84" customFormat="1" ht="12.9" customHeight="1" thickBot="1" x14ac:dyDescent="0.2">
      <c r="A125" s="941"/>
      <c r="B125" s="942"/>
      <c r="C125" s="89">
        <f>SUM(L128:IQ128)</f>
        <v>0</v>
      </c>
      <c r="D125" s="13">
        <f>ROUNDDOWN((C125/5),0)+SUM(I126:IL126)</f>
        <v>0</v>
      </c>
      <c r="E125" s="947" t="str">
        <f>IF(F123&lt;50,"未活性",IF(F123&lt;60,"活性Lv1",IF(F123&lt;70,"活性Lv2",IF(F123&lt;80,"活性Lv3",IF(F123&lt;90,"活性Lv4",IF(F123&lt;100,"活性Lv5",IF(F123&lt;150,"活性Lv5","強制キャラロスト")))))))</f>
        <v>未活性</v>
      </c>
      <c r="F125" s="947"/>
      <c r="G125" s="930" t="s">
        <v>18</v>
      </c>
      <c r="H125" s="930"/>
      <c r="I125" s="931" t="s">
        <v>18</v>
      </c>
      <c r="J125" s="931"/>
      <c r="K125" s="932" t="str">
        <f>IF(OR(A123&lt;=B123/2,F123&gt;=90),IF(F123&gt;=120,"オーバーフロー","発動中"),"-")</f>
        <v>発動中</v>
      </c>
      <c r="L125" s="932"/>
      <c r="M125" s="958"/>
      <c r="N125" s="958"/>
      <c r="O125" s="949"/>
      <c r="P125" s="949"/>
      <c r="Q125" s="949"/>
      <c r="R125" s="949"/>
      <c r="S125" s="949"/>
      <c r="T125" s="949"/>
      <c r="U125" s="949"/>
      <c r="V125" s="949"/>
      <c r="W125" s="949"/>
      <c r="X125" s="949"/>
      <c r="Y125" s="949"/>
      <c r="Z125" s="949"/>
      <c r="AA125" s="949"/>
      <c r="AB125" s="949"/>
      <c r="AC125" s="949"/>
      <c r="AD125" s="949"/>
      <c r="AE125" s="949"/>
      <c r="AF125" s="949"/>
      <c r="AG125" s="949"/>
      <c r="AH125" s="949"/>
      <c r="AI125" s="949"/>
      <c r="AJ125" s="949"/>
      <c r="AK125" s="949"/>
      <c r="AL125" s="949"/>
      <c r="AM125" s="949"/>
      <c r="AN125" s="949"/>
      <c r="AO125" s="949"/>
      <c r="AP125" s="949"/>
      <c r="AQ125" s="949"/>
      <c r="AR125" s="949"/>
      <c r="AS125" s="949"/>
      <c r="AT125" s="949"/>
      <c r="AU125" s="949"/>
      <c r="AV125" s="949"/>
      <c r="AW125" s="949"/>
      <c r="AX125" s="949"/>
      <c r="AY125" s="949"/>
      <c r="AZ125" s="949"/>
      <c r="BA125" s="949"/>
      <c r="BB125" s="949"/>
      <c r="BC125" s="949"/>
      <c r="BD125" s="949"/>
      <c r="BE125" s="949"/>
      <c r="BF125" s="949"/>
      <c r="BG125" s="949"/>
      <c r="BH125" s="949"/>
      <c r="BI125" s="949"/>
      <c r="BJ125" s="949"/>
      <c r="BK125" s="949"/>
      <c r="BL125" s="949"/>
      <c r="BM125" s="949"/>
      <c r="BN125" s="949"/>
      <c r="BO125" s="949"/>
      <c r="BP125" s="949"/>
      <c r="BQ125" s="949"/>
      <c r="BR125" s="949"/>
      <c r="BS125" s="949"/>
      <c r="BT125" s="949"/>
      <c r="BU125" s="949"/>
      <c r="BV125" s="949"/>
      <c r="BW125" s="949"/>
      <c r="BX125" s="949"/>
      <c r="BY125" s="949"/>
      <c r="BZ125" s="949"/>
      <c r="CA125" s="949"/>
      <c r="CB125" s="949"/>
      <c r="CC125" s="949"/>
      <c r="CD125" s="949"/>
      <c r="CE125" s="949"/>
      <c r="CF125" s="949"/>
      <c r="CG125" s="949"/>
      <c r="CH125" s="949"/>
      <c r="CI125" s="949"/>
      <c r="CJ125" s="949"/>
      <c r="CK125" s="949"/>
      <c r="CL125" s="949"/>
      <c r="CM125" s="949"/>
      <c r="CN125" s="949"/>
      <c r="CO125" s="949"/>
      <c r="CP125" s="949"/>
      <c r="CQ125" s="949"/>
      <c r="CR125" s="949"/>
      <c r="CS125" s="949"/>
      <c r="CT125" s="949"/>
      <c r="CU125" s="949"/>
      <c r="CV125" s="949"/>
      <c r="CW125" s="949"/>
      <c r="CX125" s="949"/>
      <c r="CY125" s="949"/>
      <c r="CZ125" s="949"/>
      <c r="DA125" s="949"/>
      <c r="DB125" s="949"/>
      <c r="DC125" s="949"/>
      <c r="DD125" s="949"/>
      <c r="DE125" s="949"/>
      <c r="DF125" s="949"/>
      <c r="DG125" s="949"/>
      <c r="DH125" s="949"/>
      <c r="DI125" s="949"/>
      <c r="DJ125" s="949"/>
      <c r="DK125" s="949"/>
      <c r="DL125" s="949"/>
      <c r="DM125" s="949"/>
      <c r="DN125" s="949"/>
      <c r="DO125" s="949"/>
      <c r="DP125" s="949"/>
      <c r="DQ125" s="949"/>
      <c r="DR125" s="949"/>
      <c r="DS125" s="949"/>
      <c r="DT125" s="949"/>
      <c r="DU125" s="949"/>
      <c r="DV125" s="949"/>
      <c r="DW125" s="949"/>
      <c r="DX125" s="949"/>
      <c r="DY125" s="949"/>
      <c r="DZ125" s="949"/>
      <c r="EA125" s="949"/>
      <c r="EB125" s="949"/>
      <c r="EC125" s="949"/>
      <c r="ED125" s="949"/>
      <c r="EE125" s="949"/>
      <c r="EF125" s="949"/>
      <c r="EG125" s="949"/>
      <c r="EH125" s="949"/>
      <c r="EI125" s="949"/>
      <c r="EJ125" s="949"/>
      <c r="EK125" s="949"/>
      <c r="EL125" s="949"/>
      <c r="EM125" s="949"/>
      <c r="EN125" s="949"/>
      <c r="EO125" s="949"/>
      <c r="EP125" s="949"/>
      <c r="EQ125" s="949"/>
      <c r="ER125" s="949"/>
      <c r="ES125" s="949"/>
      <c r="ET125" s="949"/>
      <c r="EU125" s="949"/>
      <c r="EV125" s="949"/>
      <c r="EW125" s="949"/>
      <c r="EX125" s="949"/>
      <c r="EY125" s="949"/>
      <c r="EZ125" s="949"/>
      <c r="FA125" s="949"/>
      <c r="FB125" s="949"/>
      <c r="FC125" s="949"/>
      <c r="FD125" s="949"/>
      <c r="FE125" s="949"/>
      <c r="FF125" s="949"/>
      <c r="FG125" s="949"/>
      <c r="FH125" s="949"/>
      <c r="FI125" s="949"/>
      <c r="FJ125" s="949"/>
      <c r="FK125" s="949"/>
      <c r="FL125" s="949"/>
      <c r="FM125" s="949"/>
      <c r="FN125" s="949"/>
      <c r="FO125" s="949"/>
      <c r="FP125" s="949"/>
      <c r="FQ125" s="949"/>
      <c r="FR125" s="949"/>
      <c r="FS125" s="949"/>
      <c r="FT125" s="949"/>
      <c r="FU125" s="949"/>
      <c r="FV125" s="949"/>
      <c r="FW125" s="949"/>
      <c r="FX125" s="949"/>
      <c r="FY125" s="949"/>
      <c r="FZ125" s="949"/>
      <c r="GA125" s="949"/>
      <c r="GB125" s="949"/>
      <c r="GC125" s="949"/>
      <c r="GD125" s="949"/>
      <c r="GE125" s="949"/>
      <c r="GF125" s="949"/>
      <c r="GG125" s="949"/>
      <c r="GH125" s="949"/>
      <c r="GI125" s="949"/>
      <c r="GJ125" s="949"/>
      <c r="GK125" s="949"/>
      <c r="GL125" s="949"/>
      <c r="GM125" s="949"/>
      <c r="GN125" s="949"/>
      <c r="GO125" s="949"/>
      <c r="GP125" s="949"/>
      <c r="GQ125" s="949"/>
      <c r="GR125" s="949"/>
      <c r="GS125" s="949"/>
      <c r="GT125" s="949"/>
      <c r="GU125" s="949"/>
      <c r="GV125" s="949"/>
      <c r="GW125" s="949"/>
      <c r="GX125" s="949"/>
      <c r="GY125" s="949"/>
      <c r="GZ125" s="949"/>
      <c r="HA125" s="949"/>
      <c r="HB125" s="949"/>
      <c r="HC125" s="949"/>
      <c r="HD125" s="949"/>
      <c r="HE125" s="949"/>
      <c r="HF125" s="949"/>
      <c r="HG125" s="949"/>
      <c r="HH125" s="949"/>
      <c r="HI125" s="949"/>
      <c r="HJ125" s="949"/>
      <c r="HK125" s="949"/>
      <c r="HL125" s="949"/>
      <c r="HM125" s="949"/>
      <c r="HN125" s="949"/>
      <c r="HO125" s="949"/>
      <c r="HP125" s="949"/>
      <c r="HQ125" s="949"/>
      <c r="HR125" s="949"/>
      <c r="HS125" s="949"/>
      <c r="HT125" s="949"/>
      <c r="HU125" s="949"/>
      <c r="HV125" s="949"/>
      <c r="HW125" s="949"/>
      <c r="HX125" s="949"/>
      <c r="HY125" s="949"/>
      <c r="HZ125" s="949"/>
      <c r="IA125" s="949"/>
      <c r="IB125" s="949"/>
      <c r="IC125" s="949"/>
      <c r="ID125" s="949"/>
      <c r="IE125" s="949"/>
      <c r="IF125" s="949"/>
      <c r="IG125" s="949"/>
      <c r="IH125" s="949"/>
      <c r="II125" s="949"/>
      <c r="IJ125" s="949"/>
      <c r="IK125" s="949"/>
      <c r="IL125" s="949"/>
      <c r="IM125" s="1"/>
      <c r="IN125" s="1"/>
      <c r="IO125" s="1"/>
      <c r="IP125" s="1"/>
      <c r="IQ125" s="1"/>
      <c r="IR125" s="1"/>
      <c r="IS125" s="1"/>
      <c r="IT125" s="1"/>
    </row>
    <row r="126" spans="1:254" s="92" customFormat="1" ht="12.9" customHeight="1" thickBot="1" x14ac:dyDescent="0.2">
      <c r="A126" s="90" t="s">
        <v>387</v>
      </c>
      <c r="B126" s="41"/>
      <c r="C126" s="933" t="str">
        <f>IF(G121="反応型",IF(50&gt;F123,"+0",IF(60&gt;F123,"+1",IF(70&gt;F123,"+2",IF(F123&gt;=70,"+3")))),"活性補正")</f>
        <v>活性補正</v>
      </c>
      <c r="D126" s="46" t="s">
        <v>388</v>
      </c>
      <c r="E126" s="42"/>
      <c r="F126" s="934" t="str">
        <f>IF(G121="増強型",IF(50&gt;F123,"+0",IF(60&gt;F123,"+1",IF(70&gt;F123,"+2",IF(F123&gt;=70,"+3")))),"活性補正")</f>
        <v>活性補正</v>
      </c>
      <c r="G126" s="935" t="s">
        <v>605</v>
      </c>
      <c r="H126" s="935"/>
      <c r="I126" s="936" t="s">
        <v>606</v>
      </c>
      <c r="J126" s="936"/>
      <c r="K126" s="936"/>
      <c r="L126" s="936"/>
      <c r="M126" s="91" t="s">
        <v>607</v>
      </c>
      <c r="N126" s="92" t="s">
        <v>593</v>
      </c>
      <c r="O126" s="92">
        <v>0</v>
      </c>
      <c r="IL126" s="93"/>
      <c r="IM126" s="1"/>
      <c r="IN126" s="1"/>
      <c r="IO126" s="1"/>
      <c r="IP126" s="1"/>
      <c r="IQ126" s="1"/>
      <c r="IR126" s="1"/>
      <c r="IS126" s="1"/>
      <c r="IT126" s="1"/>
    </row>
    <row r="127" spans="1:254" s="98" customFormat="1" ht="12.9" customHeight="1" thickBot="1" x14ac:dyDescent="0.2">
      <c r="A127" s="21" t="s">
        <v>390</v>
      </c>
      <c r="B127" s="43"/>
      <c r="C127" s="933"/>
      <c r="D127" s="20" t="s">
        <v>391</v>
      </c>
      <c r="E127" s="44"/>
      <c r="F127" s="934"/>
      <c r="G127" s="937" t="s">
        <v>608</v>
      </c>
      <c r="H127" s="937"/>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33"/>
      <c r="D128" s="20" t="s">
        <v>394</v>
      </c>
      <c r="E128" s="44"/>
      <c r="F128" s="934"/>
      <c r="G128" s="928" t="s">
        <v>611</v>
      </c>
      <c r="H128" s="928"/>
      <c r="I128" s="100"/>
      <c r="J128" s="101"/>
      <c r="K128" s="101"/>
      <c r="L128" s="102"/>
      <c r="M128" s="103" t="s">
        <v>612</v>
      </c>
      <c r="N128" s="104" t="s">
        <v>593</v>
      </c>
      <c r="O128" s="104"/>
      <c r="IL128" s="106"/>
      <c r="IM128" s="1"/>
      <c r="IN128" s="1"/>
      <c r="IO128" s="1"/>
      <c r="IP128" s="1"/>
      <c r="IQ128" s="1"/>
      <c r="IR128" s="1"/>
      <c r="IS128" s="1"/>
      <c r="IT128" s="1"/>
    </row>
    <row r="129" spans="1:254" s="105" customFormat="1" ht="12.9" customHeight="1" x14ac:dyDescent="0.15">
      <c r="A129" s="21" t="s">
        <v>244</v>
      </c>
      <c r="B129" s="150"/>
      <c r="C129" s="927" t="str">
        <f>IF(G121="増強型",IF(50&gt;F123,"+0",IF(60&gt;F123,"+1",IF(70&gt;F123,"+2",IF(F123&gt;=70,"+3")))),"活性補正")</f>
        <v>活性補正</v>
      </c>
      <c r="D129" s="20" t="s">
        <v>613</v>
      </c>
      <c r="E129" s="150"/>
      <c r="F129" s="18"/>
      <c r="G129" s="928" t="s">
        <v>614</v>
      </c>
      <c r="H129" s="928"/>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 customHeight="1" thickBot="1" x14ac:dyDescent="0.2">
      <c r="A130" s="21" t="s">
        <v>392</v>
      </c>
      <c r="B130" s="150"/>
      <c r="C130" s="927"/>
      <c r="D130" s="20" t="s">
        <v>397</v>
      </c>
      <c r="E130" s="150"/>
      <c r="F130" s="109" t="str">
        <f>IF(G121="覚醒型",IF(50&gt;F123,"+0",IF(60&gt;F123,"+1",IF(70&gt;F123,"+2",IF(F123&gt;=70,"+3")))),"活性補正")</f>
        <v>活性補正</v>
      </c>
      <c r="G130" s="929" t="s">
        <v>617</v>
      </c>
      <c r="H130" s="929"/>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 customHeight="1" thickBot="1" x14ac:dyDescent="0.2">
      <c r="A134" s="959" t="s">
        <v>383</v>
      </c>
      <c r="B134" s="959"/>
      <c r="C134" s="959"/>
      <c r="D134" s="959"/>
      <c r="E134" s="960" t="s">
        <v>401</v>
      </c>
      <c r="F134" s="960"/>
      <c r="G134" s="957" t="s">
        <v>1</v>
      </c>
      <c r="H134" s="957"/>
      <c r="I134" s="957" t="s">
        <v>257</v>
      </c>
      <c r="J134" s="957"/>
      <c r="K134" s="957"/>
      <c r="L134" s="957"/>
      <c r="M134" s="958" t="s">
        <v>592</v>
      </c>
      <c r="N134" s="949" t="s">
        <v>593</v>
      </c>
      <c r="O134" s="949" t="s">
        <v>634</v>
      </c>
      <c r="P134" s="949"/>
      <c r="Q134" s="949"/>
      <c r="R134" s="949"/>
      <c r="S134" s="949"/>
      <c r="T134" s="949"/>
      <c r="U134" s="949"/>
      <c r="V134" s="949"/>
      <c r="W134" s="949"/>
      <c r="X134" s="949"/>
      <c r="Y134" s="949"/>
      <c r="Z134" s="949"/>
      <c r="AA134" s="949"/>
      <c r="AB134" s="949"/>
      <c r="AC134" s="949"/>
      <c r="AD134" s="949"/>
      <c r="AE134" s="949"/>
      <c r="AF134" s="949"/>
      <c r="AG134" s="949"/>
      <c r="AH134" s="949"/>
      <c r="AI134" s="949"/>
      <c r="AJ134" s="949"/>
      <c r="AK134" s="949"/>
      <c r="AL134" s="949"/>
      <c r="AM134" s="949"/>
      <c r="AN134" s="949"/>
      <c r="AO134" s="949"/>
      <c r="AP134" s="949"/>
      <c r="AQ134" s="949"/>
      <c r="AR134" s="949"/>
      <c r="AS134" s="949"/>
      <c r="AT134" s="949"/>
      <c r="AU134" s="949"/>
      <c r="AV134" s="949"/>
      <c r="AW134" s="949"/>
      <c r="AX134" s="949"/>
      <c r="AY134" s="949"/>
      <c r="AZ134" s="949"/>
      <c r="BA134" s="949"/>
      <c r="BB134" s="949"/>
      <c r="BC134" s="949"/>
      <c r="BD134" s="949"/>
      <c r="BE134" s="949"/>
      <c r="BF134" s="949"/>
      <c r="BG134" s="949"/>
      <c r="BH134" s="949"/>
      <c r="BI134" s="949"/>
      <c r="BJ134" s="949"/>
      <c r="BK134" s="949"/>
      <c r="BL134" s="949"/>
      <c r="BM134" s="949"/>
      <c r="BN134" s="949"/>
      <c r="BO134" s="949"/>
      <c r="BP134" s="949"/>
      <c r="BQ134" s="949"/>
      <c r="BR134" s="949"/>
      <c r="BS134" s="949"/>
      <c r="BT134" s="949"/>
      <c r="BU134" s="949"/>
      <c r="BV134" s="949"/>
      <c r="BW134" s="949"/>
      <c r="BX134" s="949"/>
      <c r="BY134" s="949"/>
      <c r="BZ134" s="949"/>
      <c r="CA134" s="949"/>
      <c r="CB134" s="949"/>
      <c r="CC134" s="949"/>
      <c r="CD134" s="949"/>
      <c r="CE134" s="949"/>
      <c r="CF134" s="949"/>
      <c r="CG134" s="949"/>
      <c r="CH134" s="949"/>
      <c r="CI134" s="949"/>
      <c r="CJ134" s="949"/>
      <c r="CK134" s="949"/>
      <c r="CL134" s="949"/>
      <c r="CM134" s="949"/>
      <c r="CN134" s="949"/>
      <c r="CO134" s="949"/>
      <c r="CP134" s="949"/>
      <c r="CQ134" s="949"/>
      <c r="CR134" s="949"/>
      <c r="CS134" s="949"/>
      <c r="CT134" s="949"/>
      <c r="CU134" s="949"/>
      <c r="CV134" s="949"/>
      <c r="CW134" s="949"/>
      <c r="CX134" s="949"/>
      <c r="CY134" s="949"/>
      <c r="CZ134" s="949"/>
      <c r="DA134" s="949"/>
      <c r="DB134" s="949"/>
      <c r="DC134" s="949"/>
      <c r="DD134" s="949"/>
      <c r="DE134" s="949"/>
      <c r="DF134" s="949"/>
      <c r="DG134" s="949"/>
      <c r="DH134" s="949"/>
      <c r="DI134" s="949"/>
      <c r="DJ134" s="949"/>
      <c r="DK134" s="949"/>
      <c r="DL134" s="949"/>
      <c r="DM134" s="949"/>
      <c r="DN134" s="949"/>
      <c r="DO134" s="949"/>
      <c r="DP134" s="949"/>
      <c r="DQ134" s="949"/>
      <c r="DR134" s="949"/>
      <c r="DS134" s="949"/>
      <c r="DT134" s="949"/>
      <c r="DU134" s="949"/>
      <c r="DV134" s="949"/>
      <c r="DW134" s="949"/>
      <c r="DX134" s="949"/>
      <c r="DY134" s="949"/>
      <c r="DZ134" s="949"/>
      <c r="EA134" s="949"/>
      <c r="EB134" s="949"/>
      <c r="EC134" s="949"/>
      <c r="ED134" s="949"/>
      <c r="EE134" s="949"/>
      <c r="EF134" s="949"/>
      <c r="EG134" s="949"/>
      <c r="EH134" s="949"/>
      <c r="EI134" s="949"/>
      <c r="EJ134" s="949"/>
      <c r="EK134" s="949"/>
      <c r="EL134" s="949"/>
      <c r="EM134" s="949"/>
      <c r="EN134" s="949"/>
      <c r="EO134" s="949"/>
      <c r="EP134" s="949"/>
      <c r="EQ134" s="949"/>
      <c r="ER134" s="949"/>
      <c r="ES134" s="949"/>
      <c r="ET134" s="949"/>
      <c r="EU134" s="949"/>
      <c r="EV134" s="949"/>
      <c r="EW134" s="949"/>
      <c r="EX134" s="949"/>
      <c r="EY134" s="949"/>
      <c r="EZ134" s="949"/>
      <c r="FA134" s="949"/>
      <c r="FB134" s="949"/>
      <c r="FC134" s="949"/>
      <c r="FD134" s="949"/>
      <c r="FE134" s="949"/>
      <c r="FF134" s="949"/>
      <c r="FG134" s="949"/>
      <c r="FH134" s="949"/>
      <c r="FI134" s="949"/>
      <c r="FJ134" s="949"/>
      <c r="FK134" s="949"/>
      <c r="FL134" s="949"/>
      <c r="FM134" s="949"/>
      <c r="FN134" s="949"/>
      <c r="FO134" s="949"/>
      <c r="FP134" s="949"/>
      <c r="FQ134" s="949"/>
      <c r="FR134" s="949"/>
      <c r="FS134" s="949"/>
      <c r="FT134" s="949"/>
      <c r="FU134" s="949"/>
      <c r="FV134" s="949"/>
      <c r="FW134" s="949"/>
      <c r="FX134" s="949"/>
      <c r="FY134" s="949"/>
      <c r="FZ134" s="949"/>
      <c r="GA134" s="949"/>
      <c r="GB134" s="949"/>
      <c r="GC134" s="949"/>
      <c r="GD134" s="949"/>
      <c r="GE134" s="949"/>
      <c r="GF134" s="949"/>
      <c r="GG134" s="949"/>
      <c r="GH134" s="949"/>
      <c r="GI134" s="949"/>
      <c r="GJ134" s="949"/>
      <c r="GK134" s="949"/>
      <c r="GL134" s="949"/>
      <c r="GM134" s="949"/>
      <c r="GN134" s="949"/>
      <c r="GO134" s="949"/>
      <c r="GP134" s="949"/>
      <c r="GQ134" s="949"/>
      <c r="GR134" s="949"/>
      <c r="GS134" s="949"/>
      <c r="GT134" s="949"/>
      <c r="GU134" s="949"/>
      <c r="GV134" s="949"/>
      <c r="GW134" s="949"/>
      <c r="GX134" s="949"/>
      <c r="GY134" s="949"/>
      <c r="GZ134" s="949"/>
      <c r="HA134" s="949"/>
      <c r="HB134" s="949"/>
      <c r="HC134" s="949"/>
      <c r="HD134" s="949"/>
      <c r="HE134" s="949"/>
      <c r="HF134" s="949"/>
      <c r="HG134" s="949"/>
      <c r="HH134" s="949"/>
      <c r="HI134" s="949"/>
      <c r="HJ134" s="949"/>
      <c r="HK134" s="949"/>
      <c r="HL134" s="949"/>
      <c r="HM134" s="949"/>
      <c r="HN134" s="949"/>
      <c r="HO134" s="949"/>
      <c r="HP134" s="949"/>
      <c r="HQ134" s="949"/>
      <c r="HR134" s="949"/>
      <c r="HS134" s="949"/>
      <c r="HT134" s="949"/>
      <c r="HU134" s="949"/>
      <c r="HV134" s="949"/>
      <c r="HW134" s="949"/>
      <c r="HX134" s="949"/>
      <c r="HY134" s="949"/>
      <c r="HZ134" s="949"/>
      <c r="IA134" s="949"/>
      <c r="IB134" s="949"/>
      <c r="IC134" s="949"/>
      <c r="ID134" s="949"/>
      <c r="IE134" s="949"/>
      <c r="IF134" s="949"/>
      <c r="IG134" s="949"/>
      <c r="IH134" s="949"/>
      <c r="II134" s="949"/>
      <c r="IJ134" s="949"/>
      <c r="IK134" s="949"/>
      <c r="IL134" s="948"/>
      <c r="IM134" s="1"/>
      <c r="IN134" s="1"/>
      <c r="IO134" s="1"/>
      <c r="IP134" s="1"/>
      <c r="IQ134" s="1"/>
      <c r="IR134" s="1"/>
      <c r="IS134" s="1"/>
      <c r="IT134" s="1"/>
    </row>
    <row r="135" spans="1:254" s="84" customFormat="1" ht="12.9" customHeight="1" thickBot="1" x14ac:dyDescent="0.2">
      <c r="A135" s="950"/>
      <c r="B135" s="950"/>
      <c r="C135" s="950"/>
      <c r="D135" s="950"/>
      <c r="E135" s="951"/>
      <c r="F135" s="951"/>
      <c r="G135" s="938" t="s">
        <v>18</v>
      </c>
      <c r="H135" s="938"/>
      <c r="I135" s="952" t="s">
        <v>243</v>
      </c>
      <c r="J135" s="952"/>
      <c r="K135" s="953" t="s">
        <v>243</v>
      </c>
      <c r="L135" s="953"/>
      <c r="M135" s="958"/>
      <c r="N135" s="949"/>
      <c r="O135" s="949"/>
      <c r="P135" s="949"/>
      <c r="Q135" s="949"/>
      <c r="R135" s="949"/>
      <c r="S135" s="949"/>
      <c r="T135" s="949"/>
      <c r="U135" s="949"/>
      <c r="V135" s="949"/>
      <c r="W135" s="949"/>
      <c r="X135" s="949"/>
      <c r="Y135" s="949"/>
      <c r="Z135" s="949"/>
      <c r="AA135" s="949"/>
      <c r="AB135" s="949"/>
      <c r="AC135" s="949"/>
      <c r="AD135" s="949"/>
      <c r="AE135" s="949"/>
      <c r="AF135" s="949"/>
      <c r="AG135" s="949"/>
      <c r="AH135" s="949"/>
      <c r="AI135" s="949"/>
      <c r="AJ135" s="949"/>
      <c r="AK135" s="949"/>
      <c r="AL135" s="949"/>
      <c r="AM135" s="949"/>
      <c r="AN135" s="949"/>
      <c r="AO135" s="949"/>
      <c r="AP135" s="949"/>
      <c r="AQ135" s="949"/>
      <c r="AR135" s="949"/>
      <c r="AS135" s="949"/>
      <c r="AT135" s="949"/>
      <c r="AU135" s="949"/>
      <c r="AV135" s="949"/>
      <c r="AW135" s="949"/>
      <c r="AX135" s="949"/>
      <c r="AY135" s="949"/>
      <c r="AZ135" s="949"/>
      <c r="BA135" s="949"/>
      <c r="BB135" s="949"/>
      <c r="BC135" s="949"/>
      <c r="BD135" s="949"/>
      <c r="BE135" s="949"/>
      <c r="BF135" s="949"/>
      <c r="BG135" s="949"/>
      <c r="BH135" s="949"/>
      <c r="BI135" s="949"/>
      <c r="BJ135" s="949"/>
      <c r="BK135" s="949"/>
      <c r="BL135" s="949"/>
      <c r="BM135" s="949"/>
      <c r="BN135" s="949"/>
      <c r="BO135" s="949"/>
      <c r="BP135" s="949"/>
      <c r="BQ135" s="949"/>
      <c r="BR135" s="949"/>
      <c r="BS135" s="949"/>
      <c r="BT135" s="949"/>
      <c r="BU135" s="949"/>
      <c r="BV135" s="949"/>
      <c r="BW135" s="949"/>
      <c r="BX135" s="949"/>
      <c r="BY135" s="949"/>
      <c r="BZ135" s="949"/>
      <c r="CA135" s="949"/>
      <c r="CB135" s="949"/>
      <c r="CC135" s="949"/>
      <c r="CD135" s="949"/>
      <c r="CE135" s="949"/>
      <c r="CF135" s="949"/>
      <c r="CG135" s="949"/>
      <c r="CH135" s="949"/>
      <c r="CI135" s="949"/>
      <c r="CJ135" s="949"/>
      <c r="CK135" s="949"/>
      <c r="CL135" s="949"/>
      <c r="CM135" s="949"/>
      <c r="CN135" s="949"/>
      <c r="CO135" s="949"/>
      <c r="CP135" s="949"/>
      <c r="CQ135" s="949"/>
      <c r="CR135" s="949"/>
      <c r="CS135" s="949"/>
      <c r="CT135" s="949"/>
      <c r="CU135" s="949"/>
      <c r="CV135" s="949"/>
      <c r="CW135" s="949"/>
      <c r="CX135" s="949"/>
      <c r="CY135" s="949"/>
      <c r="CZ135" s="949"/>
      <c r="DA135" s="949"/>
      <c r="DB135" s="949"/>
      <c r="DC135" s="949"/>
      <c r="DD135" s="949"/>
      <c r="DE135" s="949"/>
      <c r="DF135" s="949"/>
      <c r="DG135" s="949"/>
      <c r="DH135" s="949"/>
      <c r="DI135" s="949"/>
      <c r="DJ135" s="949"/>
      <c r="DK135" s="949"/>
      <c r="DL135" s="949"/>
      <c r="DM135" s="949"/>
      <c r="DN135" s="949"/>
      <c r="DO135" s="949"/>
      <c r="DP135" s="949"/>
      <c r="DQ135" s="949"/>
      <c r="DR135" s="949"/>
      <c r="DS135" s="949"/>
      <c r="DT135" s="949"/>
      <c r="DU135" s="949"/>
      <c r="DV135" s="949"/>
      <c r="DW135" s="949"/>
      <c r="DX135" s="949"/>
      <c r="DY135" s="949"/>
      <c r="DZ135" s="949"/>
      <c r="EA135" s="949"/>
      <c r="EB135" s="949"/>
      <c r="EC135" s="949"/>
      <c r="ED135" s="949"/>
      <c r="EE135" s="949"/>
      <c r="EF135" s="949"/>
      <c r="EG135" s="949"/>
      <c r="EH135" s="949"/>
      <c r="EI135" s="949"/>
      <c r="EJ135" s="949"/>
      <c r="EK135" s="949"/>
      <c r="EL135" s="949"/>
      <c r="EM135" s="949"/>
      <c r="EN135" s="949"/>
      <c r="EO135" s="949"/>
      <c r="EP135" s="949"/>
      <c r="EQ135" s="949"/>
      <c r="ER135" s="949"/>
      <c r="ES135" s="949"/>
      <c r="ET135" s="949"/>
      <c r="EU135" s="949"/>
      <c r="EV135" s="949"/>
      <c r="EW135" s="949"/>
      <c r="EX135" s="949"/>
      <c r="EY135" s="949"/>
      <c r="EZ135" s="949"/>
      <c r="FA135" s="949"/>
      <c r="FB135" s="949"/>
      <c r="FC135" s="949"/>
      <c r="FD135" s="949"/>
      <c r="FE135" s="949"/>
      <c r="FF135" s="949"/>
      <c r="FG135" s="949"/>
      <c r="FH135" s="949"/>
      <c r="FI135" s="949"/>
      <c r="FJ135" s="949"/>
      <c r="FK135" s="949"/>
      <c r="FL135" s="949"/>
      <c r="FM135" s="949"/>
      <c r="FN135" s="949"/>
      <c r="FO135" s="949"/>
      <c r="FP135" s="949"/>
      <c r="FQ135" s="949"/>
      <c r="FR135" s="949"/>
      <c r="FS135" s="949"/>
      <c r="FT135" s="949"/>
      <c r="FU135" s="949"/>
      <c r="FV135" s="949"/>
      <c r="FW135" s="949"/>
      <c r="FX135" s="949"/>
      <c r="FY135" s="949"/>
      <c r="FZ135" s="949"/>
      <c r="GA135" s="949"/>
      <c r="GB135" s="949"/>
      <c r="GC135" s="949"/>
      <c r="GD135" s="949"/>
      <c r="GE135" s="949"/>
      <c r="GF135" s="949"/>
      <c r="GG135" s="949"/>
      <c r="GH135" s="949"/>
      <c r="GI135" s="949"/>
      <c r="GJ135" s="949"/>
      <c r="GK135" s="949"/>
      <c r="GL135" s="949"/>
      <c r="GM135" s="949"/>
      <c r="GN135" s="949"/>
      <c r="GO135" s="949"/>
      <c r="GP135" s="949"/>
      <c r="GQ135" s="949"/>
      <c r="GR135" s="949"/>
      <c r="GS135" s="949"/>
      <c r="GT135" s="949"/>
      <c r="GU135" s="949"/>
      <c r="GV135" s="949"/>
      <c r="GW135" s="949"/>
      <c r="GX135" s="949"/>
      <c r="GY135" s="949"/>
      <c r="GZ135" s="949"/>
      <c r="HA135" s="949"/>
      <c r="HB135" s="949"/>
      <c r="HC135" s="949"/>
      <c r="HD135" s="949"/>
      <c r="HE135" s="949"/>
      <c r="HF135" s="949"/>
      <c r="HG135" s="949"/>
      <c r="HH135" s="949"/>
      <c r="HI135" s="949"/>
      <c r="HJ135" s="949"/>
      <c r="HK135" s="949"/>
      <c r="HL135" s="949"/>
      <c r="HM135" s="949"/>
      <c r="HN135" s="949"/>
      <c r="HO135" s="949"/>
      <c r="HP135" s="949"/>
      <c r="HQ135" s="949"/>
      <c r="HR135" s="949"/>
      <c r="HS135" s="949"/>
      <c r="HT135" s="949"/>
      <c r="HU135" s="949"/>
      <c r="HV135" s="949"/>
      <c r="HW135" s="949"/>
      <c r="HX135" s="949"/>
      <c r="HY135" s="949"/>
      <c r="HZ135" s="949"/>
      <c r="IA135" s="949"/>
      <c r="IB135" s="949"/>
      <c r="IC135" s="949"/>
      <c r="ID135" s="949"/>
      <c r="IE135" s="949"/>
      <c r="IF135" s="949"/>
      <c r="IG135" s="949"/>
      <c r="IH135" s="949"/>
      <c r="II135" s="949"/>
      <c r="IJ135" s="949"/>
      <c r="IK135" s="949"/>
      <c r="IL135" s="949"/>
      <c r="IM135" s="1"/>
      <c r="IN135" s="1"/>
      <c r="IO135" s="1"/>
      <c r="IP135" s="1"/>
      <c r="IQ135" s="1"/>
      <c r="IR135" s="1"/>
      <c r="IS135" s="1"/>
      <c r="IT135" s="1"/>
    </row>
    <row r="136" spans="1:254" s="84" customFormat="1" ht="12.9" customHeight="1" thickBot="1" x14ac:dyDescent="0.2">
      <c r="A136" s="954" t="s">
        <v>599</v>
      </c>
      <c r="B136" s="954"/>
      <c r="C136" s="955" t="s">
        <v>389</v>
      </c>
      <c r="D136" s="955"/>
      <c r="E136" s="956" t="s">
        <v>461</v>
      </c>
      <c r="F136" s="956"/>
      <c r="G136" s="944" t="s">
        <v>4</v>
      </c>
      <c r="H136" s="944"/>
      <c r="I136" s="945" t="s">
        <v>600</v>
      </c>
      <c r="J136" s="945"/>
      <c r="K136" s="946" t="s">
        <v>601</v>
      </c>
      <c r="L136" s="946"/>
      <c r="M136" s="958"/>
      <c r="N136" s="949"/>
      <c r="O136" s="949"/>
      <c r="P136" s="949"/>
      <c r="Q136" s="949"/>
      <c r="R136" s="949"/>
      <c r="S136" s="949"/>
      <c r="T136" s="949"/>
      <c r="U136" s="949"/>
      <c r="V136" s="949"/>
      <c r="W136" s="949"/>
      <c r="X136" s="949"/>
      <c r="Y136" s="949"/>
      <c r="Z136" s="949"/>
      <c r="AA136" s="949"/>
      <c r="AB136" s="949"/>
      <c r="AC136" s="949"/>
      <c r="AD136" s="949"/>
      <c r="AE136" s="949"/>
      <c r="AF136" s="949"/>
      <c r="AG136" s="949"/>
      <c r="AH136" s="949"/>
      <c r="AI136" s="949"/>
      <c r="AJ136" s="949"/>
      <c r="AK136" s="949"/>
      <c r="AL136" s="949"/>
      <c r="AM136" s="949"/>
      <c r="AN136" s="949"/>
      <c r="AO136" s="949"/>
      <c r="AP136" s="949"/>
      <c r="AQ136" s="949"/>
      <c r="AR136" s="949"/>
      <c r="AS136" s="949"/>
      <c r="AT136" s="949"/>
      <c r="AU136" s="949"/>
      <c r="AV136" s="949"/>
      <c r="AW136" s="949"/>
      <c r="AX136" s="949"/>
      <c r="AY136" s="949"/>
      <c r="AZ136" s="949"/>
      <c r="BA136" s="949"/>
      <c r="BB136" s="949"/>
      <c r="BC136" s="949"/>
      <c r="BD136" s="949"/>
      <c r="BE136" s="949"/>
      <c r="BF136" s="949"/>
      <c r="BG136" s="949"/>
      <c r="BH136" s="949"/>
      <c r="BI136" s="949"/>
      <c r="BJ136" s="949"/>
      <c r="BK136" s="949"/>
      <c r="BL136" s="949"/>
      <c r="BM136" s="949"/>
      <c r="BN136" s="949"/>
      <c r="BO136" s="949"/>
      <c r="BP136" s="949"/>
      <c r="BQ136" s="949"/>
      <c r="BR136" s="949"/>
      <c r="BS136" s="949"/>
      <c r="BT136" s="949"/>
      <c r="BU136" s="949"/>
      <c r="BV136" s="949"/>
      <c r="BW136" s="949"/>
      <c r="BX136" s="949"/>
      <c r="BY136" s="949"/>
      <c r="BZ136" s="949"/>
      <c r="CA136" s="949"/>
      <c r="CB136" s="949"/>
      <c r="CC136" s="949"/>
      <c r="CD136" s="949"/>
      <c r="CE136" s="949"/>
      <c r="CF136" s="949"/>
      <c r="CG136" s="949"/>
      <c r="CH136" s="949"/>
      <c r="CI136" s="949"/>
      <c r="CJ136" s="949"/>
      <c r="CK136" s="949"/>
      <c r="CL136" s="949"/>
      <c r="CM136" s="949"/>
      <c r="CN136" s="949"/>
      <c r="CO136" s="949"/>
      <c r="CP136" s="949"/>
      <c r="CQ136" s="949"/>
      <c r="CR136" s="949"/>
      <c r="CS136" s="949"/>
      <c r="CT136" s="949"/>
      <c r="CU136" s="949"/>
      <c r="CV136" s="949"/>
      <c r="CW136" s="949"/>
      <c r="CX136" s="949"/>
      <c r="CY136" s="949"/>
      <c r="CZ136" s="949"/>
      <c r="DA136" s="949"/>
      <c r="DB136" s="949"/>
      <c r="DC136" s="949"/>
      <c r="DD136" s="949"/>
      <c r="DE136" s="949"/>
      <c r="DF136" s="949"/>
      <c r="DG136" s="949"/>
      <c r="DH136" s="949"/>
      <c r="DI136" s="949"/>
      <c r="DJ136" s="949"/>
      <c r="DK136" s="949"/>
      <c r="DL136" s="949"/>
      <c r="DM136" s="949"/>
      <c r="DN136" s="949"/>
      <c r="DO136" s="949"/>
      <c r="DP136" s="949"/>
      <c r="DQ136" s="949"/>
      <c r="DR136" s="949"/>
      <c r="DS136" s="949"/>
      <c r="DT136" s="949"/>
      <c r="DU136" s="949"/>
      <c r="DV136" s="949"/>
      <c r="DW136" s="949"/>
      <c r="DX136" s="949"/>
      <c r="DY136" s="949"/>
      <c r="DZ136" s="949"/>
      <c r="EA136" s="949"/>
      <c r="EB136" s="949"/>
      <c r="EC136" s="949"/>
      <c r="ED136" s="949"/>
      <c r="EE136" s="949"/>
      <c r="EF136" s="949"/>
      <c r="EG136" s="949"/>
      <c r="EH136" s="949"/>
      <c r="EI136" s="949"/>
      <c r="EJ136" s="949"/>
      <c r="EK136" s="949"/>
      <c r="EL136" s="949"/>
      <c r="EM136" s="949"/>
      <c r="EN136" s="949"/>
      <c r="EO136" s="949"/>
      <c r="EP136" s="949"/>
      <c r="EQ136" s="949"/>
      <c r="ER136" s="949"/>
      <c r="ES136" s="949"/>
      <c r="ET136" s="949"/>
      <c r="EU136" s="949"/>
      <c r="EV136" s="949"/>
      <c r="EW136" s="949"/>
      <c r="EX136" s="949"/>
      <c r="EY136" s="949"/>
      <c r="EZ136" s="949"/>
      <c r="FA136" s="949"/>
      <c r="FB136" s="949"/>
      <c r="FC136" s="949"/>
      <c r="FD136" s="949"/>
      <c r="FE136" s="949"/>
      <c r="FF136" s="949"/>
      <c r="FG136" s="949"/>
      <c r="FH136" s="949"/>
      <c r="FI136" s="949"/>
      <c r="FJ136" s="949"/>
      <c r="FK136" s="949"/>
      <c r="FL136" s="949"/>
      <c r="FM136" s="949"/>
      <c r="FN136" s="949"/>
      <c r="FO136" s="949"/>
      <c r="FP136" s="949"/>
      <c r="FQ136" s="949"/>
      <c r="FR136" s="949"/>
      <c r="FS136" s="949"/>
      <c r="FT136" s="949"/>
      <c r="FU136" s="949"/>
      <c r="FV136" s="949"/>
      <c r="FW136" s="949"/>
      <c r="FX136" s="949"/>
      <c r="FY136" s="949"/>
      <c r="FZ136" s="949"/>
      <c r="GA136" s="949"/>
      <c r="GB136" s="949"/>
      <c r="GC136" s="949"/>
      <c r="GD136" s="949"/>
      <c r="GE136" s="949"/>
      <c r="GF136" s="949"/>
      <c r="GG136" s="949"/>
      <c r="GH136" s="949"/>
      <c r="GI136" s="949"/>
      <c r="GJ136" s="949"/>
      <c r="GK136" s="949"/>
      <c r="GL136" s="949"/>
      <c r="GM136" s="949"/>
      <c r="GN136" s="949"/>
      <c r="GO136" s="949"/>
      <c r="GP136" s="949"/>
      <c r="GQ136" s="949"/>
      <c r="GR136" s="949"/>
      <c r="GS136" s="949"/>
      <c r="GT136" s="949"/>
      <c r="GU136" s="949"/>
      <c r="GV136" s="949"/>
      <c r="GW136" s="949"/>
      <c r="GX136" s="949"/>
      <c r="GY136" s="949"/>
      <c r="GZ136" s="949"/>
      <c r="HA136" s="949"/>
      <c r="HB136" s="949"/>
      <c r="HC136" s="949"/>
      <c r="HD136" s="949"/>
      <c r="HE136" s="949"/>
      <c r="HF136" s="949"/>
      <c r="HG136" s="949"/>
      <c r="HH136" s="949"/>
      <c r="HI136" s="949"/>
      <c r="HJ136" s="949"/>
      <c r="HK136" s="949"/>
      <c r="HL136" s="949"/>
      <c r="HM136" s="949"/>
      <c r="HN136" s="949"/>
      <c r="HO136" s="949"/>
      <c r="HP136" s="949"/>
      <c r="HQ136" s="949"/>
      <c r="HR136" s="949"/>
      <c r="HS136" s="949"/>
      <c r="HT136" s="949"/>
      <c r="HU136" s="949"/>
      <c r="HV136" s="949"/>
      <c r="HW136" s="949"/>
      <c r="HX136" s="949"/>
      <c r="HY136" s="949"/>
      <c r="HZ136" s="949"/>
      <c r="IA136" s="949"/>
      <c r="IB136" s="949"/>
      <c r="IC136" s="949"/>
      <c r="ID136" s="949"/>
      <c r="IE136" s="949"/>
      <c r="IF136" s="949"/>
      <c r="IG136" s="949"/>
      <c r="IH136" s="949"/>
      <c r="II136" s="949"/>
      <c r="IJ136" s="949"/>
      <c r="IK136" s="949"/>
      <c r="IL136" s="949"/>
      <c r="IM136" s="1"/>
      <c r="IN136" s="1"/>
      <c r="IO136" s="1"/>
      <c r="IP136" s="1"/>
      <c r="IQ136" s="1"/>
      <c r="IR136" s="1"/>
      <c r="IS136" s="1"/>
      <c r="IT136" s="1"/>
    </row>
    <row r="137" spans="1:254" s="84" customFormat="1" ht="12.9" customHeight="1" thickBot="1" x14ac:dyDescent="0.2">
      <c r="A137" s="85">
        <f>B137+SUM(O141:IL141)</f>
        <v>0</v>
      </c>
      <c r="B137" s="9">
        <f>J141+L141</f>
        <v>0</v>
      </c>
      <c r="C137" s="86">
        <f>D137-SUM(O142:IL142)+SUM(O143:IL143)</f>
        <v>0</v>
      </c>
      <c r="D137" s="10">
        <f>J143+L143</f>
        <v>0</v>
      </c>
      <c r="E137" s="11">
        <f>J144+L144</f>
        <v>0</v>
      </c>
      <c r="F137" s="12">
        <f>E137+SUM(O144:IL144)</f>
        <v>0</v>
      </c>
      <c r="G137" s="938" t="s">
        <v>18</v>
      </c>
      <c r="H137" s="938"/>
      <c r="I137" s="939" t="s">
        <v>18</v>
      </c>
      <c r="J137" s="939"/>
      <c r="K137" s="940" t="s">
        <v>18</v>
      </c>
      <c r="L137" s="940"/>
      <c r="M137" s="958"/>
      <c r="N137" s="958"/>
      <c r="O137" s="949"/>
      <c r="P137" s="949"/>
      <c r="Q137" s="949"/>
      <c r="R137" s="949"/>
      <c r="S137" s="949"/>
      <c r="T137" s="949"/>
      <c r="U137" s="949"/>
      <c r="V137" s="949"/>
      <c r="W137" s="949"/>
      <c r="X137" s="949"/>
      <c r="Y137" s="949"/>
      <c r="Z137" s="949"/>
      <c r="AA137" s="949"/>
      <c r="AB137" s="949"/>
      <c r="AC137" s="949"/>
      <c r="AD137" s="949"/>
      <c r="AE137" s="949"/>
      <c r="AF137" s="949"/>
      <c r="AG137" s="949"/>
      <c r="AH137" s="949"/>
      <c r="AI137" s="949"/>
      <c r="AJ137" s="949"/>
      <c r="AK137" s="949"/>
      <c r="AL137" s="949"/>
      <c r="AM137" s="949"/>
      <c r="AN137" s="949"/>
      <c r="AO137" s="949"/>
      <c r="AP137" s="949"/>
      <c r="AQ137" s="949"/>
      <c r="AR137" s="949"/>
      <c r="AS137" s="949"/>
      <c r="AT137" s="949"/>
      <c r="AU137" s="949"/>
      <c r="AV137" s="949"/>
      <c r="AW137" s="949"/>
      <c r="AX137" s="949"/>
      <c r="AY137" s="949"/>
      <c r="AZ137" s="949"/>
      <c r="BA137" s="949"/>
      <c r="BB137" s="949"/>
      <c r="BC137" s="949"/>
      <c r="BD137" s="949"/>
      <c r="BE137" s="949"/>
      <c r="BF137" s="949"/>
      <c r="BG137" s="949"/>
      <c r="BH137" s="949"/>
      <c r="BI137" s="949"/>
      <c r="BJ137" s="949"/>
      <c r="BK137" s="949"/>
      <c r="BL137" s="949"/>
      <c r="BM137" s="949"/>
      <c r="BN137" s="949"/>
      <c r="BO137" s="949"/>
      <c r="BP137" s="949"/>
      <c r="BQ137" s="949"/>
      <c r="BR137" s="949"/>
      <c r="BS137" s="949"/>
      <c r="BT137" s="949"/>
      <c r="BU137" s="949"/>
      <c r="BV137" s="949"/>
      <c r="BW137" s="949"/>
      <c r="BX137" s="949"/>
      <c r="BY137" s="949"/>
      <c r="BZ137" s="949"/>
      <c r="CA137" s="949"/>
      <c r="CB137" s="949"/>
      <c r="CC137" s="949"/>
      <c r="CD137" s="949"/>
      <c r="CE137" s="949"/>
      <c r="CF137" s="949"/>
      <c r="CG137" s="949"/>
      <c r="CH137" s="949"/>
      <c r="CI137" s="949"/>
      <c r="CJ137" s="949"/>
      <c r="CK137" s="949"/>
      <c r="CL137" s="949"/>
      <c r="CM137" s="949"/>
      <c r="CN137" s="949"/>
      <c r="CO137" s="949"/>
      <c r="CP137" s="949"/>
      <c r="CQ137" s="949"/>
      <c r="CR137" s="949"/>
      <c r="CS137" s="949"/>
      <c r="CT137" s="949"/>
      <c r="CU137" s="949"/>
      <c r="CV137" s="949"/>
      <c r="CW137" s="949"/>
      <c r="CX137" s="949"/>
      <c r="CY137" s="949"/>
      <c r="CZ137" s="949"/>
      <c r="DA137" s="949"/>
      <c r="DB137" s="949"/>
      <c r="DC137" s="949"/>
      <c r="DD137" s="949"/>
      <c r="DE137" s="949"/>
      <c r="DF137" s="949"/>
      <c r="DG137" s="949"/>
      <c r="DH137" s="949"/>
      <c r="DI137" s="949"/>
      <c r="DJ137" s="949"/>
      <c r="DK137" s="949"/>
      <c r="DL137" s="949"/>
      <c r="DM137" s="949"/>
      <c r="DN137" s="949"/>
      <c r="DO137" s="949"/>
      <c r="DP137" s="949"/>
      <c r="DQ137" s="949"/>
      <c r="DR137" s="949"/>
      <c r="DS137" s="949"/>
      <c r="DT137" s="949"/>
      <c r="DU137" s="949"/>
      <c r="DV137" s="949"/>
      <c r="DW137" s="949"/>
      <c r="DX137" s="949"/>
      <c r="DY137" s="949"/>
      <c r="DZ137" s="949"/>
      <c r="EA137" s="949"/>
      <c r="EB137" s="949"/>
      <c r="EC137" s="949"/>
      <c r="ED137" s="949"/>
      <c r="EE137" s="949"/>
      <c r="EF137" s="949"/>
      <c r="EG137" s="949"/>
      <c r="EH137" s="949"/>
      <c r="EI137" s="949"/>
      <c r="EJ137" s="949"/>
      <c r="EK137" s="949"/>
      <c r="EL137" s="949"/>
      <c r="EM137" s="949"/>
      <c r="EN137" s="949"/>
      <c r="EO137" s="949"/>
      <c r="EP137" s="949"/>
      <c r="EQ137" s="949"/>
      <c r="ER137" s="949"/>
      <c r="ES137" s="949"/>
      <c r="ET137" s="949"/>
      <c r="EU137" s="949"/>
      <c r="EV137" s="949"/>
      <c r="EW137" s="949"/>
      <c r="EX137" s="949"/>
      <c r="EY137" s="949"/>
      <c r="EZ137" s="949"/>
      <c r="FA137" s="949"/>
      <c r="FB137" s="949"/>
      <c r="FC137" s="949"/>
      <c r="FD137" s="949"/>
      <c r="FE137" s="949"/>
      <c r="FF137" s="949"/>
      <c r="FG137" s="949"/>
      <c r="FH137" s="949"/>
      <c r="FI137" s="949"/>
      <c r="FJ137" s="949"/>
      <c r="FK137" s="949"/>
      <c r="FL137" s="949"/>
      <c r="FM137" s="949"/>
      <c r="FN137" s="949"/>
      <c r="FO137" s="949"/>
      <c r="FP137" s="949"/>
      <c r="FQ137" s="949"/>
      <c r="FR137" s="949"/>
      <c r="FS137" s="949"/>
      <c r="FT137" s="949"/>
      <c r="FU137" s="949"/>
      <c r="FV137" s="949"/>
      <c r="FW137" s="949"/>
      <c r="FX137" s="949"/>
      <c r="FY137" s="949"/>
      <c r="FZ137" s="949"/>
      <c r="GA137" s="949"/>
      <c r="GB137" s="949"/>
      <c r="GC137" s="949"/>
      <c r="GD137" s="949"/>
      <c r="GE137" s="949"/>
      <c r="GF137" s="949"/>
      <c r="GG137" s="949"/>
      <c r="GH137" s="949"/>
      <c r="GI137" s="949"/>
      <c r="GJ137" s="949"/>
      <c r="GK137" s="949"/>
      <c r="GL137" s="949"/>
      <c r="GM137" s="949"/>
      <c r="GN137" s="949"/>
      <c r="GO137" s="949"/>
      <c r="GP137" s="949"/>
      <c r="GQ137" s="949"/>
      <c r="GR137" s="949"/>
      <c r="GS137" s="949"/>
      <c r="GT137" s="949"/>
      <c r="GU137" s="949"/>
      <c r="GV137" s="949"/>
      <c r="GW137" s="949"/>
      <c r="GX137" s="949"/>
      <c r="GY137" s="949"/>
      <c r="GZ137" s="949"/>
      <c r="HA137" s="949"/>
      <c r="HB137" s="949"/>
      <c r="HC137" s="949"/>
      <c r="HD137" s="949"/>
      <c r="HE137" s="949"/>
      <c r="HF137" s="949"/>
      <c r="HG137" s="949"/>
      <c r="HH137" s="949"/>
      <c r="HI137" s="949"/>
      <c r="HJ137" s="949"/>
      <c r="HK137" s="949"/>
      <c r="HL137" s="949"/>
      <c r="HM137" s="949"/>
      <c r="HN137" s="949"/>
      <c r="HO137" s="949"/>
      <c r="HP137" s="949"/>
      <c r="HQ137" s="949"/>
      <c r="HR137" s="949"/>
      <c r="HS137" s="949"/>
      <c r="HT137" s="949"/>
      <c r="HU137" s="949"/>
      <c r="HV137" s="949"/>
      <c r="HW137" s="949"/>
      <c r="HX137" s="949"/>
      <c r="HY137" s="949"/>
      <c r="HZ137" s="949"/>
      <c r="IA137" s="949"/>
      <c r="IB137" s="949"/>
      <c r="IC137" s="949"/>
      <c r="ID137" s="949"/>
      <c r="IE137" s="949"/>
      <c r="IF137" s="949"/>
      <c r="IG137" s="949"/>
      <c r="IH137" s="949"/>
      <c r="II137" s="949"/>
      <c r="IJ137" s="949"/>
      <c r="IK137" s="949"/>
      <c r="IL137" s="949"/>
      <c r="IM137" s="1"/>
      <c r="IN137" s="1"/>
      <c r="IO137" s="1"/>
      <c r="IP137" s="1"/>
      <c r="IQ137" s="1"/>
      <c r="IR137" s="1"/>
      <c r="IS137" s="1"/>
      <c r="IT137" s="1"/>
    </row>
    <row r="138" spans="1:254" s="84" customFormat="1" ht="12" customHeight="1" thickBot="1" x14ac:dyDescent="0.2">
      <c r="A138" s="941" t="s">
        <v>395</v>
      </c>
      <c r="B138" s="942"/>
      <c r="C138" s="87" t="s">
        <v>602</v>
      </c>
      <c r="D138" s="88" t="s">
        <v>603</v>
      </c>
      <c r="E138" s="943"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3"/>
      <c r="G138" s="944" t="s">
        <v>15</v>
      </c>
      <c r="H138" s="944"/>
      <c r="I138" s="945" t="s">
        <v>415</v>
      </c>
      <c r="J138" s="945"/>
      <c r="K138" s="946" t="s">
        <v>604</v>
      </c>
      <c r="L138" s="946"/>
      <c r="M138" s="958"/>
      <c r="N138" s="958"/>
      <c r="O138" s="949"/>
      <c r="P138" s="949"/>
      <c r="Q138" s="949"/>
      <c r="R138" s="949"/>
      <c r="S138" s="949"/>
      <c r="T138" s="949"/>
      <c r="U138" s="949"/>
      <c r="V138" s="949"/>
      <c r="W138" s="949"/>
      <c r="X138" s="949"/>
      <c r="Y138" s="949"/>
      <c r="Z138" s="949"/>
      <c r="AA138" s="949"/>
      <c r="AB138" s="949"/>
      <c r="AC138" s="949"/>
      <c r="AD138" s="949"/>
      <c r="AE138" s="949"/>
      <c r="AF138" s="949"/>
      <c r="AG138" s="949"/>
      <c r="AH138" s="949"/>
      <c r="AI138" s="949"/>
      <c r="AJ138" s="949"/>
      <c r="AK138" s="949"/>
      <c r="AL138" s="949"/>
      <c r="AM138" s="949"/>
      <c r="AN138" s="949"/>
      <c r="AO138" s="949"/>
      <c r="AP138" s="949"/>
      <c r="AQ138" s="949"/>
      <c r="AR138" s="949"/>
      <c r="AS138" s="949"/>
      <c r="AT138" s="949"/>
      <c r="AU138" s="949"/>
      <c r="AV138" s="949"/>
      <c r="AW138" s="949"/>
      <c r="AX138" s="949"/>
      <c r="AY138" s="949"/>
      <c r="AZ138" s="949"/>
      <c r="BA138" s="949"/>
      <c r="BB138" s="949"/>
      <c r="BC138" s="949"/>
      <c r="BD138" s="949"/>
      <c r="BE138" s="949"/>
      <c r="BF138" s="949"/>
      <c r="BG138" s="949"/>
      <c r="BH138" s="949"/>
      <c r="BI138" s="949"/>
      <c r="BJ138" s="949"/>
      <c r="BK138" s="949"/>
      <c r="BL138" s="949"/>
      <c r="BM138" s="949"/>
      <c r="BN138" s="949"/>
      <c r="BO138" s="949"/>
      <c r="BP138" s="949"/>
      <c r="BQ138" s="949"/>
      <c r="BR138" s="949"/>
      <c r="BS138" s="949"/>
      <c r="BT138" s="949"/>
      <c r="BU138" s="949"/>
      <c r="BV138" s="949"/>
      <c r="BW138" s="949"/>
      <c r="BX138" s="949"/>
      <c r="BY138" s="949"/>
      <c r="BZ138" s="949"/>
      <c r="CA138" s="949"/>
      <c r="CB138" s="949"/>
      <c r="CC138" s="949"/>
      <c r="CD138" s="949"/>
      <c r="CE138" s="949"/>
      <c r="CF138" s="949"/>
      <c r="CG138" s="949"/>
      <c r="CH138" s="949"/>
      <c r="CI138" s="949"/>
      <c r="CJ138" s="949"/>
      <c r="CK138" s="949"/>
      <c r="CL138" s="949"/>
      <c r="CM138" s="949"/>
      <c r="CN138" s="949"/>
      <c r="CO138" s="949"/>
      <c r="CP138" s="949"/>
      <c r="CQ138" s="949"/>
      <c r="CR138" s="949"/>
      <c r="CS138" s="949"/>
      <c r="CT138" s="949"/>
      <c r="CU138" s="949"/>
      <c r="CV138" s="949"/>
      <c r="CW138" s="949"/>
      <c r="CX138" s="949"/>
      <c r="CY138" s="949"/>
      <c r="CZ138" s="949"/>
      <c r="DA138" s="949"/>
      <c r="DB138" s="949"/>
      <c r="DC138" s="949"/>
      <c r="DD138" s="949"/>
      <c r="DE138" s="949"/>
      <c r="DF138" s="949"/>
      <c r="DG138" s="949"/>
      <c r="DH138" s="949"/>
      <c r="DI138" s="949"/>
      <c r="DJ138" s="949"/>
      <c r="DK138" s="949"/>
      <c r="DL138" s="949"/>
      <c r="DM138" s="949"/>
      <c r="DN138" s="949"/>
      <c r="DO138" s="949"/>
      <c r="DP138" s="949"/>
      <c r="DQ138" s="949"/>
      <c r="DR138" s="949"/>
      <c r="DS138" s="949"/>
      <c r="DT138" s="949"/>
      <c r="DU138" s="949"/>
      <c r="DV138" s="949"/>
      <c r="DW138" s="949"/>
      <c r="DX138" s="949"/>
      <c r="DY138" s="949"/>
      <c r="DZ138" s="949"/>
      <c r="EA138" s="949"/>
      <c r="EB138" s="949"/>
      <c r="EC138" s="949"/>
      <c r="ED138" s="949"/>
      <c r="EE138" s="949"/>
      <c r="EF138" s="949"/>
      <c r="EG138" s="949"/>
      <c r="EH138" s="949"/>
      <c r="EI138" s="949"/>
      <c r="EJ138" s="949"/>
      <c r="EK138" s="949"/>
      <c r="EL138" s="949"/>
      <c r="EM138" s="949"/>
      <c r="EN138" s="949"/>
      <c r="EO138" s="949"/>
      <c r="EP138" s="949"/>
      <c r="EQ138" s="949"/>
      <c r="ER138" s="949"/>
      <c r="ES138" s="949"/>
      <c r="ET138" s="949"/>
      <c r="EU138" s="949"/>
      <c r="EV138" s="949"/>
      <c r="EW138" s="949"/>
      <c r="EX138" s="949"/>
      <c r="EY138" s="949"/>
      <c r="EZ138" s="949"/>
      <c r="FA138" s="949"/>
      <c r="FB138" s="949"/>
      <c r="FC138" s="949"/>
      <c r="FD138" s="949"/>
      <c r="FE138" s="949"/>
      <c r="FF138" s="949"/>
      <c r="FG138" s="949"/>
      <c r="FH138" s="949"/>
      <c r="FI138" s="949"/>
      <c r="FJ138" s="949"/>
      <c r="FK138" s="949"/>
      <c r="FL138" s="949"/>
      <c r="FM138" s="949"/>
      <c r="FN138" s="949"/>
      <c r="FO138" s="949"/>
      <c r="FP138" s="949"/>
      <c r="FQ138" s="949"/>
      <c r="FR138" s="949"/>
      <c r="FS138" s="949"/>
      <c r="FT138" s="949"/>
      <c r="FU138" s="949"/>
      <c r="FV138" s="949"/>
      <c r="FW138" s="949"/>
      <c r="FX138" s="949"/>
      <c r="FY138" s="949"/>
      <c r="FZ138" s="949"/>
      <c r="GA138" s="949"/>
      <c r="GB138" s="949"/>
      <c r="GC138" s="949"/>
      <c r="GD138" s="949"/>
      <c r="GE138" s="949"/>
      <c r="GF138" s="949"/>
      <c r="GG138" s="949"/>
      <c r="GH138" s="949"/>
      <c r="GI138" s="949"/>
      <c r="GJ138" s="949"/>
      <c r="GK138" s="949"/>
      <c r="GL138" s="949"/>
      <c r="GM138" s="949"/>
      <c r="GN138" s="949"/>
      <c r="GO138" s="949"/>
      <c r="GP138" s="949"/>
      <c r="GQ138" s="949"/>
      <c r="GR138" s="949"/>
      <c r="GS138" s="949"/>
      <c r="GT138" s="949"/>
      <c r="GU138" s="949"/>
      <c r="GV138" s="949"/>
      <c r="GW138" s="949"/>
      <c r="GX138" s="949"/>
      <c r="GY138" s="949"/>
      <c r="GZ138" s="949"/>
      <c r="HA138" s="949"/>
      <c r="HB138" s="949"/>
      <c r="HC138" s="949"/>
      <c r="HD138" s="949"/>
      <c r="HE138" s="949"/>
      <c r="HF138" s="949"/>
      <c r="HG138" s="949"/>
      <c r="HH138" s="949"/>
      <c r="HI138" s="949"/>
      <c r="HJ138" s="949"/>
      <c r="HK138" s="949"/>
      <c r="HL138" s="949"/>
      <c r="HM138" s="949"/>
      <c r="HN138" s="949"/>
      <c r="HO138" s="949"/>
      <c r="HP138" s="949"/>
      <c r="HQ138" s="949"/>
      <c r="HR138" s="949"/>
      <c r="HS138" s="949"/>
      <c r="HT138" s="949"/>
      <c r="HU138" s="949"/>
      <c r="HV138" s="949"/>
      <c r="HW138" s="949"/>
      <c r="HX138" s="949"/>
      <c r="HY138" s="949"/>
      <c r="HZ138" s="949"/>
      <c r="IA138" s="949"/>
      <c r="IB138" s="949"/>
      <c r="IC138" s="949"/>
      <c r="ID138" s="949"/>
      <c r="IE138" s="949"/>
      <c r="IF138" s="949"/>
      <c r="IG138" s="949"/>
      <c r="IH138" s="949"/>
      <c r="II138" s="949"/>
      <c r="IJ138" s="949"/>
      <c r="IK138" s="949"/>
      <c r="IL138" s="949"/>
      <c r="IM138" s="1"/>
      <c r="IN138" s="1"/>
      <c r="IO138" s="1"/>
      <c r="IP138" s="1"/>
      <c r="IQ138" s="1"/>
      <c r="IR138" s="1"/>
      <c r="IS138" s="1"/>
      <c r="IT138" s="1"/>
    </row>
    <row r="139" spans="1:254" s="84" customFormat="1" ht="12.9" customHeight="1" thickBot="1" x14ac:dyDescent="0.2">
      <c r="A139" s="941"/>
      <c r="B139" s="942"/>
      <c r="C139" s="89">
        <f>SUM(L142:IQ142)</f>
        <v>0</v>
      </c>
      <c r="D139" s="13">
        <f>ROUNDDOWN((C139/5),0)+SUM(I140:IL140)</f>
        <v>0</v>
      </c>
      <c r="E139" s="947" t="str">
        <f>IF(F137&lt;50,"未活性",IF(F137&lt;60,"活性Lv1",IF(F137&lt;70,"活性Lv2",IF(F137&lt;80,"活性Lv3",IF(F137&lt;90,"活性Lv4",IF(F137&lt;100,"活性Lv5",IF(F137&lt;150,"活性Lv5","強制キャラロスト")))))))</f>
        <v>未活性</v>
      </c>
      <c r="F139" s="947"/>
      <c r="G139" s="930" t="s">
        <v>18</v>
      </c>
      <c r="H139" s="930"/>
      <c r="I139" s="931" t="s">
        <v>18</v>
      </c>
      <c r="J139" s="931"/>
      <c r="K139" s="932" t="str">
        <f>IF(OR(A137&lt;=B137/2,F137&gt;=90),IF(F137&gt;=120,"オーバーフロー","発動中"),"-")</f>
        <v>発動中</v>
      </c>
      <c r="L139" s="932"/>
      <c r="M139" s="958"/>
      <c r="N139" s="958"/>
      <c r="O139" s="949"/>
      <c r="P139" s="949"/>
      <c r="Q139" s="949"/>
      <c r="R139" s="949"/>
      <c r="S139" s="949"/>
      <c r="T139" s="949"/>
      <c r="U139" s="949"/>
      <c r="V139" s="949"/>
      <c r="W139" s="949"/>
      <c r="X139" s="949"/>
      <c r="Y139" s="949"/>
      <c r="Z139" s="949"/>
      <c r="AA139" s="949"/>
      <c r="AB139" s="949"/>
      <c r="AC139" s="949"/>
      <c r="AD139" s="949"/>
      <c r="AE139" s="949"/>
      <c r="AF139" s="949"/>
      <c r="AG139" s="949"/>
      <c r="AH139" s="949"/>
      <c r="AI139" s="949"/>
      <c r="AJ139" s="949"/>
      <c r="AK139" s="949"/>
      <c r="AL139" s="949"/>
      <c r="AM139" s="949"/>
      <c r="AN139" s="949"/>
      <c r="AO139" s="949"/>
      <c r="AP139" s="949"/>
      <c r="AQ139" s="949"/>
      <c r="AR139" s="949"/>
      <c r="AS139" s="949"/>
      <c r="AT139" s="949"/>
      <c r="AU139" s="949"/>
      <c r="AV139" s="949"/>
      <c r="AW139" s="949"/>
      <c r="AX139" s="949"/>
      <c r="AY139" s="949"/>
      <c r="AZ139" s="949"/>
      <c r="BA139" s="949"/>
      <c r="BB139" s="949"/>
      <c r="BC139" s="949"/>
      <c r="BD139" s="949"/>
      <c r="BE139" s="949"/>
      <c r="BF139" s="949"/>
      <c r="BG139" s="949"/>
      <c r="BH139" s="949"/>
      <c r="BI139" s="949"/>
      <c r="BJ139" s="949"/>
      <c r="BK139" s="949"/>
      <c r="BL139" s="949"/>
      <c r="BM139" s="949"/>
      <c r="BN139" s="949"/>
      <c r="BO139" s="949"/>
      <c r="BP139" s="949"/>
      <c r="BQ139" s="949"/>
      <c r="BR139" s="949"/>
      <c r="BS139" s="949"/>
      <c r="BT139" s="949"/>
      <c r="BU139" s="949"/>
      <c r="BV139" s="949"/>
      <c r="BW139" s="949"/>
      <c r="BX139" s="949"/>
      <c r="BY139" s="949"/>
      <c r="BZ139" s="949"/>
      <c r="CA139" s="949"/>
      <c r="CB139" s="949"/>
      <c r="CC139" s="949"/>
      <c r="CD139" s="949"/>
      <c r="CE139" s="949"/>
      <c r="CF139" s="949"/>
      <c r="CG139" s="949"/>
      <c r="CH139" s="949"/>
      <c r="CI139" s="949"/>
      <c r="CJ139" s="949"/>
      <c r="CK139" s="949"/>
      <c r="CL139" s="949"/>
      <c r="CM139" s="949"/>
      <c r="CN139" s="949"/>
      <c r="CO139" s="949"/>
      <c r="CP139" s="949"/>
      <c r="CQ139" s="949"/>
      <c r="CR139" s="949"/>
      <c r="CS139" s="949"/>
      <c r="CT139" s="949"/>
      <c r="CU139" s="949"/>
      <c r="CV139" s="949"/>
      <c r="CW139" s="949"/>
      <c r="CX139" s="949"/>
      <c r="CY139" s="949"/>
      <c r="CZ139" s="949"/>
      <c r="DA139" s="949"/>
      <c r="DB139" s="949"/>
      <c r="DC139" s="949"/>
      <c r="DD139" s="949"/>
      <c r="DE139" s="949"/>
      <c r="DF139" s="949"/>
      <c r="DG139" s="949"/>
      <c r="DH139" s="949"/>
      <c r="DI139" s="949"/>
      <c r="DJ139" s="949"/>
      <c r="DK139" s="949"/>
      <c r="DL139" s="949"/>
      <c r="DM139" s="949"/>
      <c r="DN139" s="949"/>
      <c r="DO139" s="949"/>
      <c r="DP139" s="949"/>
      <c r="DQ139" s="949"/>
      <c r="DR139" s="949"/>
      <c r="DS139" s="949"/>
      <c r="DT139" s="949"/>
      <c r="DU139" s="949"/>
      <c r="DV139" s="949"/>
      <c r="DW139" s="949"/>
      <c r="DX139" s="949"/>
      <c r="DY139" s="949"/>
      <c r="DZ139" s="949"/>
      <c r="EA139" s="949"/>
      <c r="EB139" s="949"/>
      <c r="EC139" s="949"/>
      <c r="ED139" s="949"/>
      <c r="EE139" s="949"/>
      <c r="EF139" s="949"/>
      <c r="EG139" s="949"/>
      <c r="EH139" s="949"/>
      <c r="EI139" s="949"/>
      <c r="EJ139" s="949"/>
      <c r="EK139" s="949"/>
      <c r="EL139" s="949"/>
      <c r="EM139" s="949"/>
      <c r="EN139" s="949"/>
      <c r="EO139" s="949"/>
      <c r="EP139" s="949"/>
      <c r="EQ139" s="949"/>
      <c r="ER139" s="949"/>
      <c r="ES139" s="949"/>
      <c r="ET139" s="949"/>
      <c r="EU139" s="949"/>
      <c r="EV139" s="949"/>
      <c r="EW139" s="949"/>
      <c r="EX139" s="949"/>
      <c r="EY139" s="949"/>
      <c r="EZ139" s="949"/>
      <c r="FA139" s="949"/>
      <c r="FB139" s="949"/>
      <c r="FC139" s="949"/>
      <c r="FD139" s="949"/>
      <c r="FE139" s="949"/>
      <c r="FF139" s="949"/>
      <c r="FG139" s="949"/>
      <c r="FH139" s="949"/>
      <c r="FI139" s="949"/>
      <c r="FJ139" s="949"/>
      <c r="FK139" s="949"/>
      <c r="FL139" s="949"/>
      <c r="FM139" s="949"/>
      <c r="FN139" s="949"/>
      <c r="FO139" s="949"/>
      <c r="FP139" s="949"/>
      <c r="FQ139" s="949"/>
      <c r="FR139" s="949"/>
      <c r="FS139" s="949"/>
      <c r="FT139" s="949"/>
      <c r="FU139" s="949"/>
      <c r="FV139" s="949"/>
      <c r="FW139" s="949"/>
      <c r="FX139" s="949"/>
      <c r="FY139" s="949"/>
      <c r="FZ139" s="949"/>
      <c r="GA139" s="949"/>
      <c r="GB139" s="949"/>
      <c r="GC139" s="949"/>
      <c r="GD139" s="949"/>
      <c r="GE139" s="949"/>
      <c r="GF139" s="949"/>
      <c r="GG139" s="949"/>
      <c r="GH139" s="949"/>
      <c r="GI139" s="949"/>
      <c r="GJ139" s="949"/>
      <c r="GK139" s="949"/>
      <c r="GL139" s="949"/>
      <c r="GM139" s="949"/>
      <c r="GN139" s="949"/>
      <c r="GO139" s="949"/>
      <c r="GP139" s="949"/>
      <c r="GQ139" s="949"/>
      <c r="GR139" s="949"/>
      <c r="GS139" s="949"/>
      <c r="GT139" s="949"/>
      <c r="GU139" s="949"/>
      <c r="GV139" s="949"/>
      <c r="GW139" s="949"/>
      <c r="GX139" s="949"/>
      <c r="GY139" s="949"/>
      <c r="GZ139" s="949"/>
      <c r="HA139" s="949"/>
      <c r="HB139" s="949"/>
      <c r="HC139" s="949"/>
      <c r="HD139" s="949"/>
      <c r="HE139" s="949"/>
      <c r="HF139" s="949"/>
      <c r="HG139" s="949"/>
      <c r="HH139" s="949"/>
      <c r="HI139" s="949"/>
      <c r="HJ139" s="949"/>
      <c r="HK139" s="949"/>
      <c r="HL139" s="949"/>
      <c r="HM139" s="949"/>
      <c r="HN139" s="949"/>
      <c r="HO139" s="949"/>
      <c r="HP139" s="949"/>
      <c r="HQ139" s="949"/>
      <c r="HR139" s="949"/>
      <c r="HS139" s="949"/>
      <c r="HT139" s="949"/>
      <c r="HU139" s="949"/>
      <c r="HV139" s="949"/>
      <c r="HW139" s="949"/>
      <c r="HX139" s="949"/>
      <c r="HY139" s="949"/>
      <c r="HZ139" s="949"/>
      <c r="IA139" s="949"/>
      <c r="IB139" s="949"/>
      <c r="IC139" s="949"/>
      <c r="ID139" s="949"/>
      <c r="IE139" s="949"/>
      <c r="IF139" s="949"/>
      <c r="IG139" s="949"/>
      <c r="IH139" s="949"/>
      <c r="II139" s="949"/>
      <c r="IJ139" s="949"/>
      <c r="IK139" s="949"/>
      <c r="IL139" s="949"/>
      <c r="IM139" s="1"/>
      <c r="IN139" s="1"/>
      <c r="IO139" s="1"/>
      <c r="IP139" s="1"/>
      <c r="IQ139" s="1"/>
      <c r="IR139" s="1"/>
      <c r="IS139" s="1"/>
      <c r="IT139" s="1"/>
    </row>
    <row r="140" spans="1:254" s="92" customFormat="1" ht="12.9" customHeight="1" thickBot="1" x14ac:dyDescent="0.2">
      <c r="A140" s="90" t="s">
        <v>387</v>
      </c>
      <c r="B140" s="41"/>
      <c r="C140" s="933" t="str">
        <f>IF(G135="反応型",IF(50&gt;F137,"+0",IF(60&gt;F137,"+1",IF(70&gt;F137,"+2",IF(F137&gt;=70,"+3")))),"活性補正")</f>
        <v>活性補正</v>
      </c>
      <c r="D140" s="46" t="s">
        <v>388</v>
      </c>
      <c r="E140" s="42"/>
      <c r="F140" s="934" t="str">
        <f>IF(G135="増強型",IF(50&gt;F137,"+0",IF(60&gt;F137,"+1",IF(70&gt;F137,"+2",IF(F137&gt;=70,"+3")))),"活性補正")</f>
        <v>活性補正</v>
      </c>
      <c r="G140" s="935" t="s">
        <v>605</v>
      </c>
      <c r="H140" s="935"/>
      <c r="I140" s="936" t="s">
        <v>606</v>
      </c>
      <c r="J140" s="936"/>
      <c r="K140" s="936"/>
      <c r="L140" s="936"/>
      <c r="M140" s="91" t="s">
        <v>607</v>
      </c>
      <c r="N140" s="92" t="s">
        <v>593</v>
      </c>
      <c r="O140" s="92">
        <v>0</v>
      </c>
      <c r="IL140" s="93"/>
      <c r="IM140" s="1"/>
      <c r="IN140" s="1"/>
      <c r="IO140" s="1"/>
      <c r="IP140" s="1"/>
      <c r="IQ140" s="1"/>
      <c r="IR140" s="1"/>
      <c r="IS140" s="1"/>
      <c r="IT140" s="1"/>
    </row>
    <row r="141" spans="1:254" s="98" customFormat="1" ht="12.9" customHeight="1" thickBot="1" x14ac:dyDescent="0.2">
      <c r="A141" s="21" t="s">
        <v>390</v>
      </c>
      <c r="B141" s="43"/>
      <c r="C141" s="933"/>
      <c r="D141" s="20" t="s">
        <v>391</v>
      </c>
      <c r="E141" s="44"/>
      <c r="F141" s="934"/>
      <c r="G141" s="937" t="s">
        <v>608</v>
      </c>
      <c r="H141" s="937"/>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33"/>
      <c r="D142" s="20" t="s">
        <v>394</v>
      </c>
      <c r="E142" s="44"/>
      <c r="F142" s="934"/>
      <c r="G142" s="928" t="s">
        <v>611</v>
      </c>
      <c r="H142" s="928"/>
      <c r="I142" s="100"/>
      <c r="J142" s="101"/>
      <c r="K142" s="101"/>
      <c r="L142" s="102"/>
      <c r="M142" s="103" t="s">
        <v>612</v>
      </c>
      <c r="N142" s="104" t="s">
        <v>593</v>
      </c>
      <c r="O142" s="104"/>
      <c r="IL142" s="106"/>
      <c r="IM142" s="1"/>
      <c r="IN142" s="1"/>
      <c r="IO142" s="1"/>
      <c r="IP142" s="1"/>
      <c r="IQ142" s="1"/>
      <c r="IR142" s="1"/>
      <c r="IS142" s="1"/>
      <c r="IT142" s="1"/>
    </row>
    <row r="143" spans="1:254" s="105" customFormat="1" ht="12.9" customHeight="1" x14ac:dyDescent="0.15">
      <c r="A143" s="21" t="s">
        <v>244</v>
      </c>
      <c r="B143" s="150"/>
      <c r="C143" s="927" t="str">
        <f>IF(G135="増強型",IF(50&gt;F137,"+0",IF(60&gt;F137,"+1",IF(70&gt;F137,"+2",IF(F137&gt;=70,"+3")))),"活性補正")</f>
        <v>活性補正</v>
      </c>
      <c r="D143" s="20" t="s">
        <v>613</v>
      </c>
      <c r="E143" s="150"/>
      <c r="F143" s="18"/>
      <c r="G143" s="928" t="s">
        <v>614</v>
      </c>
      <c r="H143" s="928"/>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 customHeight="1" thickBot="1" x14ac:dyDescent="0.2">
      <c r="A144" s="21" t="s">
        <v>392</v>
      </c>
      <c r="B144" s="150"/>
      <c r="C144" s="927"/>
      <c r="D144" s="20" t="s">
        <v>397</v>
      </c>
      <c r="E144" s="150"/>
      <c r="F144" s="109" t="str">
        <f>IF(G135="覚醒型",IF(50&gt;F137,"+0",IF(60&gt;F137,"+1",IF(70&gt;F137,"+2",IF(F137&gt;=70,"+3")))),"活性補正")</f>
        <v>活性補正</v>
      </c>
      <c r="G144" s="929" t="s">
        <v>617</v>
      </c>
      <c r="H144" s="929"/>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activeCell="N15" sqref="N15"/>
    </sheetView>
  </sheetViews>
  <sheetFormatPr defaultColWidth="6.5546875" defaultRowHeight="14.1" customHeight="1" x14ac:dyDescent="0.15"/>
  <cols>
    <col min="1" max="17" width="6.5546875" style="301"/>
    <col min="18" max="18" width="6.5546875" style="301" customWidth="1"/>
    <col min="19" max="16384" width="6.5546875" style="301"/>
  </cols>
  <sheetData>
    <row r="1" spans="1:509" ht="13.95"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5" customHeight="1" thickBot="1" x14ac:dyDescent="0.2">
      <c r="B2" s="302"/>
      <c r="C2" s="1025" t="s">
        <v>383</v>
      </c>
      <c r="D2" s="1026"/>
      <c r="E2" s="1025" t="s">
        <v>401</v>
      </c>
      <c r="F2" s="1026"/>
      <c r="G2" s="1027" t="s">
        <v>1</v>
      </c>
      <c r="H2" s="1028"/>
      <c r="I2" s="1015" t="s">
        <v>387</v>
      </c>
      <c r="J2" s="587" t="str">
        <f>キャラシート!C31&amp;"+"&amp;キャラシート!D31&amp;"D6"</f>
        <v>6+1D6</v>
      </c>
      <c r="K2" s="1015" t="s">
        <v>390</v>
      </c>
      <c r="L2" s="394" t="str">
        <f>キャラシート!C33&amp;"+"&amp;キャラシート!D33&amp;"D6"</f>
        <v>7+1D6</v>
      </c>
      <c r="M2" s="1015" t="s">
        <v>393</v>
      </c>
      <c r="N2" s="394" t="str">
        <f>キャラシート!C35&amp;"+"&amp;キャラシート!D35&amp;"D6"</f>
        <v>7+1D6</v>
      </c>
      <c r="O2" s="375" t="s">
        <v>620</v>
      </c>
      <c r="P2" s="588" t="s">
        <v>621</v>
      </c>
      <c r="Q2" s="376" t="s">
        <v>250</v>
      </c>
      <c r="R2" s="377" t="s">
        <v>620</v>
      </c>
      <c r="S2" s="376" t="s">
        <v>621</v>
      </c>
      <c r="T2" s="378" t="s">
        <v>250</v>
      </c>
      <c r="U2" s="302"/>
    </row>
    <row r="3" spans="1:509" ht="13.95" customHeight="1" thickBot="1" x14ac:dyDescent="0.25">
      <c r="B3" s="302"/>
      <c r="C3" s="1009">
        <f>キャラシート!B3</f>
        <v>0</v>
      </c>
      <c r="D3" s="1010"/>
      <c r="E3" s="1009">
        <f>キャラシート!J3</f>
        <v>0</v>
      </c>
      <c r="F3" s="1010"/>
      <c r="G3" s="1048" t="str">
        <f>キャラシート!F13</f>
        <v>－</v>
      </c>
      <c r="H3" s="1049"/>
      <c r="I3" s="1016"/>
      <c r="J3" s="589">
        <f>IF(G3="反応型",IF(50&gt;H5,0,IF(60&gt;H5,1,IF(70&gt;H5,2,IF(H5&gt;=70,3)))),0)+IF(計算用!C103=1,IF(OR(M11="ギャンブル発動中",M11="オーバーフロー"),応用技!J4*2,IF(OR(M11="幸運発動中",M11="発動中"),応用技!J4,0)),0)</f>
        <v>0</v>
      </c>
      <c r="K3" s="1016"/>
      <c r="L3" s="590">
        <f>IF(G3="反応型",IF(50&gt;H5,0,IF(60&gt;H5,1,IF(70&gt;H5,2,IF(H5&gt;=70,3)))),0)+IF(計算用!C103=1,IF(OR(M11="ギャンブル発動中",M11="オーバーフロー"),応用技!J4*2,IF(OR(M11="幸運発動中",M11="発動中"),応用技!J4,0)),0)</f>
        <v>0</v>
      </c>
      <c r="M3" s="1016"/>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5" customHeight="1" thickBot="1" x14ac:dyDescent="0.25">
      <c r="B4" s="302"/>
      <c r="C4" s="1011" t="s">
        <v>599</v>
      </c>
      <c r="D4" s="1012"/>
      <c r="E4" s="1011" t="s">
        <v>389</v>
      </c>
      <c r="F4" s="1012"/>
      <c r="G4" s="1011" t="s">
        <v>461</v>
      </c>
      <c r="H4" s="1012"/>
      <c r="I4" s="1015" t="s">
        <v>244</v>
      </c>
      <c r="J4" s="592">
        <f>キャラシート!D23</f>
        <v>2</v>
      </c>
      <c r="K4" s="1015" t="s">
        <v>392</v>
      </c>
      <c r="L4" s="395">
        <f>キャラシート!D25</f>
        <v>2</v>
      </c>
      <c r="M4" s="1015"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5" customHeight="1" thickBot="1" x14ac:dyDescent="0.25">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6"/>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6"/>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6"/>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5" customHeight="1" thickBot="1" x14ac:dyDescent="0.25">
      <c r="B6" s="302"/>
      <c r="C6" s="385" t="s">
        <v>610</v>
      </c>
      <c r="D6" s="400">
        <v>0</v>
      </c>
      <c r="E6" s="383" t="s">
        <v>616</v>
      </c>
      <c r="F6" s="352">
        <v>0</v>
      </c>
      <c r="G6" s="596" t="s">
        <v>619</v>
      </c>
      <c r="H6" s="612">
        <f>F6</f>
        <v>0</v>
      </c>
      <c r="I6" s="1015" t="s">
        <v>388</v>
      </c>
      <c r="J6" s="597" t="str">
        <f>キャラシート!G31&amp;"D6"&amp;"+"&amp;キャラシート!H31</f>
        <v>0D6+0</v>
      </c>
      <c r="K6" s="1015" t="s">
        <v>391</v>
      </c>
      <c r="L6" s="396" t="str">
        <f>キャラシート!G33&amp;"D6"&amp;"+"&amp;キャラシート!H33</f>
        <v>0D6+0</v>
      </c>
      <c r="M6" s="1015"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5" customHeight="1" thickBot="1" x14ac:dyDescent="0.25">
      <c r="B7" s="302"/>
      <c r="C7" s="401" t="s">
        <v>395</v>
      </c>
      <c r="D7" s="370">
        <f>キャラシート!D27+IF(計算用!C104=1,IF(M11="発動中",応用技!J4,0))</f>
        <v>5</v>
      </c>
      <c r="E7" s="384" t="s">
        <v>602</v>
      </c>
      <c r="F7" s="382">
        <f>SUM(P14:P513)</f>
        <v>0</v>
      </c>
      <c r="G7" s="598" t="s">
        <v>713</v>
      </c>
      <c r="H7" s="353">
        <f>VLOOKUP(キャラシート!P3,リスト!C13:D19,2,FALSE)</f>
        <v>0</v>
      </c>
      <c r="I7" s="1016"/>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6"/>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6"/>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5" customHeight="1" thickBot="1" x14ac:dyDescent="0.25">
      <c r="B8" s="302"/>
      <c r="C8" s="402" t="s">
        <v>397</v>
      </c>
      <c r="D8" s="599">
        <f>キャラシート!H27+D9</f>
        <v>2</v>
      </c>
      <c r="E8" s="366" t="s">
        <v>603</v>
      </c>
      <c r="F8" s="404">
        <f>ROUNDDOWN((F7/5),0)+SUM(L14:L513)+F9</f>
        <v>0</v>
      </c>
      <c r="G8" s="1013" t="str">
        <f>IF(H5&lt;100,IF(H5&lt;50,"通常状態",IF(H5&lt;60,"暴走Lv1 ",IF(H5&lt;70,"暴走Lv2",IF(H5&lt;80,"暴走Lv3",IF(H5&lt;90,"暴走Lv4","暴走Lv5"))))),IF(H5&lt;110,"臨界Lv1",IF(H5&lt;120,"臨界Lv2",IF(H5&lt;130,"臨界Lv3",IF(H5&lt;140,"臨界Lv4",IF(H5&lt;150,"臨界Lv5",IF(H5&lt;150,"活性Lv5","因子崩壊")))))))</f>
        <v>通常状態</v>
      </c>
      <c r="H8" s="1014"/>
      <c r="I8" s="1017" t="s">
        <v>257</v>
      </c>
      <c r="J8" s="1018"/>
      <c r="K8" s="1029" t="s">
        <v>243</v>
      </c>
      <c r="L8" s="1030"/>
      <c r="M8" s="1058" t="s">
        <v>415</v>
      </c>
      <c r="N8" s="1059"/>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5" customHeight="1" thickBot="1" x14ac:dyDescent="0.2">
      <c r="B9" s="302"/>
      <c r="C9" s="403" t="s">
        <v>250</v>
      </c>
      <c r="D9" s="601">
        <f>IF(G3="覚醒型",IF(50&gt;H5,0,IF(60&gt;H5,1,IF(70&gt;H5,2,IF(H5&gt;=70,3)))),0)-応用技!D5</f>
        <v>0</v>
      </c>
      <c r="E9" s="367" t="s">
        <v>714</v>
      </c>
      <c r="F9" s="405">
        <f>IF(キャラシート!P4="－",0,キャラシート!P4)</f>
        <v>0</v>
      </c>
      <c r="G9" s="1042" t="str">
        <f>IF(H5&lt;50,"未活性",IF(H5&lt;60,"活性Lv1",IF(H5&lt;70,"活性Lv2",IF(H5&lt;80,"活性Lv3",IF(H5&lt;90,"活性Lv4",IF(H5&lt;100,"活性Lv5",IF(H5&lt;150,"活性Lv5","強制キャラロスト")))))))</f>
        <v>未活性</v>
      </c>
      <c r="H9" s="1043"/>
      <c r="I9" s="1019"/>
      <c r="J9" s="1020"/>
      <c r="K9" s="1031" t="s">
        <v>243</v>
      </c>
      <c r="L9" s="1032"/>
      <c r="M9" s="1044">
        <f>キャラシート!L6</f>
        <v>0</v>
      </c>
      <c r="N9" s="1045"/>
      <c r="O9" s="1033" t="s">
        <v>715</v>
      </c>
      <c r="P9" s="427" t="str">
        <f>キャラシート!P13</f>
        <v>-</v>
      </c>
      <c r="Q9" s="428">
        <f>IF(D10="エキスパート","+4",0)</f>
        <v>0</v>
      </c>
      <c r="R9" s="1035" t="s">
        <v>716</v>
      </c>
      <c r="S9" s="1003">
        <f>IF(G3="感覚型",IF(50&gt;H5,"+0",IF(60&gt;H5,"+1",IF(70&gt;H5,"+2",IF(H5&gt;=70,"+3")))),0)</f>
        <v>0</v>
      </c>
      <c r="T9" s="1004"/>
      <c r="U9" s="302"/>
    </row>
    <row r="10" spans="1:509" ht="13.8" thickBot="1" x14ac:dyDescent="0.2">
      <c r="B10" s="302"/>
      <c r="C10" s="368" t="s">
        <v>4</v>
      </c>
      <c r="D10" s="1021" t="str">
        <f>キャラシート!C13</f>
        <v>－</v>
      </c>
      <c r="E10" s="1022"/>
      <c r="F10" s="1023"/>
      <c r="G10" s="380" t="s">
        <v>624</v>
      </c>
      <c r="H10" s="381">
        <f>VLOOKUP(D10,リスト!AR:AS,2,0)-SUM(S14:S513)</f>
        <v>0</v>
      </c>
      <c r="I10" s="1050" t="s">
        <v>600</v>
      </c>
      <c r="J10" s="1051"/>
      <c r="K10" s="1054" t="s">
        <v>243</v>
      </c>
      <c r="L10" s="1055"/>
      <c r="M10" s="1060" t="s">
        <v>604</v>
      </c>
      <c r="N10" s="1061"/>
      <c r="O10" s="1034"/>
      <c r="P10" s="429" t="str">
        <f>キャラシート!Q13</f>
        <v>-</v>
      </c>
      <c r="Q10" s="430">
        <f>IF(D10="エキスパート","+4",0)</f>
        <v>0</v>
      </c>
      <c r="R10" s="1036"/>
      <c r="S10" s="1005"/>
      <c r="T10" s="1006"/>
      <c r="U10" s="302"/>
    </row>
    <row r="11" spans="1:509" ht="13.95" customHeight="1" thickBot="1" x14ac:dyDescent="0.2">
      <c r="B11" s="302"/>
      <c r="C11" s="369" t="s">
        <v>15</v>
      </c>
      <c r="D11" s="1024" t="str">
        <f>キャラシート!J6</f>
        <v>－</v>
      </c>
      <c r="E11" s="1022"/>
      <c r="F11" s="1023"/>
      <c r="G11" s="380" t="s">
        <v>624</v>
      </c>
      <c r="H11" s="381">
        <f>IF(キャラシート!I3="蟹",VLOOKUP(D11,リスト!AU:AW,3,0)-SUM(T14:T513),VLOOKUP(D11,リスト!AU:AV,2,0)-SUM(T14:T513))</f>
        <v>0</v>
      </c>
      <c r="I11" s="1052" t="s">
        <v>601</v>
      </c>
      <c r="J11" s="1053"/>
      <c r="K11" s="1056" t="s">
        <v>18</v>
      </c>
      <c r="L11" s="1057"/>
      <c r="M11" s="1046" t="str">
        <f>IF(OR(C5&lt;=D5/2,H5&gt;=90),IF(H5&gt;=120,IF(計算用!C105=1,"ギャンブル発動中","オーバーフロー"),IF(計算用!C105=1,"幸運発動中","発動中")),"未発動")</f>
        <v>未発動</v>
      </c>
      <c r="N11" s="1047"/>
      <c r="O11" s="1007" t="s">
        <v>717</v>
      </c>
      <c r="P11" s="1008"/>
      <c r="Q11" s="1037" t="str">
        <f>"HP"&amp;C5&amp;"/"&amp;"PP"&amp;E5&amp;"/暴走"&amp;H5&amp;"%/"&amp;F8&amp;"D/総消費"&amp;F7&amp;"pp"&amp;IF(D10="－","","　"&amp;D10&amp;"@"&amp;H10)&amp;IF(D11="－","","　"&amp;D11&amp;"@"&amp;H11)</f>
        <v>HP12/PP18/暴走16%/0D/総消費0pp</v>
      </c>
      <c r="R11" s="1038"/>
      <c r="S11" s="1038"/>
      <c r="T11" s="1039"/>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6" thickBot="1" x14ac:dyDescent="0.2">
      <c r="A13" s="303"/>
      <c r="B13" s="304"/>
      <c r="C13" s="327" t="s">
        <v>668</v>
      </c>
      <c r="D13" s="1040" t="s">
        <v>667</v>
      </c>
      <c r="E13" s="1040"/>
      <c r="F13" s="1040"/>
      <c r="G13" s="1040"/>
      <c r="H13" s="1040"/>
      <c r="I13" s="1040"/>
      <c r="J13" s="1041"/>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2" thickTop="1" thickBot="1" x14ac:dyDescent="0.2">
      <c r="A14" s="303"/>
      <c r="B14" s="304"/>
      <c r="C14" s="325">
        <v>1</v>
      </c>
      <c r="D14" s="997"/>
      <c r="E14" s="998"/>
      <c r="F14" s="998"/>
      <c r="G14" s="998"/>
      <c r="H14" s="998"/>
      <c r="I14" s="998"/>
      <c r="J14" s="999"/>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6" thickBot="1" x14ac:dyDescent="0.2">
      <c r="A15" s="303"/>
      <c r="B15" s="304"/>
      <c r="C15" s="325">
        <v>2</v>
      </c>
      <c r="D15" s="997"/>
      <c r="E15" s="998"/>
      <c r="F15" s="998"/>
      <c r="G15" s="998"/>
      <c r="H15" s="998"/>
      <c r="I15" s="998"/>
      <c r="J15" s="999"/>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6" thickBot="1" x14ac:dyDescent="0.2">
      <c r="A16" s="303"/>
      <c r="B16" s="304"/>
      <c r="C16" s="325">
        <v>3</v>
      </c>
      <c r="D16" s="997"/>
      <c r="E16" s="998"/>
      <c r="F16" s="998"/>
      <c r="G16" s="998"/>
      <c r="H16" s="998"/>
      <c r="I16" s="998"/>
      <c r="J16" s="999"/>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7"/>
      <c r="E17" s="998"/>
      <c r="F17" s="998"/>
      <c r="G17" s="998"/>
      <c r="H17" s="998"/>
      <c r="I17" s="998"/>
      <c r="J17" s="999"/>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6" thickBot="1" x14ac:dyDescent="0.2">
      <c r="A18" s="303"/>
      <c r="B18" s="304"/>
      <c r="C18" s="325">
        <v>5</v>
      </c>
      <c r="D18" s="997"/>
      <c r="E18" s="998"/>
      <c r="F18" s="998"/>
      <c r="G18" s="998"/>
      <c r="H18" s="998"/>
      <c r="I18" s="998"/>
      <c r="J18" s="999"/>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 customHeight="1" x14ac:dyDescent="0.15">
      <c r="A19" s="303"/>
      <c r="B19" s="304"/>
      <c r="C19" s="325">
        <v>6</v>
      </c>
      <c r="D19" s="997"/>
      <c r="E19" s="998"/>
      <c r="F19" s="998"/>
      <c r="G19" s="998"/>
      <c r="H19" s="998"/>
      <c r="I19" s="998"/>
      <c r="J19" s="999"/>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 customHeight="1" x14ac:dyDescent="0.15">
      <c r="A20" s="310"/>
      <c r="B20" s="311"/>
      <c r="C20" s="325">
        <v>7</v>
      </c>
      <c r="D20" s="997"/>
      <c r="E20" s="998"/>
      <c r="F20" s="998"/>
      <c r="G20" s="998"/>
      <c r="H20" s="998"/>
      <c r="I20" s="998"/>
      <c r="J20" s="999"/>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7"/>
      <c r="E21" s="998"/>
      <c r="F21" s="998"/>
      <c r="G21" s="998"/>
      <c r="H21" s="998"/>
      <c r="I21" s="998"/>
      <c r="J21" s="999"/>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 customHeight="1" x14ac:dyDescent="0.15">
      <c r="A22" s="310"/>
      <c r="B22" s="311"/>
      <c r="C22" s="325">
        <v>9</v>
      </c>
      <c r="D22" s="997"/>
      <c r="E22" s="998"/>
      <c r="F22" s="998"/>
      <c r="G22" s="998"/>
      <c r="H22" s="998"/>
      <c r="I22" s="998"/>
      <c r="J22" s="999"/>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 customHeight="1" x14ac:dyDescent="0.15">
      <c r="A23" s="310"/>
      <c r="B23" s="311"/>
      <c r="C23" s="325">
        <v>10</v>
      </c>
      <c r="D23" s="997"/>
      <c r="E23" s="998"/>
      <c r="F23" s="998"/>
      <c r="G23" s="998"/>
      <c r="H23" s="998"/>
      <c r="I23" s="998"/>
      <c r="J23" s="999"/>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 customHeight="1" x14ac:dyDescent="0.15">
      <c r="A24" s="310"/>
      <c r="B24" s="311"/>
      <c r="C24" s="325">
        <v>11</v>
      </c>
      <c r="D24" s="997"/>
      <c r="E24" s="998"/>
      <c r="F24" s="998"/>
      <c r="G24" s="998"/>
      <c r="H24" s="998"/>
      <c r="I24" s="998"/>
      <c r="J24" s="999"/>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7"/>
      <c r="E25" s="998"/>
      <c r="F25" s="998"/>
      <c r="G25" s="998"/>
      <c r="H25" s="998"/>
      <c r="I25" s="998"/>
      <c r="J25" s="999"/>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7"/>
      <c r="E26" s="998"/>
      <c r="F26" s="998"/>
      <c r="G26" s="998"/>
      <c r="H26" s="998"/>
      <c r="I26" s="998"/>
      <c r="J26" s="999"/>
      <c r="K26" s="320"/>
      <c r="L26" s="363"/>
      <c r="M26" s="330"/>
      <c r="N26" s="331"/>
      <c r="O26" s="338"/>
      <c r="P26" s="339"/>
      <c r="Q26" s="346"/>
      <c r="R26" s="347"/>
      <c r="S26" s="354"/>
      <c r="T26" s="355"/>
      <c r="U26" s="320"/>
    </row>
    <row r="27" spans="1:509" ht="14.1" customHeight="1" x14ac:dyDescent="0.15">
      <c r="B27" s="302"/>
      <c r="C27" s="325">
        <v>14</v>
      </c>
      <c r="D27" s="997"/>
      <c r="E27" s="998"/>
      <c r="F27" s="998"/>
      <c r="G27" s="998"/>
      <c r="H27" s="998"/>
      <c r="I27" s="998"/>
      <c r="J27" s="999"/>
      <c r="K27" s="302"/>
      <c r="L27" s="363"/>
      <c r="M27" s="330"/>
      <c r="N27" s="331"/>
      <c r="O27" s="338"/>
      <c r="P27" s="339"/>
      <c r="Q27" s="346"/>
      <c r="R27" s="347"/>
      <c r="S27" s="354"/>
      <c r="T27" s="355"/>
      <c r="U27" s="302"/>
    </row>
    <row r="28" spans="1:509" ht="14.1" customHeight="1" x14ac:dyDescent="0.15">
      <c r="B28" s="302"/>
      <c r="C28" s="325">
        <v>15</v>
      </c>
      <c r="D28" s="997"/>
      <c r="E28" s="998"/>
      <c r="F28" s="998"/>
      <c r="G28" s="998"/>
      <c r="H28" s="998"/>
      <c r="I28" s="998"/>
      <c r="J28" s="999"/>
      <c r="K28" s="302"/>
      <c r="L28" s="363"/>
      <c r="M28" s="330"/>
      <c r="N28" s="331"/>
      <c r="O28" s="338"/>
      <c r="P28" s="339"/>
      <c r="Q28" s="346"/>
      <c r="R28" s="347"/>
      <c r="S28" s="354"/>
      <c r="T28" s="355"/>
      <c r="U28" s="302"/>
    </row>
    <row r="29" spans="1:509" ht="14.1" customHeight="1" x14ac:dyDescent="0.15">
      <c r="B29" s="302"/>
      <c r="C29" s="325">
        <v>16</v>
      </c>
      <c r="D29" s="997"/>
      <c r="E29" s="998"/>
      <c r="F29" s="998"/>
      <c r="G29" s="998"/>
      <c r="H29" s="998"/>
      <c r="I29" s="998"/>
      <c r="J29" s="999"/>
      <c r="K29" s="302"/>
      <c r="L29" s="363"/>
      <c r="M29" s="330"/>
      <c r="N29" s="331"/>
      <c r="O29" s="338"/>
      <c r="P29" s="339"/>
      <c r="Q29" s="346"/>
      <c r="R29" s="347"/>
      <c r="S29" s="354"/>
      <c r="T29" s="355"/>
      <c r="U29" s="302"/>
    </row>
    <row r="30" spans="1:509" ht="14.1" customHeight="1" x14ac:dyDescent="0.15">
      <c r="B30" s="302"/>
      <c r="C30" s="325">
        <v>17</v>
      </c>
      <c r="D30" s="997"/>
      <c r="E30" s="998"/>
      <c r="F30" s="998"/>
      <c r="G30" s="998"/>
      <c r="H30" s="998"/>
      <c r="I30" s="998"/>
      <c r="J30" s="999"/>
      <c r="K30" s="302"/>
      <c r="L30" s="363"/>
      <c r="M30" s="330"/>
      <c r="N30" s="331"/>
      <c r="O30" s="338"/>
      <c r="P30" s="339"/>
      <c r="Q30" s="346"/>
      <c r="R30" s="347"/>
      <c r="S30" s="354"/>
      <c r="T30" s="355"/>
      <c r="U30" s="302"/>
    </row>
    <row r="31" spans="1:509" ht="14.1" customHeight="1" thickBot="1" x14ac:dyDescent="0.2">
      <c r="B31" s="302"/>
      <c r="C31" s="325">
        <v>18</v>
      </c>
      <c r="D31" s="997"/>
      <c r="E31" s="998"/>
      <c r="F31" s="998"/>
      <c r="G31" s="998"/>
      <c r="H31" s="998"/>
      <c r="I31" s="998"/>
      <c r="J31" s="999"/>
      <c r="K31" s="302"/>
      <c r="L31" s="363"/>
      <c r="M31" s="330"/>
      <c r="N31" s="331"/>
      <c r="O31" s="338"/>
      <c r="P31" s="339"/>
      <c r="Q31" s="346"/>
      <c r="R31" s="347"/>
      <c r="S31" s="354"/>
      <c r="T31" s="355"/>
      <c r="U31" s="302"/>
    </row>
    <row r="32" spans="1:509" s="308" customFormat="1" ht="12.9" customHeight="1" thickBot="1" x14ac:dyDescent="0.2">
      <c r="A32" s="303"/>
      <c r="B32" s="304"/>
      <c r="C32" s="325">
        <v>19</v>
      </c>
      <c r="D32" s="997"/>
      <c r="E32" s="998"/>
      <c r="F32" s="998"/>
      <c r="G32" s="998"/>
      <c r="H32" s="998"/>
      <c r="I32" s="998"/>
      <c r="J32" s="999"/>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 customHeight="1" thickBot="1" x14ac:dyDescent="0.2">
      <c r="A33" s="303"/>
      <c r="B33" s="304"/>
      <c r="C33" s="325">
        <v>20</v>
      </c>
      <c r="D33" s="997"/>
      <c r="E33" s="998"/>
      <c r="F33" s="998"/>
      <c r="G33" s="998"/>
      <c r="H33" s="998"/>
      <c r="I33" s="998"/>
      <c r="J33" s="999"/>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 customHeight="1" thickBot="1" x14ac:dyDescent="0.2">
      <c r="A34" s="303"/>
      <c r="B34" s="304"/>
      <c r="C34" s="325">
        <v>21</v>
      </c>
      <c r="D34" s="997"/>
      <c r="E34" s="998"/>
      <c r="F34" s="998"/>
      <c r="G34" s="998"/>
      <c r="H34" s="998"/>
      <c r="I34" s="998"/>
      <c r="J34" s="999"/>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 customHeight="1" thickBot="1" x14ac:dyDescent="0.2">
      <c r="A35" s="303"/>
      <c r="B35" s="304"/>
      <c r="C35" s="325">
        <v>22</v>
      </c>
      <c r="D35" s="997"/>
      <c r="E35" s="998"/>
      <c r="F35" s="998"/>
      <c r="G35" s="998"/>
      <c r="H35" s="998"/>
      <c r="I35" s="998"/>
      <c r="J35" s="999"/>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7"/>
      <c r="E36" s="998"/>
      <c r="F36" s="998"/>
      <c r="G36" s="998"/>
      <c r="H36" s="998"/>
      <c r="I36" s="998"/>
      <c r="J36" s="999"/>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 customHeight="1" thickBot="1" x14ac:dyDescent="0.2">
      <c r="A37" s="303"/>
      <c r="B37" s="304"/>
      <c r="C37" s="325">
        <v>24</v>
      </c>
      <c r="D37" s="997"/>
      <c r="E37" s="998"/>
      <c r="F37" s="998"/>
      <c r="G37" s="998"/>
      <c r="H37" s="998"/>
      <c r="I37" s="998"/>
      <c r="J37" s="999"/>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 customHeight="1" x14ac:dyDescent="0.15">
      <c r="A38" s="310"/>
      <c r="B38" s="311"/>
      <c r="C38" s="325">
        <v>25</v>
      </c>
      <c r="D38" s="997"/>
      <c r="E38" s="998"/>
      <c r="F38" s="998"/>
      <c r="G38" s="998"/>
      <c r="H38" s="998"/>
      <c r="I38" s="998"/>
      <c r="J38" s="999"/>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7"/>
      <c r="E39" s="998"/>
      <c r="F39" s="998"/>
      <c r="G39" s="998"/>
      <c r="H39" s="998"/>
      <c r="I39" s="998"/>
      <c r="J39" s="999"/>
      <c r="K39" s="320"/>
      <c r="L39" s="363"/>
      <c r="M39" s="330"/>
      <c r="N39" s="331"/>
      <c r="O39" s="338"/>
      <c r="P39" s="339"/>
      <c r="Q39" s="346"/>
      <c r="R39" s="347"/>
      <c r="S39" s="354"/>
      <c r="T39" s="355"/>
      <c r="U39" s="320"/>
    </row>
    <row r="40" spans="1:509" ht="14.1" customHeight="1" thickBot="1" x14ac:dyDescent="0.2">
      <c r="B40" s="302"/>
      <c r="C40" s="325">
        <v>27</v>
      </c>
      <c r="D40" s="997"/>
      <c r="E40" s="998"/>
      <c r="F40" s="998"/>
      <c r="G40" s="998"/>
      <c r="H40" s="998"/>
      <c r="I40" s="998"/>
      <c r="J40" s="999"/>
      <c r="K40" s="302"/>
      <c r="L40" s="363"/>
      <c r="M40" s="330"/>
      <c r="N40" s="331"/>
      <c r="O40" s="338"/>
      <c r="P40" s="339"/>
      <c r="Q40" s="346"/>
      <c r="R40" s="347"/>
      <c r="S40" s="354"/>
      <c r="T40" s="355"/>
      <c r="U40" s="302"/>
    </row>
    <row r="41" spans="1:509" s="308" customFormat="1" ht="12.9" customHeight="1" thickBot="1" x14ac:dyDescent="0.2">
      <c r="A41" s="303"/>
      <c r="B41" s="304"/>
      <c r="C41" s="325">
        <v>28</v>
      </c>
      <c r="D41" s="997"/>
      <c r="E41" s="998"/>
      <c r="F41" s="998"/>
      <c r="G41" s="998"/>
      <c r="H41" s="998"/>
      <c r="I41" s="998"/>
      <c r="J41" s="999"/>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 customHeight="1" thickBot="1" x14ac:dyDescent="0.2">
      <c r="A42" s="303"/>
      <c r="B42" s="304"/>
      <c r="C42" s="325">
        <v>29</v>
      </c>
      <c r="D42" s="997"/>
      <c r="E42" s="998"/>
      <c r="F42" s="998"/>
      <c r="G42" s="998"/>
      <c r="H42" s="998"/>
      <c r="I42" s="998"/>
      <c r="J42" s="999"/>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 customHeight="1" thickBot="1" x14ac:dyDescent="0.2">
      <c r="A43" s="303"/>
      <c r="B43" s="304"/>
      <c r="C43" s="325">
        <v>30</v>
      </c>
      <c r="D43" s="997"/>
      <c r="E43" s="998"/>
      <c r="F43" s="998"/>
      <c r="G43" s="998"/>
      <c r="H43" s="998"/>
      <c r="I43" s="998"/>
      <c r="J43" s="999"/>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 customHeight="1" thickBot="1" x14ac:dyDescent="0.2">
      <c r="A44" s="303"/>
      <c r="B44" s="304"/>
      <c r="C44" s="325">
        <v>31</v>
      </c>
      <c r="D44" s="997"/>
      <c r="E44" s="998"/>
      <c r="F44" s="998"/>
      <c r="G44" s="998"/>
      <c r="H44" s="998"/>
      <c r="I44" s="998"/>
      <c r="J44" s="999"/>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7"/>
      <c r="E45" s="998"/>
      <c r="F45" s="998"/>
      <c r="G45" s="998"/>
      <c r="H45" s="998"/>
      <c r="I45" s="998"/>
      <c r="J45" s="999"/>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 customHeight="1" thickBot="1" x14ac:dyDescent="0.2">
      <c r="A46" s="303"/>
      <c r="B46" s="304"/>
      <c r="C46" s="325">
        <v>33</v>
      </c>
      <c r="D46" s="997"/>
      <c r="E46" s="998"/>
      <c r="F46" s="998"/>
      <c r="G46" s="998"/>
      <c r="H46" s="998"/>
      <c r="I46" s="998"/>
      <c r="J46" s="999"/>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 customHeight="1" x14ac:dyDescent="0.15">
      <c r="A47" s="310"/>
      <c r="B47" s="311"/>
      <c r="C47" s="325">
        <v>34</v>
      </c>
      <c r="D47" s="997"/>
      <c r="E47" s="998"/>
      <c r="F47" s="998"/>
      <c r="G47" s="998"/>
      <c r="H47" s="998"/>
      <c r="I47" s="998"/>
      <c r="J47" s="999"/>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7"/>
      <c r="E48" s="998"/>
      <c r="F48" s="998"/>
      <c r="G48" s="998"/>
      <c r="H48" s="998"/>
      <c r="I48" s="998"/>
      <c r="J48" s="999"/>
      <c r="K48" s="320"/>
      <c r="L48" s="363"/>
      <c r="M48" s="330"/>
      <c r="N48" s="331"/>
      <c r="O48" s="338"/>
      <c r="P48" s="339"/>
      <c r="Q48" s="346"/>
      <c r="R48" s="347"/>
      <c r="S48" s="354"/>
      <c r="T48" s="355"/>
      <c r="U48" s="320"/>
    </row>
    <row r="49" spans="1:509" ht="14.1" customHeight="1" thickBot="1" x14ac:dyDescent="0.2">
      <c r="B49" s="302"/>
      <c r="C49" s="325">
        <v>36</v>
      </c>
      <c r="D49" s="997"/>
      <c r="E49" s="998"/>
      <c r="F49" s="998"/>
      <c r="G49" s="998"/>
      <c r="H49" s="998"/>
      <c r="I49" s="998"/>
      <c r="J49" s="999"/>
      <c r="K49" s="302"/>
      <c r="L49" s="363"/>
      <c r="M49" s="330"/>
      <c r="N49" s="331"/>
      <c r="O49" s="338"/>
      <c r="P49" s="339"/>
      <c r="Q49" s="346"/>
      <c r="R49" s="347"/>
      <c r="S49" s="354"/>
      <c r="T49" s="355"/>
      <c r="U49" s="302"/>
    </row>
    <row r="50" spans="1:509" s="308" customFormat="1" ht="12.9" customHeight="1" thickBot="1" x14ac:dyDescent="0.2">
      <c r="A50" s="303"/>
      <c r="B50" s="304"/>
      <c r="C50" s="325">
        <v>37</v>
      </c>
      <c r="D50" s="997"/>
      <c r="E50" s="998"/>
      <c r="F50" s="998"/>
      <c r="G50" s="998"/>
      <c r="H50" s="998"/>
      <c r="I50" s="998"/>
      <c r="J50" s="999"/>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 customHeight="1" thickBot="1" x14ac:dyDescent="0.2">
      <c r="A51" s="303"/>
      <c r="B51" s="304"/>
      <c r="C51" s="325">
        <v>38</v>
      </c>
      <c r="D51" s="997"/>
      <c r="E51" s="998"/>
      <c r="F51" s="998"/>
      <c r="G51" s="998"/>
      <c r="H51" s="998"/>
      <c r="I51" s="998"/>
      <c r="J51" s="999"/>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 customHeight="1" thickBot="1" x14ac:dyDescent="0.2">
      <c r="A52" s="303"/>
      <c r="B52" s="304"/>
      <c r="C52" s="325">
        <v>39</v>
      </c>
      <c r="D52" s="997"/>
      <c r="E52" s="998"/>
      <c r="F52" s="998"/>
      <c r="G52" s="998"/>
      <c r="H52" s="998"/>
      <c r="I52" s="998"/>
      <c r="J52" s="999"/>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 customHeight="1" thickBot="1" x14ac:dyDescent="0.2">
      <c r="A53" s="303"/>
      <c r="B53" s="304"/>
      <c r="C53" s="325">
        <v>40</v>
      </c>
      <c r="D53" s="997"/>
      <c r="E53" s="998"/>
      <c r="F53" s="998"/>
      <c r="G53" s="998"/>
      <c r="H53" s="998"/>
      <c r="I53" s="998"/>
      <c r="J53" s="999"/>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7"/>
      <c r="E54" s="998"/>
      <c r="F54" s="998"/>
      <c r="G54" s="998"/>
      <c r="H54" s="998"/>
      <c r="I54" s="998"/>
      <c r="J54" s="999"/>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 customHeight="1" thickBot="1" x14ac:dyDescent="0.2">
      <c r="A55" s="303"/>
      <c r="B55" s="304"/>
      <c r="C55" s="325">
        <v>42</v>
      </c>
      <c r="D55" s="997"/>
      <c r="E55" s="998"/>
      <c r="F55" s="998"/>
      <c r="G55" s="998"/>
      <c r="H55" s="998"/>
      <c r="I55" s="998"/>
      <c r="J55" s="999"/>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 customHeight="1" x14ac:dyDescent="0.15">
      <c r="A56" s="310"/>
      <c r="B56" s="311"/>
      <c r="C56" s="325">
        <v>43</v>
      </c>
      <c r="D56" s="997"/>
      <c r="E56" s="998"/>
      <c r="F56" s="998"/>
      <c r="G56" s="998"/>
      <c r="H56" s="998"/>
      <c r="I56" s="998"/>
      <c r="J56" s="999"/>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7"/>
      <c r="E57" s="998"/>
      <c r="F57" s="998"/>
      <c r="G57" s="998"/>
      <c r="H57" s="998"/>
      <c r="I57" s="998"/>
      <c r="J57" s="999"/>
      <c r="K57" s="320"/>
      <c r="L57" s="363"/>
      <c r="M57" s="330"/>
      <c r="N57" s="331"/>
      <c r="O57" s="338"/>
      <c r="P57" s="339"/>
      <c r="Q57" s="346"/>
      <c r="R57" s="347"/>
      <c r="S57" s="354"/>
      <c r="T57" s="355"/>
      <c r="U57" s="320"/>
    </row>
    <row r="58" spans="1:509" ht="14.1" customHeight="1" x14ac:dyDescent="0.15">
      <c r="B58" s="302"/>
      <c r="C58" s="325">
        <v>45</v>
      </c>
      <c r="D58" s="997"/>
      <c r="E58" s="998"/>
      <c r="F58" s="998"/>
      <c r="G58" s="998"/>
      <c r="H58" s="998"/>
      <c r="I58" s="998"/>
      <c r="J58" s="999"/>
      <c r="K58" s="302"/>
      <c r="L58" s="363"/>
      <c r="M58" s="330"/>
      <c r="N58" s="331"/>
      <c r="O58" s="338"/>
      <c r="P58" s="339"/>
      <c r="Q58" s="346"/>
      <c r="R58" s="347"/>
      <c r="S58" s="354"/>
      <c r="T58" s="355"/>
      <c r="U58" s="302"/>
    </row>
    <row r="59" spans="1:509" ht="14.1" customHeight="1" x14ac:dyDescent="0.15">
      <c r="B59" s="302"/>
      <c r="C59" s="325">
        <v>46</v>
      </c>
      <c r="D59" s="997"/>
      <c r="E59" s="998"/>
      <c r="F59" s="998"/>
      <c r="G59" s="998"/>
      <c r="H59" s="998"/>
      <c r="I59" s="998"/>
      <c r="J59" s="999"/>
      <c r="K59" s="302"/>
      <c r="L59" s="363"/>
      <c r="M59" s="330"/>
      <c r="N59" s="331"/>
      <c r="O59" s="338"/>
      <c r="P59" s="339"/>
      <c r="Q59" s="346"/>
      <c r="R59" s="347"/>
      <c r="S59" s="354"/>
      <c r="T59" s="355"/>
      <c r="U59" s="302"/>
    </row>
    <row r="60" spans="1:509" ht="14.1" customHeight="1" x14ac:dyDescent="0.15">
      <c r="B60" s="302"/>
      <c r="C60" s="325">
        <v>47</v>
      </c>
      <c r="D60" s="997"/>
      <c r="E60" s="998"/>
      <c r="F60" s="998"/>
      <c r="G60" s="998"/>
      <c r="H60" s="998"/>
      <c r="I60" s="998"/>
      <c r="J60" s="999"/>
      <c r="K60" s="302"/>
      <c r="L60" s="363"/>
      <c r="M60" s="330"/>
      <c r="N60" s="331"/>
      <c r="O60" s="338"/>
      <c r="P60" s="339"/>
      <c r="Q60" s="346"/>
      <c r="R60" s="347"/>
      <c r="S60" s="354"/>
      <c r="T60" s="355"/>
      <c r="U60" s="302"/>
    </row>
    <row r="61" spans="1:509" ht="14.1" customHeight="1" x14ac:dyDescent="0.15">
      <c r="B61" s="302"/>
      <c r="C61" s="325">
        <v>48</v>
      </c>
      <c r="D61" s="997"/>
      <c r="E61" s="998"/>
      <c r="F61" s="998"/>
      <c r="G61" s="998"/>
      <c r="H61" s="998"/>
      <c r="I61" s="998"/>
      <c r="J61" s="999"/>
      <c r="K61" s="302"/>
      <c r="L61" s="363"/>
      <c r="M61" s="330"/>
      <c r="N61" s="331"/>
      <c r="O61" s="338"/>
      <c r="P61" s="339"/>
      <c r="Q61" s="346"/>
      <c r="R61" s="347"/>
      <c r="S61" s="354"/>
      <c r="T61" s="355"/>
      <c r="U61" s="302"/>
    </row>
    <row r="62" spans="1:509" ht="14.1" customHeight="1" x14ac:dyDescent="0.15">
      <c r="B62" s="302"/>
      <c r="C62" s="325">
        <v>49</v>
      </c>
      <c r="D62" s="997"/>
      <c r="E62" s="998"/>
      <c r="F62" s="998"/>
      <c r="G62" s="998"/>
      <c r="H62" s="998"/>
      <c r="I62" s="998"/>
      <c r="J62" s="999"/>
      <c r="K62" s="302"/>
      <c r="L62" s="363"/>
      <c r="M62" s="330"/>
      <c r="N62" s="331"/>
      <c r="O62" s="338"/>
      <c r="P62" s="339"/>
      <c r="Q62" s="346"/>
      <c r="R62" s="347"/>
      <c r="S62" s="354"/>
      <c r="T62" s="355"/>
      <c r="U62" s="302"/>
    </row>
    <row r="63" spans="1:509" ht="14.1" customHeight="1" x14ac:dyDescent="0.15">
      <c r="B63" s="302"/>
      <c r="C63" s="325">
        <v>50</v>
      </c>
      <c r="D63" s="997"/>
      <c r="E63" s="998"/>
      <c r="F63" s="998"/>
      <c r="G63" s="998"/>
      <c r="H63" s="998"/>
      <c r="I63" s="998"/>
      <c r="J63" s="999"/>
      <c r="K63" s="302"/>
      <c r="L63" s="363"/>
      <c r="M63" s="330"/>
      <c r="N63" s="331"/>
      <c r="O63" s="338"/>
      <c r="P63" s="339"/>
      <c r="Q63" s="346"/>
      <c r="R63" s="347"/>
      <c r="S63" s="354"/>
      <c r="T63" s="355"/>
      <c r="U63" s="302"/>
    </row>
    <row r="64" spans="1:509" ht="14.1" customHeight="1" x14ac:dyDescent="0.15">
      <c r="B64" s="302"/>
      <c r="C64" s="325">
        <v>51</v>
      </c>
      <c r="D64" s="997"/>
      <c r="E64" s="998"/>
      <c r="F64" s="998"/>
      <c r="G64" s="998"/>
      <c r="H64" s="998"/>
      <c r="I64" s="998"/>
      <c r="J64" s="999"/>
      <c r="K64" s="302"/>
      <c r="L64" s="363"/>
      <c r="M64" s="330"/>
      <c r="N64" s="331"/>
      <c r="O64" s="338"/>
      <c r="P64" s="339"/>
      <c r="Q64" s="346"/>
      <c r="R64" s="347"/>
      <c r="S64" s="354"/>
      <c r="T64" s="355"/>
      <c r="U64" s="302"/>
    </row>
    <row r="65" spans="2:21" ht="14.1" customHeight="1" x14ac:dyDescent="0.15">
      <c r="B65" s="302"/>
      <c r="C65" s="325">
        <v>52</v>
      </c>
      <c r="D65" s="997"/>
      <c r="E65" s="998"/>
      <c r="F65" s="998"/>
      <c r="G65" s="998"/>
      <c r="H65" s="998"/>
      <c r="I65" s="998"/>
      <c r="J65" s="999"/>
      <c r="K65" s="302"/>
      <c r="L65" s="363"/>
      <c r="M65" s="330"/>
      <c r="N65" s="331"/>
      <c r="O65" s="338"/>
      <c r="P65" s="339"/>
      <c r="Q65" s="346"/>
      <c r="R65" s="347"/>
      <c r="S65" s="354"/>
      <c r="T65" s="355"/>
      <c r="U65" s="302"/>
    </row>
    <row r="66" spans="2:21" ht="14.1" customHeight="1" x14ac:dyDescent="0.15">
      <c r="B66" s="302"/>
      <c r="C66" s="325">
        <v>53</v>
      </c>
      <c r="D66" s="997"/>
      <c r="E66" s="998"/>
      <c r="F66" s="998"/>
      <c r="G66" s="998"/>
      <c r="H66" s="998"/>
      <c r="I66" s="998"/>
      <c r="J66" s="999"/>
      <c r="K66" s="302"/>
      <c r="L66" s="363"/>
      <c r="M66" s="330"/>
      <c r="N66" s="331"/>
      <c r="O66" s="338"/>
      <c r="P66" s="339"/>
      <c r="Q66" s="346"/>
      <c r="R66" s="347"/>
      <c r="S66" s="354"/>
      <c r="T66" s="355"/>
      <c r="U66" s="302"/>
    </row>
    <row r="67" spans="2:21" ht="14.1" customHeight="1" x14ac:dyDescent="0.15">
      <c r="B67" s="302"/>
      <c r="C67" s="325">
        <v>54</v>
      </c>
      <c r="D67" s="997"/>
      <c r="E67" s="998"/>
      <c r="F67" s="998"/>
      <c r="G67" s="998"/>
      <c r="H67" s="998"/>
      <c r="I67" s="998"/>
      <c r="J67" s="999"/>
      <c r="K67" s="302"/>
      <c r="L67" s="363"/>
      <c r="M67" s="330"/>
      <c r="N67" s="331"/>
      <c r="O67" s="338"/>
      <c r="P67" s="339"/>
      <c r="Q67" s="346"/>
      <c r="R67" s="347"/>
      <c r="S67" s="354"/>
      <c r="T67" s="355"/>
      <c r="U67" s="302"/>
    </row>
    <row r="68" spans="2:21" ht="14.1" customHeight="1" x14ac:dyDescent="0.15">
      <c r="B68" s="302"/>
      <c r="C68" s="325">
        <v>55</v>
      </c>
      <c r="D68" s="997"/>
      <c r="E68" s="998"/>
      <c r="F68" s="998"/>
      <c r="G68" s="998"/>
      <c r="H68" s="998"/>
      <c r="I68" s="998"/>
      <c r="J68" s="999"/>
      <c r="K68" s="302"/>
      <c r="L68" s="363"/>
      <c r="M68" s="330"/>
      <c r="N68" s="331"/>
      <c r="O68" s="338"/>
      <c r="P68" s="339"/>
      <c r="Q68" s="346"/>
      <c r="R68" s="347"/>
      <c r="S68" s="354"/>
      <c r="T68" s="355"/>
      <c r="U68" s="302"/>
    </row>
    <row r="69" spans="2:21" ht="14.1" customHeight="1" x14ac:dyDescent="0.15">
      <c r="B69" s="302"/>
      <c r="C69" s="325">
        <v>56</v>
      </c>
      <c r="D69" s="997"/>
      <c r="E69" s="998"/>
      <c r="F69" s="998"/>
      <c r="G69" s="998"/>
      <c r="H69" s="998"/>
      <c r="I69" s="998"/>
      <c r="J69" s="999"/>
      <c r="K69" s="302"/>
      <c r="L69" s="363"/>
      <c r="M69" s="330"/>
      <c r="N69" s="331"/>
      <c r="O69" s="338"/>
      <c r="P69" s="339"/>
      <c r="Q69" s="346"/>
      <c r="R69" s="347"/>
      <c r="S69" s="354"/>
      <c r="T69" s="355"/>
      <c r="U69" s="302"/>
    </row>
    <row r="70" spans="2:21" ht="14.1" customHeight="1" x14ac:dyDescent="0.15">
      <c r="B70" s="302"/>
      <c r="C70" s="325">
        <v>57</v>
      </c>
      <c r="D70" s="997"/>
      <c r="E70" s="998"/>
      <c r="F70" s="998"/>
      <c r="G70" s="998"/>
      <c r="H70" s="998"/>
      <c r="I70" s="998"/>
      <c r="J70" s="999"/>
      <c r="K70" s="302"/>
      <c r="L70" s="363"/>
      <c r="M70" s="330"/>
      <c r="N70" s="331"/>
      <c r="O70" s="338"/>
      <c r="P70" s="339"/>
      <c r="Q70" s="346"/>
      <c r="R70" s="347"/>
      <c r="S70" s="354"/>
      <c r="T70" s="355"/>
      <c r="U70" s="302"/>
    </row>
    <row r="71" spans="2:21" ht="14.1" customHeight="1" x14ac:dyDescent="0.15">
      <c r="B71" s="302"/>
      <c r="C71" s="325">
        <v>58</v>
      </c>
      <c r="D71" s="997"/>
      <c r="E71" s="998"/>
      <c r="F71" s="998"/>
      <c r="G71" s="998"/>
      <c r="H71" s="998"/>
      <c r="I71" s="998"/>
      <c r="J71" s="999"/>
      <c r="K71" s="302"/>
      <c r="L71" s="363"/>
      <c r="M71" s="330"/>
      <c r="N71" s="331"/>
      <c r="O71" s="338"/>
      <c r="P71" s="339"/>
      <c r="Q71" s="346"/>
      <c r="R71" s="347"/>
      <c r="S71" s="354"/>
      <c r="T71" s="355"/>
      <c r="U71" s="302"/>
    </row>
    <row r="72" spans="2:21" ht="14.1" customHeight="1" x14ac:dyDescent="0.15">
      <c r="B72" s="302"/>
      <c r="C72" s="325">
        <v>59</v>
      </c>
      <c r="D72" s="997"/>
      <c r="E72" s="998"/>
      <c r="F72" s="998"/>
      <c r="G72" s="998"/>
      <c r="H72" s="998"/>
      <c r="I72" s="998"/>
      <c r="J72" s="999"/>
      <c r="K72" s="302"/>
      <c r="L72" s="363"/>
      <c r="M72" s="330"/>
      <c r="N72" s="331"/>
      <c r="O72" s="338"/>
      <c r="P72" s="339"/>
      <c r="Q72" s="346"/>
      <c r="R72" s="347"/>
      <c r="S72" s="354"/>
      <c r="T72" s="355"/>
      <c r="U72" s="302"/>
    </row>
    <row r="73" spans="2:21" ht="14.1" customHeight="1" x14ac:dyDescent="0.15">
      <c r="B73" s="302"/>
      <c r="C73" s="325">
        <v>60</v>
      </c>
      <c r="D73" s="997"/>
      <c r="E73" s="998"/>
      <c r="F73" s="998"/>
      <c r="G73" s="998"/>
      <c r="H73" s="998"/>
      <c r="I73" s="998"/>
      <c r="J73" s="999"/>
      <c r="K73" s="302"/>
      <c r="L73" s="363"/>
      <c r="M73" s="330"/>
      <c r="N73" s="331"/>
      <c r="O73" s="338"/>
      <c r="P73" s="339"/>
      <c r="Q73" s="346"/>
      <c r="R73" s="347"/>
      <c r="S73" s="354"/>
      <c r="T73" s="355"/>
      <c r="U73" s="302"/>
    </row>
    <row r="74" spans="2:21" ht="14.1" customHeight="1" x14ac:dyDescent="0.15">
      <c r="B74" s="302"/>
      <c r="C74" s="325">
        <v>61</v>
      </c>
      <c r="D74" s="997"/>
      <c r="E74" s="998"/>
      <c r="F74" s="998"/>
      <c r="G74" s="998"/>
      <c r="H74" s="998"/>
      <c r="I74" s="998"/>
      <c r="J74" s="999"/>
      <c r="K74" s="302"/>
      <c r="L74" s="363"/>
      <c r="M74" s="330"/>
      <c r="N74" s="331"/>
      <c r="O74" s="338"/>
      <c r="P74" s="339"/>
      <c r="Q74" s="346"/>
      <c r="R74" s="347"/>
      <c r="S74" s="354"/>
      <c r="T74" s="355"/>
      <c r="U74" s="302"/>
    </row>
    <row r="75" spans="2:21" ht="14.1" customHeight="1" x14ac:dyDescent="0.15">
      <c r="B75" s="302"/>
      <c r="C75" s="325">
        <v>62</v>
      </c>
      <c r="D75" s="997"/>
      <c r="E75" s="998"/>
      <c r="F75" s="998"/>
      <c r="G75" s="998"/>
      <c r="H75" s="998"/>
      <c r="I75" s="998"/>
      <c r="J75" s="999"/>
      <c r="K75" s="302"/>
      <c r="L75" s="363"/>
      <c r="M75" s="330"/>
      <c r="N75" s="331"/>
      <c r="O75" s="338"/>
      <c r="P75" s="339"/>
      <c r="Q75" s="346"/>
      <c r="R75" s="347"/>
      <c r="S75" s="354"/>
      <c r="T75" s="355"/>
      <c r="U75" s="302"/>
    </row>
    <row r="76" spans="2:21" ht="14.1" customHeight="1" x14ac:dyDescent="0.15">
      <c r="B76" s="302"/>
      <c r="C76" s="325">
        <v>63</v>
      </c>
      <c r="D76" s="997"/>
      <c r="E76" s="998"/>
      <c r="F76" s="998"/>
      <c r="G76" s="998"/>
      <c r="H76" s="998"/>
      <c r="I76" s="998"/>
      <c r="J76" s="999"/>
      <c r="K76" s="302"/>
      <c r="L76" s="363"/>
      <c r="M76" s="330"/>
      <c r="N76" s="331"/>
      <c r="O76" s="338"/>
      <c r="P76" s="339"/>
      <c r="Q76" s="346"/>
      <c r="R76" s="347"/>
      <c r="S76" s="354"/>
      <c r="T76" s="355"/>
      <c r="U76" s="302"/>
    </row>
    <row r="77" spans="2:21" ht="14.1" customHeight="1" x14ac:dyDescent="0.15">
      <c r="B77" s="302"/>
      <c r="C77" s="325">
        <v>64</v>
      </c>
      <c r="D77" s="997"/>
      <c r="E77" s="998"/>
      <c r="F77" s="998"/>
      <c r="G77" s="998"/>
      <c r="H77" s="998"/>
      <c r="I77" s="998"/>
      <c r="J77" s="999"/>
      <c r="K77" s="302"/>
      <c r="L77" s="363"/>
      <c r="M77" s="330"/>
      <c r="N77" s="331"/>
      <c r="O77" s="338"/>
      <c r="P77" s="339"/>
      <c r="Q77" s="346"/>
      <c r="R77" s="347"/>
      <c r="S77" s="354"/>
      <c r="T77" s="355"/>
      <c r="U77" s="302"/>
    </row>
    <row r="78" spans="2:21" ht="14.1" customHeight="1" x14ac:dyDescent="0.15">
      <c r="B78" s="302"/>
      <c r="C78" s="325">
        <v>65</v>
      </c>
      <c r="D78" s="997"/>
      <c r="E78" s="998"/>
      <c r="F78" s="998"/>
      <c r="G78" s="998"/>
      <c r="H78" s="998"/>
      <c r="I78" s="998"/>
      <c r="J78" s="999"/>
      <c r="K78" s="302"/>
      <c r="L78" s="363"/>
      <c r="M78" s="330"/>
      <c r="N78" s="331"/>
      <c r="O78" s="338"/>
      <c r="P78" s="339"/>
      <c r="Q78" s="346"/>
      <c r="R78" s="347"/>
      <c r="S78" s="354"/>
      <c r="T78" s="355"/>
      <c r="U78" s="302"/>
    </row>
    <row r="79" spans="2:21" ht="14.1" customHeight="1" x14ac:dyDescent="0.15">
      <c r="B79" s="302"/>
      <c r="C79" s="325">
        <v>66</v>
      </c>
      <c r="D79" s="997"/>
      <c r="E79" s="998"/>
      <c r="F79" s="998"/>
      <c r="G79" s="998"/>
      <c r="H79" s="998"/>
      <c r="I79" s="998"/>
      <c r="J79" s="999"/>
      <c r="K79" s="302"/>
      <c r="L79" s="363"/>
      <c r="M79" s="330"/>
      <c r="N79" s="331"/>
      <c r="O79" s="338"/>
      <c r="P79" s="339"/>
      <c r="Q79" s="346"/>
      <c r="R79" s="347"/>
      <c r="S79" s="354"/>
      <c r="T79" s="355"/>
      <c r="U79" s="302"/>
    </row>
    <row r="80" spans="2:21" ht="14.1" customHeight="1" x14ac:dyDescent="0.15">
      <c r="B80" s="302"/>
      <c r="C80" s="325">
        <v>67</v>
      </c>
      <c r="D80" s="997"/>
      <c r="E80" s="998"/>
      <c r="F80" s="998"/>
      <c r="G80" s="998"/>
      <c r="H80" s="998"/>
      <c r="I80" s="998"/>
      <c r="J80" s="999"/>
      <c r="K80" s="302"/>
      <c r="L80" s="363"/>
      <c r="M80" s="330"/>
      <c r="N80" s="331"/>
      <c r="O80" s="338"/>
      <c r="P80" s="339"/>
      <c r="Q80" s="346"/>
      <c r="R80" s="347"/>
      <c r="S80" s="354"/>
      <c r="T80" s="355"/>
      <c r="U80" s="302"/>
    </row>
    <row r="81" spans="2:21" ht="14.1" customHeight="1" x14ac:dyDescent="0.15">
      <c r="B81" s="302"/>
      <c r="C81" s="325">
        <v>68</v>
      </c>
      <c r="D81" s="997"/>
      <c r="E81" s="998"/>
      <c r="F81" s="998"/>
      <c r="G81" s="998"/>
      <c r="H81" s="998"/>
      <c r="I81" s="998"/>
      <c r="J81" s="999"/>
      <c r="K81" s="302"/>
      <c r="L81" s="363"/>
      <c r="M81" s="330"/>
      <c r="N81" s="331"/>
      <c r="O81" s="338"/>
      <c r="P81" s="339"/>
      <c r="Q81" s="346"/>
      <c r="R81" s="347"/>
      <c r="S81" s="354"/>
      <c r="T81" s="355"/>
      <c r="U81" s="302"/>
    </row>
    <row r="82" spans="2:21" ht="14.1" customHeight="1" x14ac:dyDescent="0.15">
      <c r="B82" s="302"/>
      <c r="C82" s="325">
        <v>69</v>
      </c>
      <c r="D82" s="997"/>
      <c r="E82" s="998"/>
      <c r="F82" s="998"/>
      <c r="G82" s="998"/>
      <c r="H82" s="998"/>
      <c r="I82" s="998"/>
      <c r="J82" s="999"/>
      <c r="K82" s="302"/>
      <c r="L82" s="363"/>
      <c r="M82" s="330"/>
      <c r="N82" s="331"/>
      <c r="O82" s="338"/>
      <c r="P82" s="339"/>
      <c r="Q82" s="346"/>
      <c r="R82" s="347"/>
      <c r="S82" s="354"/>
      <c r="T82" s="355"/>
      <c r="U82" s="302"/>
    </row>
    <row r="83" spans="2:21" ht="14.1" customHeight="1" x14ac:dyDescent="0.15">
      <c r="B83" s="302"/>
      <c r="C83" s="325">
        <v>70</v>
      </c>
      <c r="D83" s="997"/>
      <c r="E83" s="998"/>
      <c r="F83" s="998"/>
      <c r="G83" s="998"/>
      <c r="H83" s="998"/>
      <c r="I83" s="998"/>
      <c r="J83" s="999"/>
      <c r="K83" s="302"/>
      <c r="L83" s="363"/>
      <c r="M83" s="330"/>
      <c r="N83" s="331"/>
      <c r="O83" s="338"/>
      <c r="P83" s="339"/>
      <c r="Q83" s="346"/>
      <c r="R83" s="347"/>
      <c r="S83" s="354"/>
      <c r="T83" s="355"/>
      <c r="U83" s="302"/>
    </row>
    <row r="84" spans="2:21" ht="14.1" customHeight="1" x14ac:dyDescent="0.15">
      <c r="B84" s="302"/>
      <c r="C84" s="325">
        <v>71</v>
      </c>
      <c r="D84" s="997"/>
      <c r="E84" s="998"/>
      <c r="F84" s="998"/>
      <c r="G84" s="998"/>
      <c r="H84" s="998"/>
      <c r="I84" s="998"/>
      <c r="J84" s="999"/>
      <c r="K84" s="302"/>
      <c r="L84" s="363"/>
      <c r="M84" s="330"/>
      <c r="N84" s="331"/>
      <c r="O84" s="338"/>
      <c r="P84" s="339"/>
      <c r="Q84" s="346"/>
      <c r="R84" s="347"/>
      <c r="S84" s="354"/>
      <c r="T84" s="355"/>
      <c r="U84" s="302"/>
    </row>
    <row r="85" spans="2:21" ht="14.1" customHeight="1" x14ac:dyDescent="0.15">
      <c r="B85" s="302"/>
      <c r="C85" s="325">
        <v>72</v>
      </c>
      <c r="D85" s="997"/>
      <c r="E85" s="998"/>
      <c r="F85" s="998"/>
      <c r="G85" s="998"/>
      <c r="H85" s="998"/>
      <c r="I85" s="998"/>
      <c r="J85" s="999"/>
      <c r="K85" s="302"/>
      <c r="L85" s="363"/>
      <c r="M85" s="330"/>
      <c r="N85" s="331"/>
      <c r="O85" s="338"/>
      <c r="P85" s="339"/>
      <c r="Q85" s="346"/>
      <c r="R85" s="347"/>
      <c r="S85" s="354"/>
      <c r="T85" s="355"/>
      <c r="U85" s="302"/>
    </row>
    <row r="86" spans="2:21" ht="14.1" customHeight="1" x14ac:dyDescent="0.15">
      <c r="B86" s="302"/>
      <c r="C86" s="325">
        <v>73</v>
      </c>
      <c r="D86" s="997"/>
      <c r="E86" s="998"/>
      <c r="F86" s="998"/>
      <c r="G86" s="998"/>
      <c r="H86" s="998"/>
      <c r="I86" s="998"/>
      <c r="J86" s="999"/>
      <c r="K86" s="302"/>
      <c r="L86" s="363"/>
      <c r="M86" s="330"/>
      <c r="N86" s="331"/>
      <c r="O86" s="338"/>
      <c r="P86" s="339"/>
      <c r="Q86" s="346"/>
      <c r="R86" s="347"/>
      <c r="S86" s="354"/>
      <c r="T86" s="355"/>
      <c r="U86" s="302"/>
    </row>
    <row r="87" spans="2:21" ht="14.1" customHeight="1" x14ac:dyDescent="0.15">
      <c r="B87" s="302"/>
      <c r="C87" s="325">
        <v>74</v>
      </c>
      <c r="D87" s="997"/>
      <c r="E87" s="998"/>
      <c r="F87" s="998"/>
      <c r="G87" s="998"/>
      <c r="H87" s="998"/>
      <c r="I87" s="998"/>
      <c r="J87" s="999"/>
      <c r="K87" s="302"/>
      <c r="L87" s="363"/>
      <c r="M87" s="330"/>
      <c r="N87" s="331"/>
      <c r="O87" s="338"/>
      <c r="P87" s="339"/>
      <c r="Q87" s="346"/>
      <c r="R87" s="347"/>
      <c r="S87" s="354"/>
      <c r="T87" s="355"/>
      <c r="U87" s="302"/>
    </row>
    <row r="88" spans="2:21" ht="14.1" customHeight="1" x14ac:dyDescent="0.15">
      <c r="B88" s="302"/>
      <c r="C88" s="325">
        <v>75</v>
      </c>
      <c r="D88" s="997"/>
      <c r="E88" s="998"/>
      <c r="F88" s="998"/>
      <c r="G88" s="998"/>
      <c r="H88" s="998"/>
      <c r="I88" s="998"/>
      <c r="J88" s="999"/>
      <c r="K88" s="302"/>
      <c r="L88" s="363"/>
      <c r="M88" s="330"/>
      <c r="N88" s="331"/>
      <c r="O88" s="338"/>
      <c r="P88" s="339"/>
      <c r="Q88" s="346"/>
      <c r="R88" s="347"/>
      <c r="S88" s="354"/>
      <c r="T88" s="355"/>
      <c r="U88" s="302"/>
    </row>
    <row r="89" spans="2:21" ht="14.1" customHeight="1" x14ac:dyDescent="0.15">
      <c r="B89" s="302"/>
      <c r="C89" s="325">
        <v>76</v>
      </c>
      <c r="D89" s="997"/>
      <c r="E89" s="998"/>
      <c r="F89" s="998"/>
      <c r="G89" s="998"/>
      <c r="H89" s="998"/>
      <c r="I89" s="998"/>
      <c r="J89" s="999"/>
      <c r="K89" s="302"/>
      <c r="L89" s="363"/>
      <c r="M89" s="330"/>
      <c r="N89" s="331"/>
      <c r="O89" s="338"/>
      <c r="P89" s="339"/>
      <c r="Q89" s="346"/>
      <c r="R89" s="347"/>
      <c r="S89" s="354"/>
      <c r="T89" s="355"/>
      <c r="U89" s="302"/>
    </row>
    <row r="90" spans="2:21" ht="14.1" customHeight="1" x14ac:dyDescent="0.15">
      <c r="B90" s="302"/>
      <c r="C90" s="325">
        <v>77</v>
      </c>
      <c r="D90" s="997"/>
      <c r="E90" s="998"/>
      <c r="F90" s="998"/>
      <c r="G90" s="998"/>
      <c r="H90" s="998"/>
      <c r="I90" s="998"/>
      <c r="J90" s="999"/>
      <c r="K90" s="302"/>
      <c r="L90" s="363"/>
      <c r="M90" s="330"/>
      <c r="N90" s="331"/>
      <c r="O90" s="338"/>
      <c r="P90" s="339"/>
      <c r="Q90" s="346"/>
      <c r="R90" s="347"/>
      <c r="S90" s="354"/>
      <c r="T90" s="355"/>
      <c r="U90" s="302"/>
    </row>
    <row r="91" spans="2:21" ht="14.1" customHeight="1" x14ac:dyDescent="0.15">
      <c r="B91" s="302"/>
      <c r="C91" s="325">
        <v>78</v>
      </c>
      <c r="D91" s="997"/>
      <c r="E91" s="998"/>
      <c r="F91" s="998"/>
      <c r="G91" s="998"/>
      <c r="H91" s="998"/>
      <c r="I91" s="998"/>
      <c r="J91" s="999"/>
      <c r="K91" s="302"/>
      <c r="L91" s="363"/>
      <c r="M91" s="330"/>
      <c r="N91" s="331"/>
      <c r="O91" s="338"/>
      <c r="P91" s="339"/>
      <c r="Q91" s="346"/>
      <c r="R91" s="347"/>
      <c r="S91" s="354"/>
      <c r="T91" s="355"/>
      <c r="U91" s="302"/>
    </row>
    <row r="92" spans="2:21" ht="14.1" customHeight="1" x14ac:dyDescent="0.15">
      <c r="B92" s="302"/>
      <c r="C92" s="325">
        <v>79</v>
      </c>
      <c r="D92" s="997"/>
      <c r="E92" s="998"/>
      <c r="F92" s="998"/>
      <c r="G92" s="998"/>
      <c r="H92" s="998"/>
      <c r="I92" s="998"/>
      <c r="J92" s="999"/>
      <c r="K92" s="302"/>
      <c r="L92" s="363"/>
      <c r="M92" s="330"/>
      <c r="N92" s="331"/>
      <c r="O92" s="338"/>
      <c r="P92" s="339"/>
      <c r="Q92" s="346"/>
      <c r="R92" s="347"/>
      <c r="S92" s="354"/>
      <c r="T92" s="355"/>
      <c r="U92" s="302"/>
    </row>
    <row r="93" spans="2:21" ht="14.1" customHeight="1" x14ac:dyDescent="0.15">
      <c r="B93" s="302"/>
      <c r="C93" s="325">
        <v>80</v>
      </c>
      <c r="D93" s="997"/>
      <c r="E93" s="998"/>
      <c r="F93" s="998"/>
      <c r="G93" s="998"/>
      <c r="H93" s="998"/>
      <c r="I93" s="998"/>
      <c r="J93" s="999"/>
      <c r="K93" s="302"/>
      <c r="L93" s="363"/>
      <c r="M93" s="330"/>
      <c r="N93" s="331"/>
      <c r="O93" s="338"/>
      <c r="P93" s="339"/>
      <c r="Q93" s="346"/>
      <c r="R93" s="347"/>
      <c r="S93" s="354"/>
      <c r="T93" s="355"/>
      <c r="U93" s="302"/>
    </row>
    <row r="94" spans="2:21" ht="14.1" customHeight="1" x14ac:dyDescent="0.15">
      <c r="B94" s="302"/>
      <c r="C94" s="325">
        <v>81</v>
      </c>
      <c r="D94" s="997"/>
      <c r="E94" s="998"/>
      <c r="F94" s="998"/>
      <c r="G94" s="998"/>
      <c r="H94" s="998"/>
      <c r="I94" s="998"/>
      <c r="J94" s="999"/>
      <c r="K94" s="302"/>
      <c r="L94" s="363"/>
      <c r="M94" s="330"/>
      <c r="N94" s="331"/>
      <c r="O94" s="338"/>
      <c r="P94" s="339"/>
      <c r="Q94" s="346"/>
      <c r="R94" s="347"/>
      <c r="S94" s="354"/>
      <c r="T94" s="355"/>
      <c r="U94" s="302"/>
    </row>
    <row r="95" spans="2:21" ht="14.1" customHeight="1" x14ac:dyDescent="0.15">
      <c r="B95" s="302"/>
      <c r="C95" s="325">
        <v>82</v>
      </c>
      <c r="D95" s="997"/>
      <c r="E95" s="998"/>
      <c r="F95" s="998"/>
      <c r="G95" s="998"/>
      <c r="H95" s="998"/>
      <c r="I95" s="998"/>
      <c r="J95" s="999"/>
      <c r="K95" s="302"/>
      <c r="L95" s="363"/>
      <c r="M95" s="330"/>
      <c r="N95" s="331"/>
      <c r="O95" s="338"/>
      <c r="P95" s="339"/>
      <c r="Q95" s="346"/>
      <c r="R95" s="347"/>
      <c r="S95" s="354"/>
      <c r="T95" s="355"/>
      <c r="U95" s="302"/>
    </row>
    <row r="96" spans="2:21" ht="14.1" customHeight="1" x14ac:dyDescent="0.15">
      <c r="B96" s="302"/>
      <c r="C96" s="325">
        <v>83</v>
      </c>
      <c r="D96" s="997"/>
      <c r="E96" s="998"/>
      <c r="F96" s="998"/>
      <c r="G96" s="998"/>
      <c r="H96" s="998"/>
      <c r="I96" s="998"/>
      <c r="J96" s="999"/>
      <c r="K96" s="302"/>
      <c r="L96" s="363"/>
      <c r="M96" s="330"/>
      <c r="N96" s="331"/>
      <c r="O96" s="338"/>
      <c r="P96" s="339"/>
      <c r="Q96" s="346"/>
      <c r="R96" s="347"/>
      <c r="S96" s="354"/>
      <c r="T96" s="355"/>
      <c r="U96" s="302"/>
    </row>
    <row r="97" spans="2:21" ht="14.1" customHeight="1" x14ac:dyDescent="0.15">
      <c r="B97" s="302"/>
      <c r="C97" s="325">
        <v>84</v>
      </c>
      <c r="D97" s="997"/>
      <c r="E97" s="998"/>
      <c r="F97" s="998"/>
      <c r="G97" s="998"/>
      <c r="H97" s="998"/>
      <c r="I97" s="998"/>
      <c r="J97" s="999"/>
      <c r="K97" s="302"/>
      <c r="L97" s="363"/>
      <c r="M97" s="330"/>
      <c r="N97" s="331"/>
      <c r="O97" s="338"/>
      <c r="P97" s="339"/>
      <c r="Q97" s="346"/>
      <c r="R97" s="347"/>
      <c r="S97" s="354"/>
      <c r="T97" s="355"/>
      <c r="U97" s="302"/>
    </row>
    <row r="98" spans="2:21" ht="14.1" customHeight="1" x14ac:dyDescent="0.15">
      <c r="B98" s="302"/>
      <c r="C98" s="325">
        <v>85</v>
      </c>
      <c r="D98" s="997"/>
      <c r="E98" s="998"/>
      <c r="F98" s="998"/>
      <c r="G98" s="998"/>
      <c r="H98" s="998"/>
      <c r="I98" s="998"/>
      <c r="J98" s="999"/>
      <c r="K98" s="302"/>
      <c r="L98" s="363"/>
      <c r="M98" s="330"/>
      <c r="N98" s="331"/>
      <c r="O98" s="338"/>
      <c r="P98" s="339"/>
      <c r="Q98" s="346"/>
      <c r="R98" s="347"/>
      <c r="S98" s="354"/>
      <c r="T98" s="355"/>
      <c r="U98" s="302"/>
    </row>
    <row r="99" spans="2:21" ht="14.1" customHeight="1" x14ac:dyDescent="0.15">
      <c r="B99" s="302"/>
      <c r="C99" s="325">
        <v>86</v>
      </c>
      <c r="D99" s="997"/>
      <c r="E99" s="998"/>
      <c r="F99" s="998"/>
      <c r="G99" s="998"/>
      <c r="H99" s="998"/>
      <c r="I99" s="998"/>
      <c r="J99" s="999"/>
      <c r="K99" s="302"/>
      <c r="L99" s="363"/>
      <c r="M99" s="330"/>
      <c r="N99" s="331"/>
      <c r="O99" s="338"/>
      <c r="P99" s="339"/>
      <c r="Q99" s="346"/>
      <c r="R99" s="347"/>
      <c r="S99" s="354"/>
      <c r="T99" s="355"/>
      <c r="U99" s="302"/>
    </row>
    <row r="100" spans="2:21" ht="14.1" customHeight="1" x14ac:dyDescent="0.15">
      <c r="B100" s="302"/>
      <c r="C100" s="325">
        <v>87</v>
      </c>
      <c r="D100" s="997"/>
      <c r="E100" s="998"/>
      <c r="F100" s="998"/>
      <c r="G100" s="998"/>
      <c r="H100" s="998"/>
      <c r="I100" s="998"/>
      <c r="J100" s="999"/>
      <c r="K100" s="302"/>
      <c r="L100" s="363"/>
      <c r="M100" s="330"/>
      <c r="N100" s="331"/>
      <c r="O100" s="338"/>
      <c r="P100" s="339"/>
      <c r="Q100" s="346"/>
      <c r="R100" s="347"/>
      <c r="S100" s="354"/>
      <c r="T100" s="355"/>
      <c r="U100" s="302"/>
    </row>
    <row r="101" spans="2:21" ht="14.1" customHeight="1" x14ac:dyDescent="0.15">
      <c r="B101" s="302"/>
      <c r="C101" s="325">
        <v>88</v>
      </c>
      <c r="D101" s="997"/>
      <c r="E101" s="998"/>
      <c r="F101" s="998"/>
      <c r="G101" s="998"/>
      <c r="H101" s="998"/>
      <c r="I101" s="998"/>
      <c r="J101" s="999"/>
      <c r="K101" s="302"/>
      <c r="L101" s="363"/>
      <c r="M101" s="330"/>
      <c r="N101" s="331"/>
      <c r="O101" s="338"/>
      <c r="P101" s="339"/>
      <c r="Q101" s="346"/>
      <c r="R101" s="347"/>
      <c r="S101" s="354"/>
      <c r="T101" s="355"/>
      <c r="U101" s="302"/>
    </row>
    <row r="102" spans="2:21" ht="14.1" customHeight="1" x14ac:dyDescent="0.15">
      <c r="B102" s="302"/>
      <c r="C102" s="325">
        <v>89</v>
      </c>
      <c r="D102" s="997"/>
      <c r="E102" s="998"/>
      <c r="F102" s="998"/>
      <c r="G102" s="998"/>
      <c r="H102" s="998"/>
      <c r="I102" s="998"/>
      <c r="J102" s="999"/>
      <c r="K102" s="302"/>
      <c r="L102" s="363"/>
      <c r="M102" s="330"/>
      <c r="N102" s="331"/>
      <c r="O102" s="338"/>
      <c r="P102" s="339"/>
      <c r="Q102" s="346"/>
      <c r="R102" s="347"/>
      <c r="S102" s="354"/>
      <c r="T102" s="355"/>
      <c r="U102" s="302"/>
    </row>
    <row r="103" spans="2:21" ht="14.1" customHeight="1" x14ac:dyDescent="0.15">
      <c r="B103" s="302"/>
      <c r="C103" s="325">
        <v>90</v>
      </c>
      <c r="D103" s="997"/>
      <c r="E103" s="998"/>
      <c r="F103" s="998"/>
      <c r="G103" s="998"/>
      <c r="H103" s="998"/>
      <c r="I103" s="998"/>
      <c r="J103" s="999"/>
      <c r="K103" s="302"/>
      <c r="L103" s="363"/>
      <c r="M103" s="330"/>
      <c r="N103" s="331"/>
      <c r="O103" s="338"/>
      <c r="P103" s="339"/>
      <c r="Q103" s="346"/>
      <c r="R103" s="347"/>
      <c r="S103" s="354"/>
      <c r="T103" s="355"/>
      <c r="U103" s="302"/>
    </row>
    <row r="104" spans="2:21" ht="14.1" customHeight="1" x14ac:dyDescent="0.15">
      <c r="B104" s="302"/>
      <c r="C104" s="325">
        <v>91</v>
      </c>
      <c r="D104" s="997"/>
      <c r="E104" s="998"/>
      <c r="F104" s="998"/>
      <c r="G104" s="998"/>
      <c r="H104" s="998"/>
      <c r="I104" s="998"/>
      <c r="J104" s="999"/>
      <c r="K104" s="302"/>
      <c r="L104" s="363"/>
      <c r="M104" s="330"/>
      <c r="N104" s="331"/>
      <c r="O104" s="338"/>
      <c r="P104" s="339"/>
      <c r="Q104" s="346"/>
      <c r="R104" s="347"/>
      <c r="S104" s="354"/>
      <c r="T104" s="355"/>
      <c r="U104" s="302"/>
    </row>
    <row r="105" spans="2:21" ht="14.1" customHeight="1" x14ac:dyDescent="0.15">
      <c r="B105" s="302"/>
      <c r="C105" s="325">
        <v>92</v>
      </c>
      <c r="D105" s="997"/>
      <c r="E105" s="998"/>
      <c r="F105" s="998"/>
      <c r="G105" s="998"/>
      <c r="H105" s="998"/>
      <c r="I105" s="998"/>
      <c r="J105" s="999"/>
      <c r="K105" s="302"/>
      <c r="L105" s="363"/>
      <c r="M105" s="330"/>
      <c r="N105" s="331"/>
      <c r="O105" s="338"/>
      <c r="P105" s="339"/>
      <c r="Q105" s="346"/>
      <c r="R105" s="347"/>
      <c r="S105" s="354"/>
      <c r="T105" s="355"/>
      <c r="U105" s="302"/>
    </row>
    <row r="106" spans="2:21" ht="14.1" customHeight="1" x14ac:dyDescent="0.15">
      <c r="B106" s="302"/>
      <c r="C106" s="325">
        <v>93</v>
      </c>
      <c r="D106" s="997"/>
      <c r="E106" s="998"/>
      <c r="F106" s="998"/>
      <c r="G106" s="998"/>
      <c r="H106" s="998"/>
      <c r="I106" s="998"/>
      <c r="J106" s="999"/>
      <c r="K106" s="302"/>
      <c r="L106" s="363"/>
      <c r="M106" s="330"/>
      <c r="N106" s="331"/>
      <c r="O106" s="338"/>
      <c r="P106" s="339"/>
      <c r="Q106" s="346"/>
      <c r="R106" s="347"/>
      <c r="S106" s="354"/>
      <c r="T106" s="355"/>
      <c r="U106" s="302"/>
    </row>
    <row r="107" spans="2:21" ht="14.1" customHeight="1" x14ac:dyDescent="0.15">
      <c r="B107" s="302"/>
      <c r="C107" s="325">
        <v>94</v>
      </c>
      <c r="D107" s="997"/>
      <c r="E107" s="998"/>
      <c r="F107" s="998"/>
      <c r="G107" s="998"/>
      <c r="H107" s="998"/>
      <c r="I107" s="998"/>
      <c r="J107" s="999"/>
      <c r="K107" s="302"/>
      <c r="L107" s="363"/>
      <c r="M107" s="330"/>
      <c r="N107" s="331"/>
      <c r="O107" s="338"/>
      <c r="P107" s="339"/>
      <c r="Q107" s="346"/>
      <c r="R107" s="347"/>
      <c r="S107" s="354"/>
      <c r="T107" s="355"/>
      <c r="U107" s="302"/>
    </row>
    <row r="108" spans="2:21" ht="14.1" customHeight="1" x14ac:dyDescent="0.15">
      <c r="B108" s="302"/>
      <c r="C108" s="325">
        <v>95</v>
      </c>
      <c r="D108" s="997"/>
      <c r="E108" s="998"/>
      <c r="F108" s="998"/>
      <c r="G108" s="998"/>
      <c r="H108" s="998"/>
      <c r="I108" s="998"/>
      <c r="J108" s="999"/>
      <c r="K108" s="302"/>
      <c r="L108" s="363"/>
      <c r="M108" s="330"/>
      <c r="N108" s="331"/>
      <c r="O108" s="338"/>
      <c r="P108" s="339"/>
      <c r="Q108" s="346"/>
      <c r="R108" s="347"/>
      <c r="S108" s="354"/>
      <c r="T108" s="355"/>
      <c r="U108" s="302"/>
    </row>
    <row r="109" spans="2:21" ht="14.1" customHeight="1" x14ac:dyDescent="0.15">
      <c r="B109" s="302"/>
      <c r="C109" s="325">
        <v>96</v>
      </c>
      <c r="D109" s="997"/>
      <c r="E109" s="998"/>
      <c r="F109" s="998"/>
      <c r="G109" s="998"/>
      <c r="H109" s="998"/>
      <c r="I109" s="998"/>
      <c r="J109" s="999"/>
      <c r="K109" s="302"/>
      <c r="L109" s="363"/>
      <c r="M109" s="330"/>
      <c r="N109" s="331"/>
      <c r="O109" s="338"/>
      <c r="P109" s="339"/>
      <c r="Q109" s="346"/>
      <c r="R109" s="347"/>
      <c r="S109" s="354"/>
      <c r="T109" s="355"/>
      <c r="U109" s="302"/>
    </row>
    <row r="110" spans="2:21" ht="14.1" customHeight="1" x14ac:dyDescent="0.15">
      <c r="B110" s="302"/>
      <c r="C110" s="325">
        <v>97</v>
      </c>
      <c r="D110" s="997"/>
      <c r="E110" s="998"/>
      <c r="F110" s="998"/>
      <c r="G110" s="998"/>
      <c r="H110" s="998"/>
      <c r="I110" s="998"/>
      <c r="J110" s="999"/>
      <c r="K110" s="302"/>
      <c r="L110" s="363"/>
      <c r="M110" s="330"/>
      <c r="N110" s="331"/>
      <c r="O110" s="338"/>
      <c r="P110" s="339"/>
      <c r="Q110" s="346"/>
      <c r="R110" s="347"/>
      <c r="S110" s="354"/>
      <c r="T110" s="355"/>
      <c r="U110" s="302"/>
    </row>
    <row r="111" spans="2:21" ht="14.1" customHeight="1" x14ac:dyDescent="0.15">
      <c r="B111" s="302"/>
      <c r="C111" s="325">
        <v>98</v>
      </c>
      <c r="D111" s="997"/>
      <c r="E111" s="998"/>
      <c r="F111" s="998"/>
      <c r="G111" s="998"/>
      <c r="H111" s="998"/>
      <c r="I111" s="998"/>
      <c r="J111" s="999"/>
      <c r="K111" s="302"/>
      <c r="L111" s="363"/>
      <c r="M111" s="330"/>
      <c r="N111" s="331"/>
      <c r="O111" s="338"/>
      <c r="P111" s="339"/>
      <c r="Q111" s="346"/>
      <c r="R111" s="347"/>
      <c r="S111" s="354"/>
      <c r="T111" s="355"/>
      <c r="U111" s="302"/>
    </row>
    <row r="112" spans="2:21" ht="14.1" customHeight="1" x14ac:dyDescent="0.15">
      <c r="B112" s="302"/>
      <c r="C112" s="325">
        <v>99</v>
      </c>
      <c r="D112" s="997"/>
      <c r="E112" s="998"/>
      <c r="F112" s="998"/>
      <c r="G112" s="998"/>
      <c r="H112" s="998"/>
      <c r="I112" s="998"/>
      <c r="J112" s="999"/>
      <c r="K112" s="302"/>
      <c r="L112" s="363"/>
      <c r="M112" s="330"/>
      <c r="N112" s="331"/>
      <c r="O112" s="338"/>
      <c r="P112" s="339"/>
      <c r="Q112" s="346"/>
      <c r="R112" s="347"/>
      <c r="S112" s="354"/>
      <c r="T112" s="355"/>
      <c r="U112" s="302"/>
    </row>
    <row r="113" spans="2:21" ht="14.1" customHeight="1" x14ac:dyDescent="0.15">
      <c r="B113" s="302"/>
      <c r="C113" s="325">
        <v>100</v>
      </c>
      <c r="D113" s="997"/>
      <c r="E113" s="998"/>
      <c r="F113" s="998"/>
      <c r="G113" s="998"/>
      <c r="H113" s="998"/>
      <c r="I113" s="998"/>
      <c r="J113" s="999"/>
      <c r="K113" s="302"/>
      <c r="L113" s="363"/>
      <c r="M113" s="330"/>
      <c r="N113" s="331"/>
      <c r="O113" s="338"/>
      <c r="P113" s="339"/>
      <c r="Q113" s="346"/>
      <c r="R113" s="347"/>
      <c r="S113" s="354"/>
      <c r="T113" s="355"/>
      <c r="U113" s="302"/>
    </row>
    <row r="114" spans="2:21" ht="14.1" customHeight="1" x14ac:dyDescent="0.15">
      <c r="B114" s="302"/>
      <c r="C114" s="325">
        <v>101</v>
      </c>
      <c r="D114" s="997"/>
      <c r="E114" s="998"/>
      <c r="F114" s="998"/>
      <c r="G114" s="998"/>
      <c r="H114" s="998"/>
      <c r="I114" s="998"/>
      <c r="J114" s="999"/>
      <c r="K114" s="302"/>
      <c r="L114" s="363"/>
      <c r="M114" s="330"/>
      <c r="N114" s="331"/>
      <c r="O114" s="338"/>
      <c r="P114" s="339"/>
      <c r="Q114" s="346"/>
      <c r="R114" s="347"/>
      <c r="S114" s="354"/>
      <c r="T114" s="355"/>
      <c r="U114" s="302"/>
    </row>
    <row r="115" spans="2:21" ht="14.1" customHeight="1" x14ac:dyDescent="0.15">
      <c r="B115" s="302"/>
      <c r="C115" s="325">
        <v>102</v>
      </c>
      <c r="D115" s="997"/>
      <c r="E115" s="998"/>
      <c r="F115" s="998"/>
      <c r="G115" s="998"/>
      <c r="H115" s="998"/>
      <c r="I115" s="998"/>
      <c r="J115" s="999"/>
      <c r="K115" s="302"/>
      <c r="L115" s="363"/>
      <c r="M115" s="330"/>
      <c r="N115" s="331"/>
      <c r="O115" s="338"/>
      <c r="P115" s="339"/>
      <c r="Q115" s="346"/>
      <c r="R115" s="347"/>
      <c r="S115" s="354"/>
      <c r="T115" s="355"/>
      <c r="U115" s="302"/>
    </row>
    <row r="116" spans="2:21" ht="14.1" customHeight="1" x14ac:dyDescent="0.15">
      <c r="B116" s="302"/>
      <c r="C116" s="325">
        <v>103</v>
      </c>
      <c r="D116" s="997"/>
      <c r="E116" s="998"/>
      <c r="F116" s="998"/>
      <c r="G116" s="998"/>
      <c r="H116" s="998"/>
      <c r="I116" s="998"/>
      <c r="J116" s="999"/>
      <c r="K116" s="302"/>
      <c r="L116" s="363"/>
      <c r="M116" s="330"/>
      <c r="N116" s="331"/>
      <c r="O116" s="338"/>
      <c r="P116" s="339"/>
      <c r="Q116" s="346"/>
      <c r="R116" s="347"/>
      <c r="S116" s="354"/>
      <c r="T116" s="355"/>
      <c r="U116" s="302"/>
    </row>
    <row r="117" spans="2:21" ht="14.1" customHeight="1" x14ac:dyDescent="0.15">
      <c r="B117" s="302"/>
      <c r="C117" s="325">
        <v>104</v>
      </c>
      <c r="D117" s="997"/>
      <c r="E117" s="998"/>
      <c r="F117" s="998"/>
      <c r="G117" s="998"/>
      <c r="H117" s="998"/>
      <c r="I117" s="998"/>
      <c r="J117" s="999"/>
      <c r="K117" s="302"/>
      <c r="L117" s="363"/>
      <c r="M117" s="330"/>
      <c r="N117" s="331"/>
      <c r="O117" s="338"/>
      <c r="P117" s="339"/>
      <c r="Q117" s="346"/>
      <c r="R117" s="347"/>
      <c r="S117" s="354"/>
      <c r="T117" s="355"/>
      <c r="U117" s="302"/>
    </row>
    <row r="118" spans="2:21" ht="14.1" customHeight="1" x14ac:dyDescent="0.15">
      <c r="B118" s="302"/>
      <c r="C118" s="325">
        <v>105</v>
      </c>
      <c r="D118" s="997"/>
      <c r="E118" s="998"/>
      <c r="F118" s="998"/>
      <c r="G118" s="998"/>
      <c r="H118" s="998"/>
      <c r="I118" s="998"/>
      <c r="J118" s="999"/>
      <c r="K118" s="302"/>
      <c r="L118" s="363"/>
      <c r="M118" s="330"/>
      <c r="N118" s="331"/>
      <c r="O118" s="338"/>
      <c r="P118" s="339"/>
      <c r="Q118" s="346"/>
      <c r="R118" s="347"/>
      <c r="S118" s="354"/>
      <c r="T118" s="355"/>
      <c r="U118" s="302"/>
    </row>
    <row r="119" spans="2:21" ht="14.1" customHeight="1" x14ac:dyDescent="0.15">
      <c r="B119" s="302"/>
      <c r="C119" s="325">
        <v>106</v>
      </c>
      <c r="D119" s="997"/>
      <c r="E119" s="998"/>
      <c r="F119" s="998"/>
      <c r="G119" s="998"/>
      <c r="H119" s="998"/>
      <c r="I119" s="998"/>
      <c r="J119" s="999"/>
      <c r="K119" s="302"/>
      <c r="L119" s="363"/>
      <c r="M119" s="330"/>
      <c r="N119" s="331"/>
      <c r="O119" s="338"/>
      <c r="P119" s="339"/>
      <c r="Q119" s="346"/>
      <c r="R119" s="347"/>
      <c r="S119" s="354"/>
      <c r="T119" s="355"/>
      <c r="U119" s="302"/>
    </row>
    <row r="120" spans="2:21" ht="14.1" customHeight="1" x14ac:dyDescent="0.15">
      <c r="B120" s="302"/>
      <c r="C120" s="325">
        <v>107</v>
      </c>
      <c r="D120" s="997"/>
      <c r="E120" s="998"/>
      <c r="F120" s="998"/>
      <c r="G120" s="998"/>
      <c r="H120" s="998"/>
      <c r="I120" s="998"/>
      <c r="J120" s="999"/>
      <c r="K120" s="302"/>
      <c r="L120" s="363"/>
      <c r="M120" s="330"/>
      <c r="N120" s="331"/>
      <c r="O120" s="338"/>
      <c r="P120" s="339"/>
      <c r="Q120" s="346"/>
      <c r="R120" s="347"/>
      <c r="S120" s="354"/>
      <c r="T120" s="355"/>
      <c r="U120" s="302"/>
    </row>
    <row r="121" spans="2:21" ht="14.1" customHeight="1" x14ac:dyDescent="0.15">
      <c r="B121" s="302"/>
      <c r="C121" s="325">
        <v>108</v>
      </c>
      <c r="D121" s="997"/>
      <c r="E121" s="998"/>
      <c r="F121" s="998"/>
      <c r="G121" s="998"/>
      <c r="H121" s="998"/>
      <c r="I121" s="998"/>
      <c r="J121" s="999"/>
      <c r="K121" s="302"/>
      <c r="L121" s="363"/>
      <c r="M121" s="330"/>
      <c r="N121" s="331"/>
      <c r="O121" s="338"/>
      <c r="P121" s="339"/>
      <c r="Q121" s="346"/>
      <c r="R121" s="347"/>
      <c r="S121" s="354"/>
      <c r="T121" s="355"/>
      <c r="U121" s="302"/>
    </row>
    <row r="122" spans="2:21" ht="14.1" customHeight="1" x14ac:dyDescent="0.15">
      <c r="B122" s="302"/>
      <c r="C122" s="325">
        <v>109</v>
      </c>
      <c r="D122" s="997"/>
      <c r="E122" s="998"/>
      <c r="F122" s="998"/>
      <c r="G122" s="998"/>
      <c r="H122" s="998"/>
      <c r="I122" s="998"/>
      <c r="J122" s="999"/>
      <c r="K122" s="302"/>
      <c r="L122" s="363"/>
      <c r="M122" s="330"/>
      <c r="N122" s="331"/>
      <c r="O122" s="338"/>
      <c r="P122" s="339"/>
      <c r="Q122" s="346"/>
      <c r="R122" s="347"/>
      <c r="S122" s="354"/>
      <c r="T122" s="355"/>
      <c r="U122" s="302"/>
    </row>
    <row r="123" spans="2:21" ht="14.1" customHeight="1" x14ac:dyDescent="0.15">
      <c r="B123" s="302"/>
      <c r="C123" s="325">
        <v>110</v>
      </c>
      <c r="D123" s="997"/>
      <c r="E123" s="998"/>
      <c r="F123" s="998"/>
      <c r="G123" s="998"/>
      <c r="H123" s="998"/>
      <c r="I123" s="998"/>
      <c r="J123" s="999"/>
      <c r="K123" s="302"/>
      <c r="L123" s="363"/>
      <c r="M123" s="330"/>
      <c r="N123" s="331"/>
      <c r="O123" s="338"/>
      <c r="P123" s="339"/>
      <c r="Q123" s="346"/>
      <c r="R123" s="347"/>
      <c r="S123" s="354"/>
      <c r="T123" s="355"/>
      <c r="U123" s="302"/>
    </row>
    <row r="124" spans="2:21" ht="14.1" customHeight="1" x14ac:dyDescent="0.15">
      <c r="B124" s="302"/>
      <c r="C124" s="325">
        <v>111</v>
      </c>
      <c r="D124" s="997"/>
      <c r="E124" s="998"/>
      <c r="F124" s="998"/>
      <c r="G124" s="998"/>
      <c r="H124" s="998"/>
      <c r="I124" s="998"/>
      <c r="J124" s="999"/>
      <c r="K124" s="302"/>
      <c r="L124" s="363"/>
      <c r="M124" s="330"/>
      <c r="N124" s="331"/>
      <c r="O124" s="338"/>
      <c r="P124" s="339"/>
      <c r="Q124" s="346"/>
      <c r="R124" s="347"/>
      <c r="S124" s="354"/>
      <c r="T124" s="355"/>
      <c r="U124" s="302"/>
    </row>
    <row r="125" spans="2:21" ht="14.1" customHeight="1" x14ac:dyDescent="0.15">
      <c r="B125" s="302"/>
      <c r="C125" s="325">
        <v>112</v>
      </c>
      <c r="D125" s="997"/>
      <c r="E125" s="998"/>
      <c r="F125" s="998"/>
      <c r="G125" s="998"/>
      <c r="H125" s="998"/>
      <c r="I125" s="998"/>
      <c r="J125" s="999"/>
      <c r="K125" s="302"/>
      <c r="L125" s="363"/>
      <c r="M125" s="330"/>
      <c r="N125" s="331"/>
      <c r="O125" s="338"/>
      <c r="P125" s="339"/>
      <c r="Q125" s="346"/>
      <c r="R125" s="347"/>
      <c r="S125" s="354"/>
      <c r="T125" s="355"/>
      <c r="U125" s="302"/>
    </row>
    <row r="126" spans="2:21" ht="14.1" customHeight="1" x14ac:dyDescent="0.15">
      <c r="B126" s="302"/>
      <c r="C126" s="325">
        <v>113</v>
      </c>
      <c r="D126" s="997"/>
      <c r="E126" s="998"/>
      <c r="F126" s="998"/>
      <c r="G126" s="998"/>
      <c r="H126" s="998"/>
      <c r="I126" s="998"/>
      <c r="J126" s="999"/>
      <c r="K126" s="302"/>
      <c r="L126" s="363"/>
      <c r="M126" s="330"/>
      <c r="N126" s="331"/>
      <c r="O126" s="338"/>
      <c r="P126" s="339"/>
      <c r="Q126" s="346"/>
      <c r="R126" s="347"/>
      <c r="S126" s="354"/>
      <c r="T126" s="355"/>
      <c r="U126" s="302"/>
    </row>
    <row r="127" spans="2:21" ht="14.1" customHeight="1" x14ac:dyDescent="0.15">
      <c r="B127" s="302"/>
      <c r="C127" s="325">
        <v>114</v>
      </c>
      <c r="D127" s="997"/>
      <c r="E127" s="998"/>
      <c r="F127" s="998"/>
      <c r="G127" s="998"/>
      <c r="H127" s="998"/>
      <c r="I127" s="998"/>
      <c r="J127" s="999"/>
      <c r="K127" s="302"/>
      <c r="L127" s="363"/>
      <c r="M127" s="330"/>
      <c r="N127" s="331"/>
      <c r="O127" s="338"/>
      <c r="P127" s="339"/>
      <c r="Q127" s="346"/>
      <c r="R127" s="347"/>
      <c r="S127" s="354"/>
      <c r="T127" s="355"/>
      <c r="U127" s="302"/>
    </row>
    <row r="128" spans="2:21" ht="14.1" customHeight="1" x14ac:dyDescent="0.15">
      <c r="B128" s="302"/>
      <c r="C128" s="325">
        <v>115</v>
      </c>
      <c r="D128" s="997"/>
      <c r="E128" s="998"/>
      <c r="F128" s="998"/>
      <c r="G128" s="998"/>
      <c r="H128" s="998"/>
      <c r="I128" s="998"/>
      <c r="J128" s="999"/>
      <c r="K128" s="302"/>
      <c r="L128" s="363"/>
      <c r="M128" s="330"/>
      <c r="N128" s="331"/>
      <c r="O128" s="338"/>
      <c r="P128" s="339"/>
      <c r="Q128" s="346"/>
      <c r="R128" s="347"/>
      <c r="S128" s="354"/>
      <c r="T128" s="355"/>
      <c r="U128" s="302"/>
    </row>
    <row r="129" spans="2:21" ht="14.1" customHeight="1" x14ac:dyDescent="0.15">
      <c r="B129" s="302"/>
      <c r="C129" s="325">
        <v>116</v>
      </c>
      <c r="D129" s="997"/>
      <c r="E129" s="998"/>
      <c r="F129" s="998"/>
      <c r="G129" s="998"/>
      <c r="H129" s="998"/>
      <c r="I129" s="998"/>
      <c r="J129" s="999"/>
      <c r="K129" s="302"/>
      <c r="L129" s="363"/>
      <c r="M129" s="330"/>
      <c r="N129" s="331"/>
      <c r="O129" s="338"/>
      <c r="P129" s="339"/>
      <c r="Q129" s="346"/>
      <c r="R129" s="347"/>
      <c r="S129" s="354"/>
      <c r="T129" s="355"/>
      <c r="U129" s="302"/>
    </row>
    <row r="130" spans="2:21" ht="14.1" customHeight="1" x14ac:dyDescent="0.15">
      <c r="B130" s="302"/>
      <c r="C130" s="325">
        <v>117</v>
      </c>
      <c r="D130" s="997"/>
      <c r="E130" s="998"/>
      <c r="F130" s="998"/>
      <c r="G130" s="998"/>
      <c r="H130" s="998"/>
      <c r="I130" s="998"/>
      <c r="J130" s="999"/>
      <c r="K130" s="302"/>
      <c r="L130" s="363"/>
      <c r="M130" s="330"/>
      <c r="N130" s="331"/>
      <c r="O130" s="338"/>
      <c r="P130" s="339"/>
      <c r="Q130" s="346"/>
      <c r="R130" s="347"/>
      <c r="S130" s="354"/>
      <c r="T130" s="355"/>
      <c r="U130" s="302"/>
    </row>
    <row r="131" spans="2:21" ht="14.1" customHeight="1" x14ac:dyDescent="0.15">
      <c r="B131" s="302"/>
      <c r="C131" s="325">
        <v>118</v>
      </c>
      <c r="D131" s="997"/>
      <c r="E131" s="998"/>
      <c r="F131" s="998"/>
      <c r="G131" s="998"/>
      <c r="H131" s="998"/>
      <c r="I131" s="998"/>
      <c r="J131" s="999"/>
      <c r="K131" s="302"/>
      <c r="L131" s="363"/>
      <c r="M131" s="330"/>
      <c r="N131" s="331"/>
      <c r="O131" s="338"/>
      <c r="P131" s="339"/>
      <c r="Q131" s="346"/>
      <c r="R131" s="347"/>
      <c r="S131" s="354"/>
      <c r="T131" s="355"/>
      <c r="U131" s="302"/>
    </row>
    <row r="132" spans="2:21" ht="14.1" customHeight="1" x14ac:dyDescent="0.15">
      <c r="B132" s="302"/>
      <c r="C132" s="325">
        <v>119</v>
      </c>
      <c r="D132" s="997"/>
      <c r="E132" s="998"/>
      <c r="F132" s="998"/>
      <c r="G132" s="998"/>
      <c r="H132" s="998"/>
      <c r="I132" s="998"/>
      <c r="J132" s="999"/>
      <c r="K132" s="302"/>
      <c r="L132" s="363"/>
      <c r="M132" s="330"/>
      <c r="N132" s="331"/>
      <c r="O132" s="338"/>
      <c r="P132" s="339"/>
      <c r="Q132" s="346"/>
      <c r="R132" s="347"/>
      <c r="S132" s="354"/>
      <c r="T132" s="355"/>
      <c r="U132" s="302"/>
    </row>
    <row r="133" spans="2:21" ht="14.1" customHeight="1" x14ac:dyDescent="0.15">
      <c r="B133" s="302"/>
      <c r="C133" s="325">
        <v>120</v>
      </c>
      <c r="D133" s="997"/>
      <c r="E133" s="998"/>
      <c r="F133" s="998"/>
      <c r="G133" s="998"/>
      <c r="H133" s="998"/>
      <c r="I133" s="998"/>
      <c r="J133" s="999"/>
      <c r="K133" s="302"/>
      <c r="L133" s="363"/>
      <c r="M133" s="330"/>
      <c r="N133" s="331"/>
      <c r="O133" s="338"/>
      <c r="P133" s="339"/>
      <c r="Q133" s="346"/>
      <c r="R133" s="347"/>
      <c r="S133" s="354"/>
      <c r="T133" s="355"/>
      <c r="U133" s="302"/>
    </row>
    <row r="134" spans="2:21" ht="14.1" customHeight="1" x14ac:dyDescent="0.15">
      <c r="B134" s="302"/>
      <c r="C134" s="325">
        <v>121</v>
      </c>
      <c r="D134" s="997"/>
      <c r="E134" s="998"/>
      <c r="F134" s="998"/>
      <c r="G134" s="998"/>
      <c r="H134" s="998"/>
      <c r="I134" s="998"/>
      <c r="J134" s="999"/>
      <c r="K134" s="302"/>
      <c r="L134" s="363"/>
      <c r="M134" s="330"/>
      <c r="N134" s="331"/>
      <c r="O134" s="338"/>
      <c r="P134" s="339"/>
      <c r="Q134" s="346"/>
      <c r="R134" s="347"/>
      <c r="S134" s="354"/>
      <c r="T134" s="355"/>
      <c r="U134" s="302"/>
    </row>
    <row r="135" spans="2:21" ht="14.1" customHeight="1" x14ac:dyDescent="0.15">
      <c r="B135" s="302"/>
      <c r="C135" s="325">
        <v>122</v>
      </c>
      <c r="D135" s="997"/>
      <c r="E135" s="998"/>
      <c r="F135" s="998"/>
      <c r="G135" s="998"/>
      <c r="H135" s="998"/>
      <c r="I135" s="998"/>
      <c r="J135" s="999"/>
      <c r="K135" s="302"/>
      <c r="L135" s="363"/>
      <c r="M135" s="330"/>
      <c r="N135" s="331"/>
      <c r="O135" s="338"/>
      <c r="P135" s="339"/>
      <c r="Q135" s="346"/>
      <c r="R135" s="347"/>
      <c r="S135" s="354"/>
      <c r="T135" s="355"/>
      <c r="U135" s="302"/>
    </row>
    <row r="136" spans="2:21" ht="14.1" customHeight="1" x14ac:dyDescent="0.15">
      <c r="B136" s="302"/>
      <c r="C136" s="325">
        <v>123</v>
      </c>
      <c r="D136" s="997"/>
      <c r="E136" s="998"/>
      <c r="F136" s="998"/>
      <c r="G136" s="998"/>
      <c r="H136" s="998"/>
      <c r="I136" s="998"/>
      <c r="J136" s="999"/>
      <c r="K136" s="302"/>
      <c r="L136" s="363"/>
      <c r="M136" s="330"/>
      <c r="N136" s="331"/>
      <c r="O136" s="338"/>
      <c r="P136" s="339"/>
      <c r="Q136" s="346"/>
      <c r="R136" s="347"/>
      <c r="S136" s="354"/>
      <c r="T136" s="355"/>
      <c r="U136" s="302"/>
    </row>
    <row r="137" spans="2:21" ht="14.1" customHeight="1" x14ac:dyDescent="0.15">
      <c r="B137" s="302"/>
      <c r="C137" s="325">
        <v>124</v>
      </c>
      <c r="D137" s="997"/>
      <c r="E137" s="998"/>
      <c r="F137" s="998"/>
      <c r="G137" s="998"/>
      <c r="H137" s="998"/>
      <c r="I137" s="998"/>
      <c r="J137" s="999"/>
      <c r="K137" s="302"/>
      <c r="L137" s="363"/>
      <c r="M137" s="330"/>
      <c r="N137" s="331"/>
      <c r="O137" s="338"/>
      <c r="P137" s="339"/>
      <c r="Q137" s="346"/>
      <c r="R137" s="347"/>
      <c r="S137" s="354"/>
      <c r="T137" s="355"/>
      <c r="U137" s="302"/>
    </row>
    <row r="138" spans="2:21" ht="14.1" customHeight="1" x14ac:dyDescent="0.15">
      <c r="B138" s="302"/>
      <c r="C138" s="325">
        <v>125</v>
      </c>
      <c r="D138" s="997"/>
      <c r="E138" s="998"/>
      <c r="F138" s="998"/>
      <c r="G138" s="998"/>
      <c r="H138" s="998"/>
      <c r="I138" s="998"/>
      <c r="J138" s="999"/>
      <c r="K138" s="302"/>
      <c r="L138" s="363"/>
      <c r="M138" s="330"/>
      <c r="N138" s="331"/>
      <c r="O138" s="338"/>
      <c r="P138" s="339"/>
      <c r="Q138" s="346"/>
      <c r="R138" s="347"/>
      <c r="S138" s="354"/>
      <c r="T138" s="355"/>
      <c r="U138" s="302"/>
    </row>
    <row r="139" spans="2:21" ht="14.1" customHeight="1" x14ac:dyDescent="0.15">
      <c r="B139" s="302"/>
      <c r="C139" s="325">
        <v>126</v>
      </c>
      <c r="D139" s="997"/>
      <c r="E139" s="998"/>
      <c r="F139" s="998"/>
      <c r="G139" s="998"/>
      <c r="H139" s="998"/>
      <c r="I139" s="998"/>
      <c r="J139" s="999"/>
      <c r="K139" s="302"/>
      <c r="L139" s="363"/>
      <c r="M139" s="330"/>
      <c r="N139" s="331"/>
      <c r="O139" s="338"/>
      <c r="P139" s="339"/>
      <c r="Q139" s="346"/>
      <c r="R139" s="347"/>
      <c r="S139" s="354"/>
      <c r="T139" s="355"/>
      <c r="U139" s="302"/>
    </row>
    <row r="140" spans="2:21" ht="14.1" customHeight="1" x14ac:dyDescent="0.15">
      <c r="B140" s="302"/>
      <c r="C140" s="325">
        <v>127</v>
      </c>
      <c r="D140" s="997"/>
      <c r="E140" s="998"/>
      <c r="F140" s="998"/>
      <c r="G140" s="998"/>
      <c r="H140" s="998"/>
      <c r="I140" s="998"/>
      <c r="J140" s="999"/>
      <c r="K140" s="302"/>
      <c r="L140" s="363"/>
      <c r="M140" s="330"/>
      <c r="N140" s="331"/>
      <c r="O140" s="338"/>
      <c r="P140" s="339"/>
      <c r="Q140" s="346"/>
      <c r="R140" s="347"/>
      <c r="S140" s="354"/>
      <c r="T140" s="355"/>
      <c r="U140" s="302"/>
    </row>
    <row r="141" spans="2:21" ht="14.1" customHeight="1" x14ac:dyDescent="0.15">
      <c r="B141" s="302"/>
      <c r="C141" s="325">
        <v>128</v>
      </c>
      <c r="D141" s="997"/>
      <c r="E141" s="998"/>
      <c r="F141" s="998"/>
      <c r="G141" s="998"/>
      <c r="H141" s="998"/>
      <c r="I141" s="998"/>
      <c r="J141" s="999"/>
      <c r="K141" s="302"/>
      <c r="L141" s="363"/>
      <c r="M141" s="330"/>
      <c r="N141" s="331"/>
      <c r="O141" s="338"/>
      <c r="P141" s="339"/>
      <c r="Q141" s="346"/>
      <c r="R141" s="347"/>
      <c r="S141" s="354"/>
      <c r="T141" s="355"/>
      <c r="U141" s="302"/>
    </row>
    <row r="142" spans="2:21" ht="14.1" customHeight="1" x14ac:dyDescent="0.15">
      <c r="B142" s="302"/>
      <c r="C142" s="325">
        <v>129</v>
      </c>
      <c r="D142" s="997"/>
      <c r="E142" s="998"/>
      <c r="F142" s="998"/>
      <c r="G142" s="998"/>
      <c r="H142" s="998"/>
      <c r="I142" s="998"/>
      <c r="J142" s="999"/>
      <c r="K142" s="302"/>
      <c r="L142" s="363"/>
      <c r="M142" s="330"/>
      <c r="N142" s="331"/>
      <c r="O142" s="338"/>
      <c r="P142" s="339"/>
      <c r="Q142" s="346"/>
      <c r="R142" s="347"/>
      <c r="S142" s="354"/>
      <c r="T142" s="355"/>
      <c r="U142" s="302"/>
    </row>
    <row r="143" spans="2:21" ht="14.1" customHeight="1" x14ac:dyDescent="0.15">
      <c r="B143" s="302"/>
      <c r="C143" s="325">
        <v>130</v>
      </c>
      <c r="D143" s="997"/>
      <c r="E143" s="998"/>
      <c r="F143" s="998"/>
      <c r="G143" s="998"/>
      <c r="H143" s="998"/>
      <c r="I143" s="998"/>
      <c r="J143" s="999"/>
      <c r="K143" s="302"/>
      <c r="L143" s="363"/>
      <c r="M143" s="330"/>
      <c r="N143" s="331"/>
      <c r="O143" s="338"/>
      <c r="P143" s="339"/>
      <c r="Q143" s="346"/>
      <c r="R143" s="347"/>
      <c r="S143" s="354"/>
      <c r="T143" s="355"/>
      <c r="U143" s="302"/>
    </row>
    <row r="144" spans="2:21" ht="14.1" customHeight="1" x14ac:dyDescent="0.15">
      <c r="B144" s="302"/>
      <c r="C144" s="325">
        <v>131</v>
      </c>
      <c r="D144" s="997"/>
      <c r="E144" s="998"/>
      <c r="F144" s="998"/>
      <c r="G144" s="998"/>
      <c r="H144" s="998"/>
      <c r="I144" s="998"/>
      <c r="J144" s="999"/>
      <c r="K144" s="302"/>
      <c r="L144" s="363"/>
      <c r="M144" s="330"/>
      <c r="N144" s="331"/>
      <c r="O144" s="338"/>
      <c r="P144" s="339"/>
      <c r="Q144" s="346"/>
      <c r="R144" s="347"/>
      <c r="S144" s="354"/>
      <c r="T144" s="355"/>
      <c r="U144" s="302"/>
    </row>
    <row r="145" spans="2:21" ht="14.1" customHeight="1" x14ac:dyDescent="0.15">
      <c r="B145" s="302"/>
      <c r="C145" s="325">
        <v>132</v>
      </c>
      <c r="D145" s="997"/>
      <c r="E145" s="998"/>
      <c r="F145" s="998"/>
      <c r="G145" s="998"/>
      <c r="H145" s="998"/>
      <c r="I145" s="998"/>
      <c r="J145" s="999"/>
      <c r="K145" s="302"/>
      <c r="L145" s="363"/>
      <c r="M145" s="330"/>
      <c r="N145" s="331"/>
      <c r="O145" s="338"/>
      <c r="P145" s="339"/>
      <c r="Q145" s="346"/>
      <c r="R145" s="347"/>
      <c r="S145" s="354"/>
      <c r="T145" s="355"/>
      <c r="U145" s="302"/>
    </row>
    <row r="146" spans="2:21" ht="14.1" customHeight="1" x14ac:dyDescent="0.15">
      <c r="B146" s="302"/>
      <c r="C146" s="325">
        <v>133</v>
      </c>
      <c r="D146" s="997"/>
      <c r="E146" s="998"/>
      <c r="F146" s="998"/>
      <c r="G146" s="998"/>
      <c r="H146" s="998"/>
      <c r="I146" s="998"/>
      <c r="J146" s="999"/>
      <c r="K146" s="302"/>
      <c r="L146" s="363"/>
      <c r="M146" s="330"/>
      <c r="N146" s="331"/>
      <c r="O146" s="338"/>
      <c r="P146" s="339"/>
      <c r="Q146" s="346"/>
      <c r="R146" s="347"/>
      <c r="S146" s="354"/>
      <c r="T146" s="355"/>
      <c r="U146" s="302"/>
    </row>
    <row r="147" spans="2:21" ht="14.1" customHeight="1" x14ac:dyDescent="0.15">
      <c r="B147" s="302"/>
      <c r="C147" s="325">
        <v>134</v>
      </c>
      <c r="D147" s="997"/>
      <c r="E147" s="998"/>
      <c r="F147" s="998"/>
      <c r="G147" s="998"/>
      <c r="H147" s="998"/>
      <c r="I147" s="998"/>
      <c r="J147" s="999"/>
      <c r="K147" s="302"/>
      <c r="L147" s="363"/>
      <c r="M147" s="330"/>
      <c r="N147" s="331"/>
      <c r="O147" s="338"/>
      <c r="P147" s="339"/>
      <c r="Q147" s="346"/>
      <c r="R147" s="347"/>
      <c r="S147" s="354"/>
      <c r="T147" s="355"/>
      <c r="U147" s="302"/>
    </row>
    <row r="148" spans="2:21" ht="14.1" customHeight="1" x14ac:dyDescent="0.15">
      <c r="B148" s="302"/>
      <c r="C148" s="325">
        <v>135</v>
      </c>
      <c r="D148" s="997"/>
      <c r="E148" s="998"/>
      <c r="F148" s="998"/>
      <c r="G148" s="998"/>
      <c r="H148" s="998"/>
      <c r="I148" s="998"/>
      <c r="J148" s="999"/>
      <c r="K148" s="302"/>
      <c r="L148" s="363"/>
      <c r="M148" s="330"/>
      <c r="N148" s="331"/>
      <c r="O148" s="338"/>
      <c r="P148" s="339"/>
      <c r="Q148" s="346"/>
      <c r="R148" s="347"/>
      <c r="S148" s="354"/>
      <c r="T148" s="355"/>
      <c r="U148" s="302"/>
    </row>
    <row r="149" spans="2:21" ht="14.1" customHeight="1" x14ac:dyDescent="0.15">
      <c r="B149" s="302"/>
      <c r="C149" s="325">
        <v>136</v>
      </c>
      <c r="D149" s="997"/>
      <c r="E149" s="998"/>
      <c r="F149" s="998"/>
      <c r="G149" s="998"/>
      <c r="H149" s="998"/>
      <c r="I149" s="998"/>
      <c r="J149" s="999"/>
      <c r="K149" s="302"/>
      <c r="L149" s="363"/>
      <c r="M149" s="330"/>
      <c r="N149" s="331"/>
      <c r="O149" s="338"/>
      <c r="P149" s="339"/>
      <c r="Q149" s="346"/>
      <c r="R149" s="347"/>
      <c r="S149" s="354"/>
      <c r="T149" s="355"/>
      <c r="U149" s="302"/>
    </row>
    <row r="150" spans="2:21" ht="14.1" customHeight="1" x14ac:dyDescent="0.15">
      <c r="B150" s="302"/>
      <c r="C150" s="325">
        <v>137</v>
      </c>
      <c r="D150" s="997"/>
      <c r="E150" s="998"/>
      <c r="F150" s="998"/>
      <c r="G150" s="998"/>
      <c r="H150" s="998"/>
      <c r="I150" s="998"/>
      <c r="J150" s="999"/>
      <c r="K150" s="302"/>
      <c r="L150" s="363"/>
      <c r="M150" s="330"/>
      <c r="N150" s="331"/>
      <c r="O150" s="338"/>
      <c r="P150" s="339"/>
      <c r="Q150" s="346"/>
      <c r="R150" s="347"/>
      <c r="S150" s="354"/>
      <c r="T150" s="355"/>
      <c r="U150" s="302"/>
    </row>
    <row r="151" spans="2:21" ht="14.1" customHeight="1" x14ac:dyDescent="0.15">
      <c r="B151" s="302"/>
      <c r="C151" s="325">
        <v>138</v>
      </c>
      <c r="D151" s="997"/>
      <c r="E151" s="998"/>
      <c r="F151" s="998"/>
      <c r="G151" s="998"/>
      <c r="H151" s="998"/>
      <c r="I151" s="998"/>
      <c r="J151" s="999"/>
      <c r="K151" s="302"/>
      <c r="L151" s="363"/>
      <c r="M151" s="330"/>
      <c r="N151" s="331"/>
      <c r="O151" s="338"/>
      <c r="P151" s="339"/>
      <c r="Q151" s="346"/>
      <c r="R151" s="347"/>
      <c r="S151" s="354"/>
      <c r="T151" s="355"/>
      <c r="U151" s="302"/>
    </row>
    <row r="152" spans="2:21" ht="14.1" customHeight="1" x14ac:dyDescent="0.15">
      <c r="B152" s="302"/>
      <c r="C152" s="325">
        <v>139</v>
      </c>
      <c r="D152" s="997"/>
      <c r="E152" s="998"/>
      <c r="F152" s="998"/>
      <c r="G152" s="998"/>
      <c r="H152" s="998"/>
      <c r="I152" s="998"/>
      <c r="J152" s="999"/>
      <c r="K152" s="302"/>
      <c r="L152" s="363"/>
      <c r="M152" s="330"/>
      <c r="N152" s="331"/>
      <c r="O152" s="338"/>
      <c r="P152" s="339"/>
      <c r="Q152" s="346"/>
      <c r="R152" s="347"/>
      <c r="S152" s="354"/>
      <c r="T152" s="355"/>
      <c r="U152" s="302"/>
    </row>
    <row r="153" spans="2:21" ht="14.1" customHeight="1" x14ac:dyDescent="0.15">
      <c r="B153" s="302"/>
      <c r="C153" s="325">
        <v>140</v>
      </c>
      <c r="D153" s="997"/>
      <c r="E153" s="998"/>
      <c r="F153" s="998"/>
      <c r="G153" s="998"/>
      <c r="H153" s="998"/>
      <c r="I153" s="998"/>
      <c r="J153" s="999"/>
      <c r="K153" s="302"/>
      <c r="L153" s="363"/>
      <c r="M153" s="330"/>
      <c r="N153" s="331"/>
      <c r="O153" s="338"/>
      <c r="P153" s="339"/>
      <c r="Q153" s="346"/>
      <c r="R153" s="347"/>
      <c r="S153" s="354"/>
      <c r="T153" s="355"/>
      <c r="U153" s="302"/>
    </row>
    <row r="154" spans="2:21" ht="14.1" customHeight="1" x14ac:dyDescent="0.15">
      <c r="B154" s="302"/>
      <c r="C154" s="325">
        <v>141</v>
      </c>
      <c r="D154" s="997"/>
      <c r="E154" s="998"/>
      <c r="F154" s="998"/>
      <c r="G154" s="998"/>
      <c r="H154" s="998"/>
      <c r="I154" s="998"/>
      <c r="J154" s="999"/>
      <c r="K154" s="302"/>
      <c r="L154" s="363"/>
      <c r="M154" s="330"/>
      <c r="N154" s="331"/>
      <c r="O154" s="338"/>
      <c r="P154" s="339"/>
      <c r="Q154" s="346"/>
      <c r="R154" s="347"/>
      <c r="S154" s="354"/>
      <c r="T154" s="355"/>
      <c r="U154" s="302"/>
    </row>
    <row r="155" spans="2:21" ht="14.1" customHeight="1" x14ac:dyDescent="0.15">
      <c r="B155" s="302"/>
      <c r="C155" s="325">
        <v>142</v>
      </c>
      <c r="D155" s="997"/>
      <c r="E155" s="998"/>
      <c r="F155" s="998"/>
      <c r="G155" s="998"/>
      <c r="H155" s="998"/>
      <c r="I155" s="998"/>
      <c r="J155" s="999"/>
      <c r="K155" s="302"/>
      <c r="L155" s="363"/>
      <c r="M155" s="330"/>
      <c r="N155" s="331"/>
      <c r="O155" s="338"/>
      <c r="P155" s="339"/>
      <c r="Q155" s="346"/>
      <c r="R155" s="347"/>
      <c r="S155" s="354"/>
      <c r="T155" s="355"/>
      <c r="U155" s="302"/>
    </row>
    <row r="156" spans="2:21" ht="14.1" customHeight="1" x14ac:dyDescent="0.15">
      <c r="B156" s="302"/>
      <c r="C156" s="325">
        <v>143</v>
      </c>
      <c r="D156" s="997"/>
      <c r="E156" s="998"/>
      <c r="F156" s="998"/>
      <c r="G156" s="998"/>
      <c r="H156" s="998"/>
      <c r="I156" s="998"/>
      <c r="J156" s="999"/>
      <c r="K156" s="302"/>
      <c r="L156" s="363"/>
      <c r="M156" s="330"/>
      <c r="N156" s="331"/>
      <c r="O156" s="338"/>
      <c r="P156" s="339"/>
      <c r="Q156" s="346"/>
      <c r="R156" s="347"/>
      <c r="S156" s="354"/>
      <c r="T156" s="355"/>
      <c r="U156" s="302"/>
    </row>
    <row r="157" spans="2:21" ht="14.1" customHeight="1" x14ac:dyDescent="0.15">
      <c r="B157" s="302"/>
      <c r="C157" s="325">
        <v>144</v>
      </c>
      <c r="D157" s="997"/>
      <c r="E157" s="998"/>
      <c r="F157" s="998"/>
      <c r="G157" s="998"/>
      <c r="H157" s="998"/>
      <c r="I157" s="998"/>
      <c r="J157" s="999"/>
      <c r="K157" s="302"/>
      <c r="L157" s="363"/>
      <c r="M157" s="330"/>
      <c r="N157" s="331"/>
      <c r="O157" s="338"/>
      <c r="P157" s="339"/>
      <c r="Q157" s="346"/>
      <c r="R157" s="347"/>
      <c r="S157" s="354"/>
      <c r="T157" s="355"/>
      <c r="U157" s="302"/>
    </row>
    <row r="158" spans="2:21" ht="14.1" customHeight="1" x14ac:dyDescent="0.15">
      <c r="B158" s="302"/>
      <c r="C158" s="325">
        <v>145</v>
      </c>
      <c r="D158" s="997"/>
      <c r="E158" s="998"/>
      <c r="F158" s="998"/>
      <c r="G158" s="998"/>
      <c r="H158" s="998"/>
      <c r="I158" s="998"/>
      <c r="J158" s="999"/>
      <c r="K158" s="302"/>
      <c r="L158" s="363"/>
      <c r="M158" s="330"/>
      <c r="N158" s="331"/>
      <c r="O158" s="338"/>
      <c r="P158" s="339"/>
      <c r="Q158" s="346"/>
      <c r="R158" s="347"/>
      <c r="S158" s="354"/>
      <c r="T158" s="355"/>
      <c r="U158" s="302"/>
    </row>
    <row r="159" spans="2:21" ht="14.1" customHeight="1" x14ac:dyDescent="0.15">
      <c r="B159" s="302"/>
      <c r="C159" s="325">
        <v>146</v>
      </c>
      <c r="D159" s="997"/>
      <c r="E159" s="998"/>
      <c r="F159" s="998"/>
      <c r="G159" s="998"/>
      <c r="H159" s="998"/>
      <c r="I159" s="998"/>
      <c r="J159" s="999"/>
      <c r="K159" s="302"/>
      <c r="L159" s="363"/>
      <c r="M159" s="330"/>
      <c r="N159" s="331"/>
      <c r="O159" s="338"/>
      <c r="P159" s="339"/>
      <c r="Q159" s="346"/>
      <c r="R159" s="347"/>
      <c r="S159" s="354"/>
      <c r="T159" s="355"/>
      <c r="U159" s="302"/>
    </row>
    <row r="160" spans="2:21" ht="14.1" customHeight="1" x14ac:dyDescent="0.15">
      <c r="B160" s="302"/>
      <c r="C160" s="325">
        <v>147</v>
      </c>
      <c r="D160" s="997"/>
      <c r="E160" s="998"/>
      <c r="F160" s="998"/>
      <c r="G160" s="998"/>
      <c r="H160" s="998"/>
      <c r="I160" s="998"/>
      <c r="J160" s="999"/>
      <c r="K160" s="302"/>
      <c r="L160" s="363"/>
      <c r="M160" s="330"/>
      <c r="N160" s="331"/>
      <c r="O160" s="338"/>
      <c r="P160" s="339"/>
      <c r="Q160" s="346"/>
      <c r="R160" s="347"/>
      <c r="S160" s="354"/>
      <c r="T160" s="355"/>
      <c r="U160" s="302"/>
    </row>
    <row r="161" spans="2:21" ht="14.1" customHeight="1" x14ac:dyDescent="0.15">
      <c r="B161" s="302"/>
      <c r="C161" s="325">
        <v>148</v>
      </c>
      <c r="D161" s="997"/>
      <c r="E161" s="998"/>
      <c r="F161" s="998"/>
      <c r="G161" s="998"/>
      <c r="H161" s="998"/>
      <c r="I161" s="998"/>
      <c r="J161" s="999"/>
      <c r="K161" s="302"/>
      <c r="L161" s="363"/>
      <c r="M161" s="330"/>
      <c r="N161" s="331"/>
      <c r="O161" s="338"/>
      <c r="P161" s="339"/>
      <c r="Q161" s="346"/>
      <c r="R161" s="347"/>
      <c r="S161" s="354"/>
      <c r="T161" s="355"/>
      <c r="U161" s="302"/>
    </row>
    <row r="162" spans="2:21" ht="14.1" customHeight="1" x14ac:dyDescent="0.15">
      <c r="B162" s="302"/>
      <c r="C162" s="325">
        <v>149</v>
      </c>
      <c r="D162" s="997"/>
      <c r="E162" s="998"/>
      <c r="F162" s="998"/>
      <c r="G162" s="998"/>
      <c r="H162" s="998"/>
      <c r="I162" s="998"/>
      <c r="J162" s="999"/>
      <c r="K162" s="302"/>
      <c r="L162" s="363"/>
      <c r="M162" s="330"/>
      <c r="N162" s="331"/>
      <c r="O162" s="338"/>
      <c r="P162" s="339"/>
      <c r="Q162" s="346"/>
      <c r="R162" s="347"/>
      <c r="S162" s="354"/>
      <c r="T162" s="355"/>
      <c r="U162" s="302"/>
    </row>
    <row r="163" spans="2:21" ht="14.1" customHeight="1" x14ac:dyDescent="0.15">
      <c r="B163" s="302"/>
      <c r="C163" s="325">
        <v>150</v>
      </c>
      <c r="D163" s="997"/>
      <c r="E163" s="998"/>
      <c r="F163" s="998"/>
      <c r="G163" s="998"/>
      <c r="H163" s="998"/>
      <c r="I163" s="998"/>
      <c r="J163" s="999"/>
      <c r="K163" s="302"/>
      <c r="L163" s="363"/>
      <c r="M163" s="330"/>
      <c r="N163" s="331"/>
      <c r="O163" s="338"/>
      <c r="P163" s="339"/>
      <c r="Q163" s="346"/>
      <c r="R163" s="347"/>
      <c r="S163" s="354"/>
      <c r="T163" s="355"/>
      <c r="U163" s="302"/>
    </row>
    <row r="164" spans="2:21" ht="14.1" customHeight="1" x14ac:dyDescent="0.15">
      <c r="B164" s="302"/>
      <c r="C164" s="325">
        <v>151</v>
      </c>
      <c r="D164" s="997"/>
      <c r="E164" s="998"/>
      <c r="F164" s="998"/>
      <c r="G164" s="998"/>
      <c r="H164" s="998"/>
      <c r="I164" s="998"/>
      <c r="J164" s="999"/>
      <c r="K164" s="302"/>
      <c r="L164" s="363"/>
      <c r="M164" s="330"/>
      <c r="N164" s="331"/>
      <c r="O164" s="338"/>
      <c r="P164" s="339"/>
      <c r="Q164" s="346"/>
      <c r="R164" s="347"/>
      <c r="S164" s="354"/>
      <c r="T164" s="355"/>
      <c r="U164" s="302"/>
    </row>
    <row r="165" spans="2:21" ht="14.1" customHeight="1" x14ac:dyDescent="0.15">
      <c r="B165" s="302"/>
      <c r="C165" s="325">
        <v>152</v>
      </c>
      <c r="D165" s="997"/>
      <c r="E165" s="998"/>
      <c r="F165" s="998"/>
      <c r="G165" s="998"/>
      <c r="H165" s="998"/>
      <c r="I165" s="998"/>
      <c r="J165" s="999"/>
      <c r="K165" s="302"/>
      <c r="L165" s="363"/>
      <c r="M165" s="330"/>
      <c r="N165" s="331"/>
      <c r="O165" s="338"/>
      <c r="P165" s="339"/>
      <c r="Q165" s="346"/>
      <c r="R165" s="347"/>
      <c r="S165" s="354"/>
      <c r="T165" s="355"/>
      <c r="U165" s="302"/>
    </row>
    <row r="166" spans="2:21" ht="14.1" customHeight="1" x14ac:dyDescent="0.15">
      <c r="B166" s="302"/>
      <c r="C166" s="325">
        <v>153</v>
      </c>
      <c r="D166" s="997"/>
      <c r="E166" s="998"/>
      <c r="F166" s="998"/>
      <c r="G166" s="998"/>
      <c r="H166" s="998"/>
      <c r="I166" s="998"/>
      <c r="J166" s="999"/>
      <c r="K166" s="302"/>
      <c r="L166" s="363"/>
      <c r="M166" s="330"/>
      <c r="N166" s="331"/>
      <c r="O166" s="338"/>
      <c r="P166" s="339"/>
      <c r="Q166" s="346"/>
      <c r="R166" s="347"/>
      <c r="S166" s="354"/>
      <c r="T166" s="355"/>
      <c r="U166" s="302"/>
    </row>
    <row r="167" spans="2:21" ht="14.1" customHeight="1" x14ac:dyDescent="0.15">
      <c r="B167" s="302"/>
      <c r="C167" s="325">
        <v>154</v>
      </c>
      <c r="D167" s="997"/>
      <c r="E167" s="998"/>
      <c r="F167" s="998"/>
      <c r="G167" s="998"/>
      <c r="H167" s="998"/>
      <c r="I167" s="998"/>
      <c r="J167" s="999"/>
      <c r="K167" s="302"/>
      <c r="L167" s="363"/>
      <c r="M167" s="330"/>
      <c r="N167" s="331"/>
      <c r="O167" s="338"/>
      <c r="P167" s="339"/>
      <c r="Q167" s="346"/>
      <c r="R167" s="347"/>
      <c r="S167" s="354"/>
      <c r="T167" s="355"/>
      <c r="U167" s="302"/>
    </row>
    <row r="168" spans="2:21" ht="14.1" customHeight="1" x14ac:dyDescent="0.15">
      <c r="B168" s="302"/>
      <c r="C168" s="325">
        <v>155</v>
      </c>
      <c r="D168" s="997"/>
      <c r="E168" s="998"/>
      <c r="F168" s="998"/>
      <c r="G168" s="998"/>
      <c r="H168" s="998"/>
      <c r="I168" s="998"/>
      <c r="J168" s="999"/>
      <c r="K168" s="302"/>
      <c r="L168" s="363"/>
      <c r="M168" s="330"/>
      <c r="N168" s="331"/>
      <c r="O168" s="338"/>
      <c r="P168" s="339"/>
      <c r="Q168" s="346"/>
      <c r="R168" s="347"/>
      <c r="S168" s="354"/>
      <c r="T168" s="355"/>
      <c r="U168" s="302"/>
    </row>
    <row r="169" spans="2:21" ht="14.1" customHeight="1" x14ac:dyDescent="0.15">
      <c r="B169" s="302"/>
      <c r="C169" s="325">
        <v>156</v>
      </c>
      <c r="D169" s="997"/>
      <c r="E169" s="998"/>
      <c r="F169" s="998"/>
      <c r="G169" s="998"/>
      <c r="H169" s="998"/>
      <c r="I169" s="998"/>
      <c r="J169" s="999"/>
      <c r="K169" s="302"/>
      <c r="L169" s="363"/>
      <c r="M169" s="330"/>
      <c r="N169" s="331"/>
      <c r="O169" s="338"/>
      <c r="P169" s="339"/>
      <c r="Q169" s="346"/>
      <c r="R169" s="347"/>
      <c r="S169" s="354"/>
      <c r="T169" s="355"/>
      <c r="U169" s="302"/>
    </row>
    <row r="170" spans="2:21" ht="14.1" customHeight="1" x14ac:dyDescent="0.15">
      <c r="B170" s="302"/>
      <c r="C170" s="325">
        <v>157</v>
      </c>
      <c r="D170" s="997"/>
      <c r="E170" s="998"/>
      <c r="F170" s="998"/>
      <c r="G170" s="998"/>
      <c r="H170" s="998"/>
      <c r="I170" s="998"/>
      <c r="J170" s="999"/>
      <c r="K170" s="302"/>
      <c r="L170" s="363"/>
      <c r="M170" s="330"/>
      <c r="N170" s="331"/>
      <c r="O170" s="338"/>
      <c r="P170" s="339"/>
      <c r="Q170" s="346"/>
      <c r="R170" s="347"/>
      <c r="S170" s="354"/>
      <c r="T170" s="355"/>
      <c r="U170" s="302"/>
    </row>
    <row r="171" spans="2:21" ht="14.1" customHeight="1" x14ac:dyDescent="0.15">
      <c r="B171" s="302"/>
      <c r="C171" s="325">
        <v>158</v>
      </c>
      <c r="D171" s="997"/>
      <c r="E171" s="998"/>
      <c r="F171" s="998"/>
      <c r="G171" s="998"/>
      <c r="H171" s="998"/>
      <c r="I171" s="998"/>
      <c r="J171" s="999"/>
      <c r="K171" s="302"/>
      <c r="L171" s="363"/>
      <c r="M171" s="330"/>
      <c r="N171" s="331"/>
      <c r="O171" s="338"/>
      <c r="P171" s="339"/>
      <c r="Q171" s="346"/>
      <c r="R171" s="347"/>
      <c r="S171" s="354"/>
      <c r="T171" s="355"/>
      <c r="U171" s="302"/>
    </row>
    <row r="172" spans="2:21" ht="14.1" customHeight="1" x14ac:dyDescent="0.15">
      <c r="B172" s="302"/>
      <c r="C172" s="325">
        <v>159</v>
      </c>
      <c r="D172" s="997"/>
      <c r="E172" s="998"/>
      <c r="F172" s="998"/>
      <c r="G172" s="998"/>
      <c r="H172" s="998"/>
      <c r="I172" s="998"/>
      <c r="J172" s="999"/>
      <c r="K172" s="302"/>
      <c r="L172" s="363"/>
      <c r="M172" s="330"/>
      <c r="N172" s="331"/>
      <c r="O172" s="338"/>
      <c r="P172" s="339"/>
      <c r="Q172" s="346"/>
      <c r="R172" s="347"/>
      <c r="S172" s="354"/>
      <c r="T172" s="355"/>
      <c r="U172" s="302"/>
    </row>
    <row r="173" spans="2:21" ht="14.1" customHeight="1" x14ac:dyDescent="0.15">
      <c r="B173" s="302"/>
      <c r="C173" s="325">
        <v>160</v>
      </c>
      <c r="D173" s="997"/>
      <c r="E173" s="998"/>
      <c r="F173" s="998"/>
      <c r="G173" s="998"/>
      <c r="H173" s="998"/>
      <c r="I173" s="998"/>
      <c r="J173" s="999"/>
      <c r="K173" s="302"/>
      <c r="L173" s="363"/>
      <c r="M173" s="330"/>
      <c r="N173" s="331"/>
      <c r="O173" s="338"/>
      <c r="P173" s="339"/>
      <c r="Q173" s="346"/>
      <c r="R173" s="347"/>
      <c r="S173" s="354"/>
      <c r="T173" s="355"/>
      <c r="U173" s="302"/>
    </row>
    <row r="174" spans="2:21" ht="14.1" customHeight="1" x14ac:dyDescent="0.15">
      <c r="B174" s="302"/>
      <c r="C174" s="325">
        <v>161</v>
      </c>
      <c r="D174" s="997"/>
      <c r="E174" s="998"/>
      <c r="F174" s="998"/>
      <c r="G174" s="998"/>
      <c r="H174" s="998"/>
      <c r="I174" s="998"/>
      <c r="J174" s="999"/>
      <c r="K174" s="302"/>
      <c r="L174" s="363"/>
      <c r="M174" s="330"/>
      <c r="N174" s="331"/>
      <c r="O174" s="338"/>
      <c r="P174" s="339"/>
      <c r="Q174" s="346"/>
      <c r="R174" s="347"/>
      <c r="S174" s="354"/>
      <c r="T174" s="355"/>
      <c r="U174" s="302"/>
    </row>
    <row r="175" spans="2:21" ht="14.1" customHeight="1" x14ac:dyDescent="0.15">
      <c r="B175" s="302"/>
      <c r="C175" s="325">
        <v>162</v>
      </c>
      <c r="D175" s="997"/>
      <c r="E175" s="998"/>
      <c r="F175" s="998"/>
      <c r="G175" s="998"/>
      <c r="H175" s="998"/>
      <c r="I175" s="998"/>
      <c r="J175" s="999"/>
      <c r="K175" s="302"/>
      <c r="L175" s="363"/>
      <c r="M175" s="330"/>
      <c r="N175" s="331"/>
      <c r="O175" s="338"/>
      <c r="P175" s="339"/>
      <c r="Q175" s="346"/>
      <c r="R175" s="347"/>
      <c r="S175" s="354"/>
      <c r="T175" s="355"/>
      <c r="U175" s="302"/>
    </row>
    <row r="176" spans="2:21" ht="14.1" customHeight="1" x14ac:dyDescent="0.15">
      <c r="B176" s="302"/>
      <c r="C176" s="325">
        <v>163</v>
      </c>
      <c r="D176" s="997"/>
      <c r="E176" s="998"/>
      <c r="F176" s="998"/>
      <c r="G176" s="998"/>
      <c r="H176" s="998"/>
      <c r="I176" s="998"/>
      <c r="J176" s="999"/>
      <c r="K176" s="302"/>
      <c r="L176" s="363"/>
      <c r="M176" s="330"/>
      <c r="N176" s="331"/>
      <c r="O176" s="338"/>
      <c r="P176" s="339"/>
      <c r="Q176" s="346"/>
      <c r="R176" s="347"/>
      <c r="S176" s="354"/>
      <c r="T176" s="355"/>
      <c r="U176" s="302"/>
    </row>
    <row r="177" spans="2:21" ht="14.1" customHeight="1" x14ac:dyDescent="0.15">
      <c r="B177" s="302"/>
      <c r="C177" s="325">
        <v>164</v>
      </c>
      <c r="D177" s="997"/>
      <c r="E177" s="998"/>
      <c r="F177" s="998"/>
      <c r="G177" s="998"/>
      <c r="H177" s="998"/>
      <c r="I177" s="998"/>
      <c r="J177" s="999"/>
      <c r="K177" s="302"/>
      <c r="L177" s="363"/>
      <c r="M177" s="330"/>
      <c r="N177" s="331"/>
      <c r="O177" s="338"/>
      <c r="P177" s="339"/>
      <c r="Q177" s="346"/>
      <c r="R177" s="347"/>
      <c r="S177" s="354"/>
      <c r="T177" s="355"/>
      <c r="U177" s="302"/>
    </row>
    <row r="178" spans="2:21" ht="14.1" customHeight="1" x14ac:dyDescent="0.15">
      <c r="B178" s="302"/>
      <c r="C178" s="325">
        <v>165</v>
      </c>
      <c r="D178" s="997"/>
      <c r="E178" s="998"/>
      <c r="F178" s="998"/>
      <c r="G178" s="998"/>
      <c r="H178" s="998"/>
      <c r="I178" s="998"/>
      <c r="J178" s="999"/>
      <c r="K178" s="302"/>
      <c r="L178" s="363"/>
      <c r="M178" s="330"/>
      <c r="N178" s="331"/>
      <c r="O178" s="338"/>
      <c r="P178" s="339"/>
      <c r="Q178" s="346"/>
      <c r="R178" s="347"/>
      <c r="S178" s="354"/>
      <c r="T178" s="355"/>
      <c r="U178" s="302"/>
    </row>
    <row r="179" spans="2:21" ht="14.1" customHeight="1" x14ac:dyDescent="0.15">
      <c r="B179" s="302"/>
      <c r="C179" s="325">
        <v>166</v>
      </c>
      <c r="D179" s="997"/>
      <c r="E179" s="998"/>
      <c r="F179" s="998"/>
      <c r="G179" s="998"/>
      <c r="H179" s="998"/>
      <c r="I179" s="998"/>
      <c r="J179" s="999"/>
      <c r="K179" s="302"/>
      <c r="L179" s="363"/>
      <c r="M179" s="330"/>
      <c r="N179" s="331"/>
      <c r="O179" s="338"/>
      <c r="P179" s="339"/>
      <c r="Q179" s="346"/>
      <c r="R179" s="347"/>
      <c r="S179" s="354"/>
      <c r="T179" s="355"/>
      <c r="U179" s="302"/>
    </row>
    <row r="180" spans="2:21" ht="14.1" customHeight="1" x14ac:dyDescent="0.15">
      <c r="B180" s="302"/>
      <c r="C180" s="325">
        <v>167</v>
      </c>
      <c r="D180" s="997"/>
      <c r="E180" s="998"/>
      <c r="F180" s="998"/>
      <c r="G180" s="998"/>
      <c r="H180" s="998"/>
      <c r="I180" s="998"/>
      <c r="J180" s="999"/>
      <c r="K180" s="302"/>
      <c r="L180" s="363"/>
      <c r="M180" s="330"/>
      <c r="N180" s="331"/>
      <c r="O180" s="338"/>
      <c r="P180" s="339"/>
      <c r="Q180" s="346"/>
      <c r="R180" s="347"/>
      <c r="S180" s="354"/>
      <c r="T180" s="355"/>
      <c r="U180" s="302"/>
    </row>
    <row r="181" spans="2:21" ht="14.1" customHeight="1" x14ac:dyDescent="0.15">
      <c r="B181" s="302"/>
      <c r="C181" s="325">
        <v>168</v>
      </c>
      <c r="D181" s="997"/>
      <c r="E181" s="998"/>
      <c r="F181" s="998"/>
      <c r="G181" s="998"/>
      <c r="H181" s="998"/>
      <c r="I181" s="998"/>
      <c r="J181" s="999"/>
      <c r="K181" s="302"/>
      <c r="L181" s="363"/>
      <c r="M181" s="330"/>
      <c r="N181" s="331"/>
      <c r="O181" s="338"/>
      <c r="P181" s="339"/>
      <c r="Q181" s="346"/>
      <c r="R181" s="347"/>
      <c r="S181" s="354"/>
      <c r="T181" s="355"/>
      <c r="U181" s="302"/>
    </row>
    <row r="182" spans="2:21" ht="14.1" customHeight="1" x14ac:dyDescent="0.15">
      <c r="B182" s="302"/>
      <c r="C182" s="325">
        <v>169</v>
      </c>
      <c r="D182" s="997"/>
      <c r="E182" s="998"/>
      <c r="F182" s="998"/>
      <c r="G182" s="998"/>
      <c r="H182" s="998"/>
      <c r="I182" s="998"/>
      <c r="J182" s="999"/>
      <c r="K182" s="302"/>
      <c r="L182" s="363"/>
      <c r="M182" s="330"/>
      <c r="N182" s="331"/>
      <c r="O182" s="338"/>
      <c r="P182" s="339"/>
      <c r="Q182" s="346"/>
      <c r="R182" s="347"/>
      <c r="S182" s="354"/>
      <c r="T182" s="355"/>
      <c r="U182" s="302"/>
    </row>
    <row r="183" spans="2:21" ht="14.1" customHeight="1" x14ac:dyDescent="0.15">
      <c r="B183" s="302"/>
      <c r="C183" s="325">
        <v>170</v>
      </c>
      <c r="D183" s="997"/>
      <c r="E183" s="998"/>
      <c r="F183" s="998"/>
      <c r="G183" s="998"/>
      <c r="H183" s="998"/>
      <c r="I183" s="998"/>
      <c r="J183" s="999"/>
      <c r="K183" s="302"/>
      <c r="L183" s="363"/>
      <c r="M183" s="330"/>
      <c r="N183" s="331"/>
      <c r="O183" s="338"/>
      <c r="P183" s="339"/>
      <c r="Q183" s="346"/>
      <c r="R183" s="347"/>
      <c r="S183" s="354"/>
      <c r="T183" s="355"/>
      <c r="U183" s="302"/>
    </row>
    <row r="184" spans="2:21" ht="14.1" customHeight="1" x14ac:dyDescent="0.15">
      <c r="B184" s="302"/>
      <c r="C184" s="325">
        <v>171</v>
      </c>
      <c r="D184" s="997"/>
      <c r="E184" s="998"/>
      <c r="F184" s="998"/>
      <c r="G184" s="998"/>
      <c r="H184" s="998"/>
      <c r="I184" s="998"/>
      <c r="J184" s="999"/>
      <c r="K184" s="302"/>
      <c r="L184" s="363"/>
      <c r="M184" s="330"/>
      <c r="N184" s="331"/>
      <c r="O184" s="338"/>
      <c r="P184" s="339"/>
      <c r="Q184" s="346"/>
      <c r="R184" s="347"/>
      <c r="S184" s="354"/>
      <c r="T184" s="355"/>
      <c r="U184" s="302"/>
    </row>
    <row r="185" spans="2:21" ht="14.1" customHeight="1" x14ac:dyDescent="0.15">
      <c r="B185" s="302"/>
      <c r="C185" s="325">
        <v>172</v>
      </c>
      <c r="D185" s="997"/>
      <c r="E185" s="998"/>
      <c r="F185" s="998"/>
      <c r="G185" s="998"/>
      <c r="H185" s="998"/>
      <c r="I185" s="998"/>
      <c r="J185" s="999"/>
      <c r="K185" s="302"/>
      <c r="L185" s="363"/>
      <c r="M185" s="330"/>
      <c r="N185" s="331"/>
      <c r="O185" s="338"/>
      <c r="P185" s="339"/>
      <c r="Q185" s="346"/>
      <c r="R185" s="347"/>
      <c r="S185" s="354"/>
      <c r="T185" s="355"/>
      <c r="U185" s="302"/>
    </row>
    <row r="186" spans="2:21" ht="14.1" customHeight="1" x14ac:dyDescent="0.15">
      <c r="B186" s="302"/>
      <c r="C186" s="325">
        <v>173</v>
      </c>
      <c r="D186" s="997"/>
      <c r="E186" s="998"/>
      <c r="F186" s="998"/>
      <c r="G186" s="998"/>
      <c r="H186" s="998"/>
      <c r="I186" s="998"/>
      <c r="J186" s="999"/>
      <c r="K186" s="302"/>
      <c r="L186" s="363"/>
      <c r="M186" s="330"/>
      <c r="N186" s="331"/>
      <c r="O186" s="338"/>
      <c r="P186" s="339"/>
      <c r="Q186" s="346"/>
      <c r="R186" s="347"/>
      <c r="S186" s="354"/>
      <c r="T186" s="355"/>
      <c r="U186" s="302"/>
    </row>
    <row r="187" spans="2:21" ht="14.1" customHeight="1" x14ac:dyDescent="0.15">
      <c r="B187" s="302"/>
      <c r="C187" s="325">
        <v>174</v>
      </c>
      <c r="D187" s="997"/>
      <c r="E187" s="998"/>
      <c r="F187" s="998"/>
      <c r="G187" s="998"/>
      <c r="H187" s="998"/>
      <c r="I187" s="998"/>
      <c r="J187" s="999"/>
      <c r="K187" s="302"/>
      <c r="L187" s="363"/>
      <c r="M187" s="330"/>
      <c r="N187" s="331"/>
      <c r="O187" s="338"/>
      <c r="P187" s="339"/>
      <c r="Q187" s="346"/>
      <c r="R187" s="347"/>
      <c r="S187" s="354"/>
      <c r="T187" s="355"/>
      <c r="U187" s="302"/>
    </row>
    <row r="188" spans="2:21" ht="14.1" customHeight="1" x14ac:dyDescent="0.15">
      <c r="B188" s="302"/>
      <c r="C188" s="325">
        <v>175</v>
      </c>
      <c r="D188" s="997"/>
      <c r="E188" s="998"/>
      <c r="F188" s="998"/>
      <c r="G188" s="998"/>
      <c r="H188" s="998"/>
      <c r="I188" s="998"/>
      <c r="J188" s="999"/>
      <c r="K188" s="302"/>
      <c r="L188" s="363"/>
      <c r="M188" s="330"/>
      <c r="N188" s="331"/>
      <c r="O188" s="338"/>
      <c r="P188" s="339"/>
      <c r="Q188" s="346"/>
      <c r="R188" s="347"/>
      <c r="S188" s="354"/>
      <c r="T188" s="355"/>
      <c r="U188" s="302"/>
    </row>
    <row r="189" spans="2:21" ht="14.1" customHeight="1" x14ac:dyDescent="0.15">
      <c r="B189" s="302"/>
      <c r="C189" s="325">
        <v>176</v>
      </c>
      <c r="D189" s="997"/>
      <c r="E189" s="998"/>
      <c r="F189" s="998"/>
      <c r="G189" s="998"/>
      <c r="H189" s="998"/>
      <c r="I189" s="998"/>
      <c r="J189" s="999"/>
      <c r="K189" s="302"/>
      <c r="L189" s="363"/>
      <c r="M189" s="330"/>
      <c r="N189" s="331"/>
      <c r="O189" s="338"/>
      <c r="P189" s="339"/>
      <c r="Q189" s="346"/>
      <c r="R189" s="347"/>
      <c r="S189" s="354"/>
      <c r="T189" s="355"/>
      <c r="U189" s="302"/>
    </row>
    <row r="190" spans="2:21" ht="14.1" customHeight="1" x14ac:dyDescent="0.15">
      <c r="B190" s="302"/>
      <c r="C190" s="325">
        <v>177</v>
      </c>
      <c r="D190" s="997"/>
      <c r="E190" s="998"/>
      <c r="F190" s="998"/>
      <c r="G190" s="998"/>
      <c r="H190" s="998"/>
      <c r="I190" s="998"/>
      <c r="J190" s="999"/>
      <c r="K190" s="302"/>
      <c r="L190" s="363"/>
      <c r="M190" s="330"/>
      <c r="N190" s="331"/>
      <c r="O190" s="338"/>
      <c r="P190" s="339"/>
      <c r="Q190" s="346"/>
      <c r="R190" s="347"/>
      <c r="S190" s="354"/>
      <c r="T190" s="355"/>
      <c r="U190" s="302"/>
    </row>
    <row r="191" spans="2:21" ht="14.1" customHeight="1" x14ac:dyDescent="0.15">
      <c r="B191" s="302"/>
      <c r="C191" s="325">
        <v>178</v>
      </c>
      <c r="D191" s="997"/>
      <c r="E191" s="998"/>
      <c r="F191" s="998"/>
      <c r="G191" s="998"/>
      <c r="H191" s="998"/>
      <c r="I191" s="998"/>
      <c r="J191" s="999"/>
      <c r="K191" s="302"/>
      <c r="L191" s="363"/>
      <c r="M191" s="330"/>
      <c r="N191" s="331"/>
      <c r="O191" s="338"/>
      <c r="P191" s="339"/>
      <c r="Q191" s="346"/>
      <c r="R191" s="347"/>
      <c r="S191" s="354"/>
      <c r="T191" s="355"/>
      <c r="U191" s="302"/>
    </row>
    <row r="192" spans="2:21" ht="14.1" customHeight="1" x14ac:dyDescent="0.15">
      <c r="B192" s="302"/>
      <c r="C192" s="325">
        <v>179</v>
      </c>
      <c r="D192" s="997"/>
      <c r="E192" s="998"/>
      <c r="F192" s="998"/>
      <c r="G192" s="998"/>
      <c r="H192" s="998"/>
      <c r="I192" s="998"/>
      <c r="J192" s="999"/>
      <c r="K192" s="302"/>
      <c r="L192" s="363"/>
      <c r="M192" s="330"/>
      <c r="N192" s="331"/>
      <c r="O192" s="338"/>
      <c r="P192" s="339"/>
      <c r="Q192" s="346"/>
      <c r="R192" s="347"/>
      <c r="S192" s="354"/>
      <c r="T192" s="355"/>
      <c r="U192" s="302"/>
    </row>
    <row r="193" spans="2:21" ht="14.1" customHeight="1" x14ac:dyDescent="0.15">
      <c r="B193" s="302"/>
      <c r="C193" s="325">
        <v>180</v>
      </c>
      <c r="D193" s="997"/>
      <c r="E193" s="998"/>
      <c r="F193" s="998"/>
      <c r="G193" s="998"/>
      <c r="H193" s="998"/>
      <c r="I193" s="998"/>
      <c r="J193" s="999"/>
      <c r="K193" s="302"/>
      <c r="L193" s="363"/>
      <c r="M193" s="330"/>
      <c r="N193" s="331"/>
      <c r="O193" s="338"/>
      <c r="P193" s="339"/>
      <c r="Q193" s="346"/>
      <c r="R193" s="347"/>
      <c r="S193" s="354"/>
      <c r="T193" s="355"/>
      <c r="U193" s="302"/>
    </row>
    <row r="194" spans="2:21" ht="14.1" customHeight="1" x14ac:dyDescent="0.15">
      <c r="B194" s="302"/>
      <c r="C194" s="325">
        <v>181</v>
      </c>
      <c r="D194" s="997"/>
      <c r="E194" s="998"/>
      <c r="F194" s="998"/>
      <c r="G194" s="998"/>
      <c r="H194" s="998"/>
      <c r="I194" s="998"/>
      <c r="J194" s="999"/>
      <c r="K194" s="302"/>
      <c r="L194" s="363"/>
      <c r="M194" s="330"/>
      <c r="N194" s="331"/>
      <c r="O194" s="338"/>
      <c r="P194" s="339"/>
      <c r="Q194" s="346"/>
      <c r="R194" s="347"/>
      <c r="S194" s="354"/>
      <c r="T194" s="355"/>
      <c r="U194" s="302"/>
    </row>
    <row r="195" spans="2:21" ht="14.1" customHeight="1" x14ac:dyDescent="0.15">
      <c r="B195" s="302"/>
      <c r="C195" s="325">
        <v>182</v>
      </c>
      <c r="D195" s="997"/>
      <c r="E195" s="998"/>
      <c r="F195" s="998"/>
      <c r="G195" s="998"/>
      <c r="H195" s="998"/>
      <c r="I195" s="998"/>
      <c r="J195" s="999"/>
      <c r="K195" s="302"/>
      <c r="L195" s="363"/>
      <c r="M195" s="330"/>
      <c r="N195" s="331"/>
      <c r="O195" s="338"/>
      <c r="P195" s="339"/>
      <c r="Q195" s="346"/>
      <c r="R195" s="347"/>
      <c r="S195" s="354"/>
      <c r="T195" s="355"/>
      <c r="U195" s="302"/>
    </row>
    <row r="196" spans="2:21" ht="14.1" customHeight="1" x14ac:dyDescent="0.15">
      <c r="B196" s="302"/>
      <c r="C196" s="325">
        <v>183</v>
      </c>
      <c r="D196" s="997"/>
      <c r="E196" s="998"/>
      <c r="F196" s="998"/>
      <c r="G196" s="998"/>
      <c r="H196" s="998"/>
      <c r="I196" s="998"/>
      <c r="J196" s="999"/>
      <c r="K196" s="302"/>
      <c r="L196" s="363"/>
      <c r="M196" s="330"/>
      <c r="N196" s="331"/>
      <c r="O196" s="338"/>
      <c r="P196" s="339"/>
      <c r="Q196" s="346"/>
      <c r="R196" s="347"/>
      <c r="S196" s="354"/>
      <c r="T196" s="355"/>
      <c r="U196" s="302"/>
    </row>
    <row r="197" spans="2:21" ht="14.1" customHeight="1" x14ac:dyDescent="0.15">
      <c r="B197" s="302"/>
      <c r="C197" s="325">
        <v>184</v>
      </c>
      <c r="D197" s="997"/>
      <c r="E197" s="998"/>
      <c r="F197" s="998"/>
      <c r="G197" s="998"/>
      <c r="H197" s="998"/>
      <c r="I197" s="998"/>
      <c r="J197" s="999"/>
      <c r="K197" s="302"/>
      <c r="L197" s="363"/>
      <c r="M197" s="330"/>
      <c r="N197" s="331"/>
      <c r="O197" s="338"/>
      <c r="P197" s="339"/>
      <c r="Q197" s="346"/>
      <c r="R197" s="347"/>
      <c r="S197" s="354"/>
      <c r="T197" s="355"/>
      <c r="U197" s="302"/>
    </row>
    <row r="198" spans="2:21" ht="14.1" customHeight="1" x14ac:dyDescent="0.15">
      <c r="B198" s="302"/>
      <c r="C198" s="325">
        <v>185</v>
      </c>
      <c r="D198" s="997"/>
      <c r="E198" s="998"/>
      <c r="F198" s="998"/>
      <c r="G198" s="998"/>
      <c r="H198" s="998"/>
      <c r="I198" s="998"/>
      <c r="J198" s="999"/>
      <c r="K198" s="302"/>
      <c r="L198" s="363"/>
      <c r="M198" s="330"/>
      <c r="N198" s="331"/>
      <c r="O198" s="338"/>
      <c r="P198" s="339"/>
      <c r="Q198" s="346"/>
      <c r="R198" s="347"/>
      <c r="S198" s="354"/>
      <c r="T198" s="355"/>
      <c r="U198" s="302"/>
    </row>
    <row r="199" spans="2:21" ht="14.1" customHeight="1" x14ac:dyDescent="0.15">
      <c r="B199" s="302"/>
      <c r="C199" s="325">
        <v>186</v>
      </c>
      <c r="D199" s="997"/>
      <c r="E199" s="998"/>
      <c r="F199" s="998"/>
      <c r="G199" s="998"/>
      <c r="H199" s="998"/>
      <c r="I199" s="998"/>
      <c r="J199" s="999"/>
      <c r="K199" s="302"/>
      <c r="L199" s="363"/>
      <c r="M199" s="330"/>
      <c r="N199" s="331"/>
      <c r="O199" s="338"/>
      <c r="P199" s="339"/>
      <c r="Q199" s="346"/>
      <c r="R199" s="347"/>
      <c r="S199" s="354"/>
      <c r="T199" s="355"/>
      <c r="U199" s="302"/>
    </row>
    <row r="200" spans="2:21" ht="14.1" customHeight="1" x14ac:dyDescent="0.15">
      <c r="B200" s="302"/>
      <c r="C200" s="325">
        <v>187</v>
      </c>
      <c r="D200" s="997"/>
      <c r="E200" s="998"/>
      <c r="F200" s="998"/>
      <c r="G200" s="998"/>
      <c r="H200" s="998"/>
      <c r="I200" s="998"/>
      <c r="J200" s="999"/>
      <c r="K200" s="302"/>
      <c r="L200" s="363"/>
      <c r="M200" s="330"/>
      <c r="N200" s="331"/>
      <c r="O200" s="338"/>
      <c r="P200" s="339"/>
      <c r="Q200" s="346"/>
      <c r="R200" s="347"/>
      <c r="S200" s="354"/>
      <c r="T200" s="355"/>
      <c r="U200" s="302"/>
    </row>
    <row r="201" spans="2:21" ht="14.1" customHeight="1" x14ac:dyDescent="0.15">
      <c r="B201" s="302"/>
      <c r="C201" s="325">
        <v>188</v>
      </c>
      <c r="D201" s="997"/>
      <c r="E201" s="998"/>
      <c r="F201" s="998"/>
      <c r="G201" s="998"/>
      <c r="H201" s="998"/>
      <c r="I201" s="998"/>
      <c r="J201" s="999"/>
      <c r="K201" s="302"/>
      <c r="L201" s="363"/>
      <c r="M201" s="330"/>
      <c r="N201" s="331"/>
      <c r="O201" s="338"/>
      <c r="P201" s="339"/>
      <c r="Q201" s="346"/>
      <c r="R201" s="347"/>
      <c r="S201" s="354"/>
      <c r="T201" s="355"/>
      <c r="U201" s="302"/>
    </row>
    <row r="202" spans="2:21" ht="14.1" customHeight="1" x14ac:dyDescent="0.15">
      <c r="B202" s="302"/>
      <c r="C202" s="325">
        <v>189</v>
      </c>
      <c r="D202" s="997"/>
      <c r="E202" s="998"/>
      <c r="F202" s="998"/>
      <c r="G202" s="998"/>
      <c r="H202" s="998"/>
      <c r="I202" s="998"/>
      <c r="J202" s="999"/>
      <c r="K202" s="302"/>
      <c r="L202" s="363"/>
      <c r="M202" s="330"/>
      <c r="N202" s="331"/>
      <c r="O202" s="338"/>
      <c r="P202" s="339"/>
      <c r="Q202" s="346"/>
      <c r="R202" s="347"/>
      <c r="S202" s="354"/>
      <c r="T202" s="355"/>
      <c r="U202" s="302"/>
    </row>
    <row r="203" spans="2:21" ht="14.1" customHeight="1" x14ac:dyDescent="0.15">
      <c r="B203" s="302"/>
      <c r="C203" s="325">
        <v>190</v>
      </c>
      <c r="D203" s="997"/>
      <c r="E203" s="998"/>
      <c r="F203" s="998"/>
      <c r="G203" s="998"/>
      <c r="H203" s="998"/>
      <c r="I203" s="998"/>
      <c r="J203" s="999"/>
      <c r="K203" s="302"/>
      <c r="L203" s="363"/>
      <c r="M203" s="330"/>
      <c r="N203" s="331"/>
      <c r="O203" s="338"/>
      <c r="P203" s="339"/>
      <c r="Q203" s="346"/>
      <c r="R203" s="347"/>
      <c r="S203" s="354"/>
      <c r="T203" s="355"/>
      <c r="U203" s="302"/>
    </row>
    <row r="204" spans="2:21" ht="14.1" customHeight="1" x14ac:dyDescent="0.15">
      <c r="B204" s="302"/>
      <c r="C204" s="325">
        <v>191</v>
      </c>
      <c r="D204" s="997"/>
      <c r="E204" s="998"/>
      <c r="F204" s="998"/>
      <c r="G204" s="998"/>
      <c r="H204" s="998"/>
      <c r="I204" s="998"/>
      <c r="J204" s="999"/>
      <c r="K204" s="302"/>
      <c r="L204" s="363"/>
      <c r="M204" s="330"/>
      <c r="N204" s="331"/>
      <c r="O204" s="338"/>
      <c r="P204" s="339"/>
      <c r="Q204" s="346"/>
      <c r="R204" s="347"/>
      <c r="S204" s="354"/>
      <c r="T204" s="355"/>
      <c r="U204" s="302"/>
    </row>
    <row r="205" spans="2:21" ht="14.1" customHeight="1" x14ac:dyDescent="0.15">
      <c r="B205" s="302"/>
      <c r="C205" s="325">
        <v>192</v>
      </c>
      <c r="D205" s="997"/>
      <c r="E205" s="998"/>
      <c r="F205" s="998"/>
      <c r="G205" s="998"/>
      <c r="H205" s="998"/>
      <c r="I205" s="998"/>
      <c r="J205" s="999"/>
      <c r="K205" s="302"/>
      <c r="L205" s="363"/>
      <c r="M205" s="330"/>
      <c r="N205" s="331"/>
      <c r="O205" s="338"/>
      <c r="P205" s="339"/>
      <c r="Q205" s="346"/>
      <c r="R205" s="347"/>
      <c r="S205" s="354"/>
      <c r="T205" s="355"/>
      <c r="U205" s="302"/>
    </row>
    <row r="206" spans="2:21" ht="14.1" customHeight="1" x14ac:dyDescent="0.15">
      <c r="B206" s="302"/>
      <c r="C206" s="325">
        <v>193</v>
      </c>
      <c r="D206" s="997"/>
      <c r="E206" s="998"/>
      <c r="F206" s="998"/>
      <c r="G206" s="998"/>
      <c r="H206" s="998"/>
      <c r="I206" s="998"/>
      <c r="J206" s="999"/>
      <c r="K206" s="302"/>
      <c r="L206" s="363"/>
      <c r="M206" s="330"/>
      <c r="N206" s="331"/>
      <c r="O206" s="338"/>
      <c r="P206" s="339"/>
      <c r="Q206" s="346"/>
      <c r="R206" s="347"/>
      <c r="S206" s="354"/>
      <c r="T206" s="355"/>
      <c r="U206" s="302"/>
    </row>
    <row r="207" spans="2:21" ht="14.1" customHeight="1" x14ac:dyDescent="0.15">
      <c r="B207" s="302"/>
      <c r="C207" s="325">
        <v>194</v>
      </c>
      <c r="D207" s="997"/>
      <c r="E207" s="998"/>
      <c r="F207" s="998"/>
      <c r="G207" s="998"/>
      <c r="H207" s="998"/>
      <c r="I207" s="998"/>
      <c r="J207" s="999"/>
      <c r="K207" s="302"/>
      <c r="L207" s="363"/>
      <c r="M207" s="330"/>
      <c r="N207" s="331"/>
      <c r="O207" s="338"/>
      <c r="P207" s="339"/>
      <c r="Q207" s="346"/>
      <c r="R207" s="347"/>
      <c r="S207" s="354"/>
      <c r="T207" s="355"/>
      <c r="U207" s="302"/>
    </row>
    <row r="208" spans="2:21" ht="14.1" customHeight="1" x14ac:dyDescent="0.15">
      <c r="B208" s="302"/>
      <c r="C208" s="325">
        <v>195</v>
      </c>
      <c r="D208" s="997"/>
      <c r="E208" s="998"/>
      <c r="F208" s="998"/>
      <c r="G208" s="998"/>
      <c r="H208" s="998"/>
      <c r="I208" s="998"/>
      <c r="J208" s="999"/>
      <c r="K208" s="302"/>
      <c r="L208" s="363"/>
      <c r="M208" s="330"/>
      <c r="N208" s="331"/>
      <c r="O208" s="338"/>
      <c r="P208" s="339"/>
      <c r="Q208" s="346"/>
      <c r="R208" s="347"/>
      <c r="S208" s="354"/>
      <c r="T208" s="355"/>
      <c r="U208" s="302"/>
    </row>
    <row r="209" spans="2:21" ht="14.1" customHeight="1" x14ac:dyDescent="0.15">
      <c r="B209" s="302"/>
      <c r="C209" s="325">
        <v>196</v>
      </c>
      <c r="D209" s="997"/>
      <c r="E209" s="998"/>
      <c r="F209" s="998"/>
      <c r="G209" s="998"/>
      <c r="H209" s="998"/>
      <c r="I209" s="998"/>
      <c r="J209" s="999"/>
      <c r="K209" s="302"/>
      <c r="L209" s="363"/>
      <c r="M209" s="330"/>
      <c r="N209" s="331"/>
      <c r="O209" s="338"/>
      <c r="P209" s="339"/>
      <c r="Q209" s="346"/>
      <c r="R209" s="347"/>
      <c r="S209" s="354"/>
      <c r="T209" s="355"/>
      <c r="U209" s="302"/>
    </row>
    <row r="210" spans="2:21" ht="14.1" customHeight="1" x14ac:dyDescent="0.15">
      <c r="B210" s="302"/>
      <c r="C210" s="325">
        <v>197</v>
      </c>
      <c r="D210" s="997"/>
      <c r="E210" s="998"/>
      <c r="F210" s="998"/>
      <c r="G210" s="998"/>
      <c r="H210" s="998"/>
      <c r="I210" s="998"/>
      <c r="J210" s="999"/>
      <c r="K210" s="302"/>
      <c r="L210" s="363"/>
      <c r="M210" s="330"/>
      <c r="N210" s="331"/>
      <c r="O210" s="338"/>
      <c r="P210" s="339"/>
      <c r="Q210" s="346"/>
      <c r="R210" s="347"/>
      <c r="S210" s="354"/>
      <c r="T210" s="355"/>
      <c r="U210" s="302"/>
    </row>
    <row r="211" spans="2:21" ht="14.1" customHeight="1" x14ac:dyDescent="0.15">
      <c r="B211" s="302"/>
      <c r="C211" s="325">
        <v>198</v>
      </c>
      <c r="D211" s="997"/>
      <c r="E211" s="998"/>
      <c r="F211" s="998"/>
      <c r="G211" s="998"/>
      <c r="H211" s="998"/>
      <c r="I211" s="998"/>
      <c r="J211" s="999"/>
      <c r="K211" s="302"/>
      <c r="L211" s="363"/>
      <c r="M211" s="330"/>
      <c r="N211" s="331"/>
      <c r="O211" s="338"/>
      <c r="P211" s="339"/>
      <c r="Q211" s="346"/>
      <c r="R211" s="347"/>
      <c r="S211" s="354"/>
      <c r="T211" s="355"/>
      <c r="U211" s="302"/>
    </row>
    <row r="212" spans="2:21" ht="14.1" customHeight="1" x14ac:dyDescent="0.15">
      <c r="B212" s="302"/>
      <c r="C212" s="325">
        <v>199</v>
      </c>
      <c r="D212" s="997"/>
      <c r="E212" s="998"/>
      <c r="F212" s="998"/>
      <c r="G212" s="998"/>
      <c r="H212" s="998"/>
      <c r="I212" s="998"/>
      <c r="J212" s="999"/>
      <c r="K212" s="302"/>
      <c r="L212" s="363"/>
      <c r="M212" s="330"/>
      <c r="N212" s="331"/>
      <c r="O212" s="338"/>
      <c r="P212" s="339"/>
      <c r="Q212" s="346"/>
      <c r="R212" s="347"/>
      <c r="S212" s="354"/>
      <c r="T212" s="355"/>
      <c r="U212" s="302"/>
    </row>
    <row r="213" spans="2:21" ht="14.1" customHeight="1" x14ac:dyDescent="0.15">
      <c r="B213" s="302"/>
      <c r="C213" s="325">
        <v>200</v>
      </c>
      <c r="D213" s="997"/>
      <c r="E213" s="998"/>
      <c r="F213" s="998"/>
      <c r="G213" s="998"/>
      <c r="H213" s="998"/>
      <c r="I213" s="998"/>
      <c r="J213" s="999"/>
      <c r="K213" s="302"/>
      <c r="L213" s="363"/>
      <c r="M213" s="330"/>
      <c r="N213" s="331"/>
      <c r="O213" s="338"/>
      <c r="P213" s="339"/>
      <c r="Q213" s="346"/>
      <c r="R213" s="347"/>
      <c r="S213" s="354"/>
      <c r="T213" s="355"/>
      <c r="U213" s="302"/>
    </row>
    <row r="214" spans="2:21" ht="14.1" customHeight="1" x14ac:dyDescent="0.15">
      <c r="B214" s="302"/>
      <c r="C214" s="325">
        <v>201</v>
      </c>
      <c r="D214" s="997"/>
      <c r="E214" s="998"/>
      <c r="F214" s="998"/>
      <c r="G214" s="998"/>
      <c r="H214" s="998"/>
      <c r="I214" s="998"/>
      <c r="J214" s="999"/>
      <c r="K214" s="302"/>
      <c r="L214" s="363"/>
      <c r="M214" s="330"/>
      <c r="N214" s="331"/>
      <c r="O214" s="338"/>
      <c r="P214" s="339"/>
      <c r="Q214" s="346"/>
      <c r="R214" s="347"/>
      <c r="S214" s="354"/>
      <c r="T214" s="355"/>
      <c r="U214" s="302"/>
    </row>
    <row r="215" spans="2:21" ht="14.1" customHeight="1" x14ac:dyDescent="0.15">
      <c r="B215" s="302"/>
      <c r="C215" s="325">
        <v>202</v>
      </c>
      <c r="D215" s="997"/>
      <c r="E215" s="998"/>
      <c r="F215" s="998"/>
      <c r="G215" s="998"/>
      <c r="H215" s="998"/>
      <c r="I215" s="998"/>
      <c r="J215" s="999"/>
      <c r="K215" s="302"/>
      <c r="L215" s="363"/>
      <c r="M215" s="330"/>
      <c r="N215" s="331"/>
      <c r="O215" s="338"/>
      <c r="P215" s="339"/>
      <c r="Q215" s="346"/>
      <c r="R215" s="347"/>
      <c r="S215" s="354"/>
      <c r="T215" s="355"/>
      <c r="U215" s="302"/>
    </row>
    <row r="216" spans="2:21" ht="14.1" customHeight="1" x14ac:dyDescent="0.15">
      <c r="B216" s="302"/>
      <c r="C216" s="325">
        <v>203</v>
      </c>
      <c r="D216" s="997"/>
      <c r="E216" s="998"/>
      <c r="F216" s="998"/>
      <c r="G216" s="998"/>
      <c r="H216" s="998"/>
      <c r="I216" s="998"/>
      <c r="J216" s="999"/>
      <c r="K216" s="302"/>
      <c r="L216" s="363"/>
      <c r="M216" s="330"/>
      <c r="N216" s="331"/>
      <c r="O216" s="338"/>
      <c r="P216" s="339"/>
      <c r="Q216" s="346"/>
      <c r="R216" s="347"/>
      <c r="S216" s="354"/>
      <c r="T216" s="355"/>
      <c r="U216" s="302"/>
    </row>
    <row r="217" spans="2:21" ht="14.1" customHeight="1" x14ac:dyDescent="0.15">
      <c r="B217" s="302"/>
      <c r="C217" s="325">
        <v>204</v>
      </c>
      <c r="D217" s="997"/>
      <c r="E217" s="998"/>
      <c r="F217" s="998"/>
      <c r="G217" s="998"/>
      <c r="H217" s="998"/>
      <c r="I217" s="998"/>
      <c r="J217" s="999"/>
      <c r="K217" s="302"/>
      <c r="L217" s="363"/>
      <c r="M217" s="330"/>
      <c r="N217" s="331"/>
      <c r="O217" s="338"/>
      <c r="P217" s="339"/>
      <c r="Q217" s="346"/>
      <c r="R217" s="347"/>
      <c r="S217" s="354"/>
      <c r="T217" s="355"/>
      <c r="U217" s="302"/>
    </row>
    <row r="218" spans="2:21" ht="14.1" customHeight="1" x14ac:dyDescent="0.15">
      <c r="B218" s="302"/>
      <c r="C218" s="325">
        <v>205</v>
      </c>
      <c r="D218" s="997"/>
      <c r="E218" s="998"/>
      <c r="F218" s="998"/>
      <c r="G218" s="998"/>
      <c r="H218" s="998"/>
      <c r="I218" s="998"/>
      <c r="J218" s="999"/>
      <c r="K218" s="302"/>
      <c r="L218" s="363"/>
      <c r="M218" s="330"/>
      <c r="N218" s="331"/>
      <c r="O218" s="338"/>
      <c r="P218" s="339"/>
      <c r="Q218" s="346"/>
      <c r="R218" s="347"/>
      <c r="S218" s="354"/>
      <c r="T218" s="355"/>
      <c r="U218" s="302"/>
    </row>
    <row r="219" spans="2:21" ht="14.1" customHeight="1" x14ac:dyDescent="0.15">
      <c r="B219" s="302"/>
      <c r="C219" s="325">
        <v>206</v>
      </c>
      <c r="D219" s="997"/>
      <c r="E219" s="998"/>
      <c r="F219" s="998"/>
      <c r="G219" s="998"/>
      <c r="H219" s="998"/>
      <c r="I219" s="998"/>
      <c r="J219" s="999"/>
      <c r="K219" s="302"/>
      <c r="L219" s="363"/>
      <c r="M219" s="330"/>
      <c r="N219" s="331"/>
      <c r="O219" s="338"/>
      <c r="P219" s="339"/>
      <c r="Q219" s="346"/>
      <c r="R219" s="347"/>
      <c r="S219" s="354"/>
      <c r="T219" s="355"/>
      <c r="U219" s="302"/>
    </row>
    <row r="220" spans="2:21" ht="14.1" customHeight="1" x14ac:dyDescent="0.15">
      <c r="B220" s="302"/>
      <c r="C220" s="325">
        <v>207</v>
      </c>
      <c r="D220" s="997"/>
      <c r="E220" s="998"/>
      <c r="F220" s="998"/>
      <c r="G220" s="998"/>
      <c r="H220" s="998"/>
      <c r="I220" s="998"/>
      <c r="J220" s="999"/>
      <c r="K220" s="302"/>
      <c r="L220" s="363"/>
      <c r="M220" s="330"/>
      <c r="N220" s="331"/>
      <c r="O220" s="338"/>
      <c r="P220" s="339"/>
      <c r="Q220" s="346"/>
      <c r="R220" s="347"/>
      <c r="S220" s="354"/>
      <c r="T220" s="355"/>
      <c r="U220" s="302"/>
    </row>
    <row r="221" spans="2:21" ht="14.1" customHeight="1" x14ac:dyDescent="0.15">
      <c r="B221" s="302"/>
      <c r="C221" s="325">
        <v>208</v>
      </c>
      <c r="D221" s="997"/>
      <c r="E221" s="998"/>
      <c r="F221" s="998"/>
      <c r="G221" s="998"/>
      <c r="H221" s="998"/>
      <c r="I221" s="998"/>
      <c r="J221" s="999"/>
      <c r="K221" s="302"/>
      <c r="L221" s="363"/>
      <c r="M221" s="330"/>
      <c r="N221" s="331"/>
      <c r="O221" s="338"/>
      <c r="P221" s="339"/>
      <c r="Q221" s="346"/>
      <c r="R221" s="347"/>
      <c r="S221" s="354"/>
      <c r="T221" s="355"/>
      <c r="U221" s="302"/>
    </row>
    <row r="222" spans="2:21" ht="14.1" customHeight="1" x14ac:dyDescent="0.15">
      <c r="B222" s="302"/>
      <c r="C222" s="325">
        <v>209</v>
      </c>
      <c r="D222" s="997"/>
      <c r="E222" s="998"/>
      <c r="F222" s="998"/>
      <c r="G222" s="998"/>
      <c r="H222" s="998"/>
      <c r="I222" s="998"/>
      <c r="J222" s="999"/>
      <c r="K222" s="302"/>
      <c r="L222" s="363"/>
      <c r="M222" s="330"/>
      <c r="N222" s="331"/>
      <c r="O222" s="338"/>
      <c r="P222" s="339"/>
      <c r="Q222" s="346"/>
      <c r="R222" s="347"/>
      <c r="S222" s="354"/>
      <c r="T222" s="355"/>
      <c r="U222" s="302"/>
    </row>
    <row r="223" spans="2:21" ht="14.1" customHeight="1" x14ac:dyDescent="0.15">
      <c r="B223" s="302"/>
      <c r="C223" s="325">
        <v>210</v>
      </c>
      <c r="D223" s="997"/>
      <c r="E223" s="998"/>
      <c r="F223" s="998"/>
      <c r="G223" s="998"/>
      <c r="H223" s="998"/>
      <c r="I223" s="998"/>
      <c r="J223" s="999"/>
      <c r="K223" s="302"/>
      <c r="L223" s="363"/>
      <c r="M223" s="330"/>
      <c r="N223" s="331"/>
      <c r="O223" s="338"/>
      <c r="P223" s="339"/>
      <c r="Q223" s="346"/>
      <c r="R223" s="347"/>
      <c r="S223" s="354"/>
      <c r="T223" s="355"/>
      <c r="U223" s="302"/>
    </row>
    <row r="224" spans="2:21" ht="14.1" customHeight="1" x14ac:dyDescent="0.15">
      <c r="B224" s="302"/>
      <c r="C224" s="325">
        <v>211</v>
      </c>
      <c r="D224" s="997"/>
      <c r="E224" s="998"/>
      <c r="F224" s="998"/>
      <c r="G224" s="998"/>
      <c r="H224" s="998"/>
      <c r="I224" s="998"/>
      <c r="J224" s="999"/>
      <c r="K224" s="302"/>
      <c r="L224" s="363"/>
      <c r="M224" s="330"/>
      <c r="N224" s="331"/>
      <c r="O224" s="338"/>
      <c r="P224" s="339"/>
      <c r="Q224" s="346"/>
      <c r="R224" s="347"/>
      <c r="S224" s="354"/>
      <c r="T224" s="355"/>
      <c r="U224" s="302"/>
    </row>
    <row r="225" spans="2:21" ht="14.1" customHeight="1" x14ac:dyDescent="0.15">
      <c r="B225" s="302"/>
      <c r="C225" s="325">
        <v>212</v>
      </c>
      <c r="D225" s="997"/>
      <c r="E225" s="998"/>
      <c r="F225" s="998"/>
      <c r="G225" s="998"/>
      <c r="H225" s="998"/>
      <c r="I225" s="998"/>
      <c r="J225" s="999"/>
      <c r="K225" s="302"/>
      <c r="L225" s="363"/>
      <c r="M225" s="330"/>
      <c r="N225" s="331"/>
      <c r="O225" s="338"/>
      <c r="P225" s="339"/>
      <c r="Q225" s="346"/>
      <c r="R225" s="347"/>
      <c r="S225" s="354"/>
      <c r="T225" s="355"/>
      <c r="U225" s="302"/>
    </row>
    <row r="226" spans="2:21" ht="14.1" customHeight="1" x14ac:dyDescent="0.15">
      <c r="B226" s="302"/>
      <c r="C226" s="325">
        <v>213</v>
      </c>
      <c r="D226" s="997"/>
      <c r="E226" s="998"/>
      <c r="F226" s="998"/>
      <c r="G226" s="998"/>
      <c r="H226" s="998"/>
      <c r="I226" s="998"/>
      <c r="J226" s="999"/>
      <c r="K226" s="302"/>
      <c r="L226" s="363"/>
      <c r="M226" s="330"/>
      <c r="N226" s="331"/>
      <c r="O226" s="338"/>
      <c r="P226" s="339"/>
      <c r="Q226" s="346"/>
      <c r="R226" s="347"/>
      <c r="S226" s="354"/>
      <c r="T226" s="355"/>
      <c r="U226" s="302"/>
    </row>
    <row r="227" spans="2:21" ht="14.1" customHeight="1" x14ac:dyDescent="0.15">
      <c r="B227" s="302"/>
      <c r="C227" s="325">
        <v>214</v>
      </c>
      <c r="D227" s="997"/>
      <c r="E227" s="998"/>
      <c r="F227" s="998"/>
      <c r="G227" s="998"/>
      <c r="H227" s="998"/>
      <c r="I227" s="998"/>
      <c r="J227" s="999"/>
      <c r="K227" s="302"/>
      <c r="L227" s="363"/>
      <c r="M227" s="330"/>
      <c r="N227" s="331"/>
      <c r="O227" s="338"/>
      <c r="P227" s="339"/>
      <c r="Q227" s="346"/>
      <c r="R227" s="347"/>
      <c r="S227" s="354"/>
      <c r="T227" s="355"/>
      <c r="U227" s="302"/>
    </row>
    <row r="228" spans="2:21" ht="14.1" customHeight="1" x14ac:dyDescent="0.15">
      <c r="B228" s="302"/>
      <c r="C228" s="325">
        <v>215</v>
      </c>
      <c r="D228" s="997"/>
      <c r="E228" s="998"/>
      <c r="F228" s="998"/>
      <c r="G228" s="998"/>
      <c r="H228" s="998"/>
      <c r="I228" s="998"/>
      <c r="J228" s="999"/>
      <c r="K228" s="302"/>
      <c r="L228" s="363"/>
      <c r="M228" s="330"/>
      <c r="N228" s="331"/>
      <c r="O228" s="338"/>
      <c r="P228" s="339"/>
      <c r="Q228" s="346"/>
      <c r="R228" s="347"/>
      <c r="S228" s="354"/>
      <c r="T228" s="355"/>
      <c r="U228" s="302"/>
    </row>
    <row r="229" spans="2:21" ht="14.1" customHeight="1" x14ac:dyDescent="0.15">
      <c r="B229" s="302"/>
      <c r="C229" s="325">
        <v>216</v>
      </c>
      <c r="D229" s="997"/>
      <c r="E229" s="998"/>
      <c r="F229" s="998"/>
      <c r="G229" s="998"/>
      <c r="H229" s="998"/>
      <c r="I229" s="998"/>
      <c r="J229" s="999"/>
      <c r="K229" s="302"/>
      <c r="L229" s="363"/>
      <c r="M229" s="330"/>
      <c r="N229" s="331"/>
      <c r="O229" s="338"/>
      <c r="P229" s="339"/>
      <c r="Q229" s="346"/>
      <c r="R229" s="347"/>
      <c r="S229" s="354"/>
      <c r="T229" s="355"/>
      <c r="U229" s="302"/>
    </row>
    <row r="230" spans="2:21" ht="14.1" customHeight="1" x14ac:dyDescent="0.15">
      <c r="B230" s="302"/>
      <c r="C230" s="325">
        <v>217</v>
      </c>
      <c r="D230" s="997"/>
      <c r="E230" s="998"/>
      <c r="F230" s="998"/>
      <c r="G230" s="998"/>
      <c r="H230" s="998"/>
      <c r="I230" s="998"/>
      <c r="J230" s="999"/>
      <c r="K230" s="302"/>
      <c r="L230" s="363"/>
      <c r="M230" s="330"/>
      <c r="N230" s="331"/>
      <c r="O230" s="338"/>
      <c r="P230" s="339"/>
      <c r="Q230" s="346"/>
      <c r="R230" s="347"/>
      <c r="S230" s="354"/>
      <c r="T230" s="355"/>
      <c r="U230" s="302"/>
    </row>
    <row r="231" spans="2:21" ht="14.1" customHeight="1" x14ac:dyDescent="0.15">
      <c r="B231" s="302"/>
      <c r="C231" s="325">
        <v>218</v>
      </c>
      <c r="D231" s="997"/>
      <c r="E231" s="998"/>
      <c r="F231" s="998"/>
      <c r="G231" s="998"/>
      <c r="H231" s="998"/>
      <c r="I231" s="998"/>
      <c r="J231" s="999"/>
      <c r="K231" s="302"/>
      <c r="L231" s="363"/>
      <c r="M231" s="330"/>
      <c r="N231" s="331"/>
      <c r="O231" s="338"/>
      <c r="P231" s="339"/>
      <c r="Q231" s="346"/>
      <c r="R231" s="347"/>
      <c r="S231" s="354"/>
      <c r="T231" s="355"/>
      <c r="U231" s="302"/>
    </row>
    <row r="232" spans="2:21" ht="14.1" customHeight="1" x14ac:dyDescent="0.15">
      <c r="B232" s="302"/>
      <c r="C232" s="325">
        <v>219</v>
      </c>
      <c r="D232" s="997"/>
      <c r="E232" s="998"/>
      <c r="F232" s="998"/>
      <c r="G232" s="998"/>
      <c r="H232" s="998"/>
      <c r="I232" s="998"/>
      <c r="J232" s="999"/>
      <c r="K232" s="302"/>
      <c r="L232" s="363"/>
      <c r="M232" s="330"/>
      <c r="N232" s="331"/>
      <c r="O232" s="338"/>
      <c r="P232" s="339"/>
      <c r="Q232" s="346"/>
      <c r="R232" s="347"/>
      <c r="S232" s="354"/>
      <c r="T232" s="355"/>
      <c r="U232" s="302"/>
    </row>
    <row r="233" spans="2:21" ht="14.1" customHeight="1" x14ac:dyDescent="0.15">
      <c r="B233" s="302"/>
      <c r="C233" s="325">
        <v>220</v>
      </c>
      <c r="D233" s="997"/>
      <c r="E233" s="998"/>
      <c r="F233" s="998"/>
      <c r="G233" s="998"/>
      <c r="H233" s="998"/>
      <c r="I233" s="998"/>
      <c r="J233" s="999"/>
      <c r="K233" s="302"/>
      <c r="L233" s="363"/>
      <c r="M233" s="330"/>
      <c r="N233" s="331"/>
      <c r="O233" s="338"/>
      <c r="P233" s="339"/>
      <c r="Q233" s="346"/>
      <c r="R233" s="347"/>
      <c r="S233" s="354"/>
      <c r="T233" s="355"/>
      <c r="U233" s="302"/>
    </row>
    <row r="234" spans="2:21" ht="14.1" customHeight="1" x14ac:dyDescent="0.15">
      <c r="B234" s="302"/>
      <c r="C234" s="325">
        <v>221</v>
      </c>
      <c r="D234" s="997"/>
      <c r="E234" s="998"/>
      <c r="F234" s="998"/>
      <c r="G234" s="998"/>
      <c r="H234" s="998"/>
      <c r="I234" s="998"/>
      <c r="J234" s="999"/>
      <c r="K234" s="302"/>
      <c r="L234" s="363"/>
      <c r="M234" s="330"/>
      <c r="N234" s="331"/>
      <c r="O234" s="338"/>
      <c r="P234" s="339"/>
      <c r="Q234" s="346"/>
      <c r="R234" s="347"/>
      <c r="S234" s="354"/>
      <c r="T234" s="355"/>
      <c r="U234" s="302"/>
    </row>
    <row r="235" spans="2:21" ht="14.1" customHeight="1" x14ac:dyDescent="0.15">
      <c r="B235" s="302"/>
      <c r="C235" s="325">
        <v>222</v>
      </c>
      <c r="D235" s="997"/>
      <c r="E235" s="998"/>
      <c r="F235" s="998"/>
      <c r="G235" s="998"/>
      <c r="H235" s="998"/>
      <c r="I235" s="998"/>
      <c r="J235" s="999"/>
      <c r="K235" s="302"/>
      <c r="L235" s="363"/>
      <c r="M235" s="330"/>
      <c r="N235" s="331"/>
      <c r="O235" s="338"/>
      <c r="P235" s="339"/>
      <c r="Q235" s="346"/>
      <c r="R235" s="347"/>
      <c r="S235" s="354"/>
      <c r="T235" s="355"/>
      <c r="U235" s="302"/>
    </row>
    <row r="236" spans="2:21" ht="14.1" customHeight="1" x14ac:dyDescent="0.15">
      <c r="B236" s="302"/>
      <c r="C236" s="325">
        <v>223</v>
      </c>
      <c r="D236" s="997"/>
      <c r="E236" s="998"/>
      <c r="F236" s="998"/>
      <c r="G236" s="998"/>
      <c r="H236" s="998"/>
      <c r="I236" s="998"/>
      <c r="J236" s="999"/>
      <c r="K236" s="302"/>
      <c r="L236" s="363"/>
      <c r="M236" s="330"/>
      <c r="N236" s="331"/>
      <c r="O236" s="338"/>
      <c r="P236" s="339"/>
      <c r="Q236" s="346"/>
      <c r="R236" s="347"/>
      <c r="S236" s="354"/>
      <c r="T236" s="355"/>
      <c r="U236" s="302"/>
    </row>
    <row r="237" spans="2:21" ht="14.1" customHeight="1" x14ac:dyDescent="0.15">
      <c r="B237" s="302"/>
      <c r="C237" s="325">
        <v>224</v>
      </c>
      <c r="D237" s="997"/>
      <c r="E237" s="998"/>
      <c r="F237" s="998"/>
      <c r="G237" s="998"/>
      <c r="H237" s="998"/>
      <c r="I237" s="998"/>
      <c r="J237" s="999"/>
      <c r="K237" s="302"/>
      <c r="L237" s="363"/>
      <c r="M237" s="330"/>
      <c r="N237" s="331"/>
      <c r="O237" s="338"/>
      <c r="P237" s="339"/>
      <c r="Q237" s="346"/>
      <c r="R237" s="347"/>
      <c r="S237" s="354"/>
      <c r="T237" s="355"/>
      <c r="U237" s="302"/>
    </row>
    <row r="238" spans="2:21" ht="14.1" customHeight="1" x14ac:dyDescent="0.15">
      <c r="B238" s="302"/>
      <c r="C238" s="325">
        <v>225</v>
      </c>
      <c r="D238" s="997"/>
      <c r="E238" s="998"/>
      <c r="F238" s="998"/>
      <c r="G238" s="998"/>
      <c r="H238" s="998"/>
      <c r="I238" s="998"/>
      <c r="J238" s="999"/>
      <c r="K238" s="302"/>
      <c r="L238" s="363"/>
      <c r="M238" s="330"/>
      <c r="N238" s="331"/>
      <c r="O238" s="338"/>
      <c r="P238" s="339"/>
      <c r="Q238" s="346"/>
      <c r="R238" s="347"/>
      <c r="S238" s="354"/>
      <c r="T238" s="355"/>
      <c r="U238" s="302"/>
    </row>
    <row r="239" spans="2:21" ht="14.1" customHeight="1" x14ac:dyDescent="0.15">
      <c r="B239" s="302"/>
      <c r="C239" s="325">
        <v>226</v>
      </c>
      <c r="D239" s="997"/>
      <c r="E239" s="998"/>
      <c r="F239" s="998"/>
      <c r="G239" s="998"/>
      <c r="H239" s="998"/>
      <c r="I239" s="998"/>
      <c r="J239" s="999"/>
      <c r="K239" s="302"/>
      <c r="L239" s="363"/>
      <c r="M239" s="330"/>
      <c r="N239" s="331"/>
      <c r="O239" s="338"/>
      <c r="P239" s="339"/>
      <c r="Q239" s="346"/>
      <c r="R239" s="347"/>
      <c r="S239" s="354"/>
      <c r="T239" s="355"/>
      <c r="U239" s="302"/>
    </row>
    <row r="240" spans="2:21" ht="14.1" customHeight="1" x14ac:dyDescent="0.15">
      <c r="B240" s="302"/>
      <c r="C240" s="325">
        <v>227</v>
      </c>
      <c r="D240" s="997"/>
      <c r="E240" s="998"/>
      <c r="F240" s="998"/>
      <c r="G240" s="998"/>
      <c r="H240" s="998"/>
      <c r="I240" s="998"/>
      <c r="J240" s="999"/>
      <c r="K240" s="302"/>
      <c r="L240" s="363"/>
      <c r="M240" s="330"/>
      <c r="N240" s="331"/>
      <c r="O240" s="338"/>
      <c r="P240" s="339"/>
      <c r="Q240" s="346"/>
      <c r="R240" s="347"/>
      <c r="S240" s="354"/>
      <c r="T240" s="355"/>
      <c r="U240" s="302"/>
    </row>
    <row r="241" spans="2:21" ht="14.1" customHeight="1" x14ac:dyDescent="0.15">
      <c r="B241" s="302"/>
      <c r="C241" s="325">
        <v>228</v>
      </c>
      <c r="D241" s="997"/>
      <c r="E241" s="998"/>
      <c r="F241" s="998"/>
      <c r="G241" s="998"/>
      <c r="H241" s="998"/>
      <c r="I241" s="998"/>
      <c r="J241" s="999"/>
      <c r="K241" s="302"/>
      <c r="L241" s="363"/>
      <c r="M241" s="330"/>
      <c r="N241" s="331"/>
      <c r="O241" s="338"/>
      <c r="P241" s="339"/>
      <c r="Q241" s="346"/>
      <c r="R241" s="347"/>
      <c r="S241" s="354"/>
      <c r="T241" s="355"/>
      <c r="U241" s="302"/>
    </row>
    <row r="242" spans="2:21" ht="14.1" customHeight="1" x14ac:dyDescent="0.15">
      <c r="B242" s="302"/>
      <c r="C242" s="325">
        <v>229</v>
      </c>
      <c r="D242" s="997"/>
      <c r="E242" s="998"/>
      <c r="F242" s="998"/>
      <c r="G242" s="998"/>
      <c r="H242" s="998"/>
      <c r="I242" s="998"/>
      <c r="J242" s="999"/>
      <c r="K242" s="302"/>
      <c r="L242" s="363"/>
      <c r="M242" s="330"/>
      <c r="N242" s="331"/>
      <c r="O242" s="338"/>
      <c r="P242" s="339"/>
      <c r="Q242" s="346"/>
      <c r="R242" s="347"/>
      <c r="S242" s="354"/>
      <c r="T242" s="355"/>
      <c r="U242" s="302"/>
    </row>
    <row r="243" spans="2:21" ht="14.1" customHeight="1" x14ac:dyDescent="0.15">
      <c r="B243" s="302"/>
      <c r="C243" s="325">
        <v>230</v>
      </c>
      <c r="D243" s="997"/>
      <c r="E243" s="998"/>
      <c r="F243" s="998"/>
      <c r="G243" s="998"/>
      <c r="H243" s="998"/>
      <c r="I243" s="998"/>
      <c r="J243" s="999"/>
      <c r="K243" s="302"/>
      <c r="L243" s="363"/>
      <c r="M243" s="330"/>
      <c r="N243" s="331"/>
      <c r="O243" s="338"/>
      <c r="P243" s="339"/>
      <c r="Q243" s="346"/>
      <c r="R243" s="347"/>
      <c r="S243" s="354"/>
      <c r="T243" s="355"/>
      <c r="U243" s="302"/>
    </row>
    <row r="244" spans="2:21" ht="14.1" customHeight="1" x14ac:dyDescent="0.15">
      <c r="B244" s="302"/>
      <c r="C244" s="325">
        <v>231</v>
      </c>
      <c r="D244" s="997"/>
      <c r="E244" s="998"/>
      <c r="F244" s="998"/>
      <c r="G244" s="998"/>
      <c r="H244" s="998"/>
      <c r="I244" s="998"/>
      <c r="J244" s="999"/>
      <c r="K244" s="302"/>
      <c r="L244" s="363"/>
      <c r="M244" s="330"/>
      <c r="N244" s="331"/>
      <c r="O244" s="338"/>
      <c r="P244" s="339"/>
      <c r="Q244" s="346"/>
      <c r="R244" s="347"/>
      <c r="S244" s="354"/>
      <c r="T244" s="355"/>
      <c r="U244" s="302"/>
    </row>
    <row r="245" spans="2:21" ht="14.1" customHeight="1" x14ac:dyDescent="0.15">
      <c r="B245" s="302"/>
      <c r="C245" s="325">
        <v>232</v>
      </c>
      <c r="D245" s="997"/>
      <c r="E245" s="998"/>
      <c r="F245" s="998"/>
      <c r="G245" s="998"/>
      <c r="H245" s="998"/>
      <c r="I245" s="998"/>
      <c r="J245" s="999"/>
      <c r="K245" s="302"/>
      <c r="L245" s="363"/>
      <c r="M245" s="330"/>
      <c r="N245" s="331"/>
      <c r="O245" s="338"/>
      <c r="P245" s="339"/>
      <c r="Q245" s="346"/>
      <c r="R245" s="347"/>
      <c r="S245" s="354"/>
      <c r="T245" s="355"/>
      <c r="U245" s="302"/>
    </row>
    <row r="246" spans="2:21" ht="14.1" customHeight="1" x14ac:dyDescent="0.15">
      <c r="B246" s="302"/>
      <c r="C246" s="325">
        <v>233</v>
      </c>
      <c r="D246" s="997"/>
      <c r="E246" s="998"/>
      <c r="F246" s="998"/>
      <c r="G246" s="998"/>
      <c r="H246" s="998"/>
      <c r="I246" s="998"/>
      <c r="J246" s="999"/>
      <c r="K246" s="302"/>
      <c r="L246" s="363"/>
      <c r="M246" s="330"/>
      <c r="N246" s="331"/>
      <c r="O246" s="338"/>
      <c r="P246" s="339"/>
      <c r="Q246" s="346"/>
      <c r="R246" s="347"/>
      <c r="S246" s="354"/>
      <c r="T246" s="355"/>
      <c r="U246" s="302"/>
    </row>
    <row r="247" spans="2:21" ht="14.1" customHeight="1" x14ac:dyDescent="0.15">
      <c r="B247" s="302"/>
      <c r="C247" s="325">
        <v>234</v>
      </c>
      <c r="D247" s="997"/>
      <c r="E247" s="998"/>
      <c r="F247" s="998"/>
      <c r="G247" s="998"/>
      <c r="H247" s="998"/>
      <c r="I247" s="998"/>
      <c r="J247" s="999"/>
      <c r="K247" s="302"/>
      <c r="L247" s="363"/>
      <c r="M247" s="330"/>
      <c r="N247" s="331"/>
      <c r="O247" s="338"/>
      <c r="P247" s="339"/>
      <c r="Q247" s="346"/>
      <c r="R247" s="347"/>
      <c r="S247" s="354"/>
      <c r="T247" s="355"/>
      <c r="U247" s="302"/>
    </row>
    <row r="248" spans="2:21" ht="14.1" customHeight="1" x14ac:dyDescent="0.15">
      <c r="B248" s="302"/>
      <c r="C248" s="325">
        <v>235</v>
      </c>
      <c r="D248" s="997"/>
      <c r="E248" s="998"/>
      <c r="F248" s="998"/>
      <c r="G248" s="998"/>
      <c r="H248" s="998"/>
      <c r="I248" s="998"/>
      <c r="J248" s="999"/>
      <c r="K248" s="302"/>
      <c r="L248" s="363"/>
      <c r="M248" s="330"/>
      <c r="N248" s="331"/>
      <c r="O248" s="338"/>
      <c r="P248" s="339"/>
      <c r="Q248" s="346"/>
      <c r="R248" s="347"/>
      <c r="S248" s="354"/>
      <c r="T248" s="355"/>
      <c r="U248" s="302"/>
    </row>
    <row r="249" spans="2:21" ht="14.1" customHeight="1" x14ac:dyDescent="0.15">
      <c r="B249" s="302"/>
      <c r="C249" s="325">
        <v>236</v>
      </c>
      <c r="D249" s="997"/>
      <c r="E249" s="998"/>
      <c r="F249" s="998"/>
      <c r="G249" s="998"/>
      <c r="H249" s="998"/>
      <c r="I249" s="998"/>
      <c r="J249" s="999"/>
      <c r="K249" s="302"/>
      <c r="L249" s="363"/>
      <c r="M249" s="330"/>
      <c r="N249" s="331"/>
      <c r="O249" s="338"/>
      <c r="P249" s="339"/>
      <c r="Q249" s="346"/>
      <c r="R249" s="347"/>
      <c r="S249" s="354"/>
      <c r="T249" s="355"/>
      <c r="U249" s="302"/>
    </row>
    <row r="250" spans="2:21" ht="14.1" customHeight="1" x14ac:dyDescent="0.15">
      <c r="B250" s="302"/>
      <c r="C250" s="325">
        <v>237</v>
      </c>
      <c r="D250" s="997"/>
      <c r="E250" s="998"/>
      <c r="F250" s="998"/>
      <c r="G250" s="998"/>
      <c r="H250" s="998"/>
      <c r="I250" s="998"/>
      <c r="J250" s="999"/>
      <c r="K250" s="302"/>
      <c r="L250" s="363"/>
      <c r="M250" s="330"/>
      <c r="N250" s="331"/>
      <c r="O250" s="338"/>
      <c r="P250" s="339"/>
      <c r="Q250" s="346"/>
      <c r="R250" s="347"/>
      <c r="S250" s="354"/>
      <c r="T250" s="355"/>
      <c r="U250" s="302"/>
    </row>
    <row r="251" spans="2:21" ht="14.1" customHeight="1" x14ac:dyDescent="0.15">
      <c r="B251" s="302"/>
      <c r="C251" s="325">
        <v>238</v>
      </c>
      <c r="D251" s="997"/>
      <c r="E251" s="998"/>
      <c r="F251" s="998"/>
      <c r="G251" s="998"/>
      <c r="H251" s="998"/>
      <c r="I251" s="998"/>
      <c r="J251" s="999"/>
      <c r="K251" s="302"/>
      <c r="L251" s="363"/>
      <c r="M251" s="330"/>
      <c r="N251" s="331"/>
      <c r="O251" s="338"/>
      <c r="P251" s="339"/>
      <c r="Q251" s="346"/>
      <c r="R251" s="347"/>
      <c r="S251" s="354"/>
      <c r="T251" s="355"/>
      <c r="U251" s="302"/>
    </row>
    <row r="252" spans="2:21" ht="14.1" customHeight="1" x14ac:dyDescent="0.15">
      <c r="B252" s="302"/>
      <c r="C252" s="325">
        <v>239</v>
      </c>
      <c r="D252" s="997"/>
      <c r="E252" s="998"/>
      <c r="F252" s="998"/>
      <c r="G252" s="998"/>
      <c r="H252" s="998"/>
      <c r="I252" s="998"/>
      <c r="J252" s="999"/>
      <c r="K252" s="302"/>
      <c r="L252" s="363"/>
      <c r="M252" s="330"/>
      <c r="N252" s="331"/>
      <c r="O252" s="338"/>
      <c r="P252" s="339"/>
      <c r="Q252" s="346"/>
      <c r="R252" s="347"/>
      <c r="S252" s="354"/>
      <c r="T252" s="355"/>
      <c r="U252" s="302"/>
    </row>
    <row r="253" spans="2:21" ht="14.1" customHeight="1" x14ac:dyDescent="0.15">
      <c r="B253" s="302"/>
      <c r="C253" s="325">
        <v>240</v>
      </c>
      <c r="D253" s="997"/>
      <c r="E253" s="998"/>
      <c r="F253" s="998"/>
      <c r="G253" s="998"/>
      <c r="H253" s="998"/>
      <c r="I253" s="998"/>
      <c r="J253" s="999"/>
      <c r="K253" s="302"/>
      <c r="L253" s="363"/>
      <c r="M253" s="330"/>
      <c r="N253" s="331"/>
      <c r="O253" s="338"/>
      <c r="P253" s="339"/>
      <c r="Q253" s="346"/>
      <c r="R253" s="347"/>
      <c r="S253" s="354"/>
      <c r="T253" s="355"/>
      <c r="U253" s="302"/>
    </row>
    <row r="254" spans="2:21" ht="14.1" customHeight="1" x14ac:dyDescent="0.15">
      <c r="B254" s="302"/>
      <c r="C254" s="325">
        <v>241</v>
      </c>
      <c r="D254" s="997"/>
      <c r="E254" s="998"/>
      <c r="F254" s="998"/>
      <c r="G254" s="998"/>
      <c r="H254" s="998"/>
      <c r="I254" s="998"/>
      <c r="J254" s="999"/>
      <c r="K254" s="302"/>
      <c r="L254" s="363"/>
      <c r="M254" s="330"/>
      <c r="N254" s="331"/>
      <c r="O254" s="338"/>
      <c r="P254" s="339"/>
      <c r="Q254" s="346"/>
      <c r="R254" s="347"/>
      <c r="S254" s="354"/>
      <c r="T254" s="355"/>
      <c r="U254" s="302"/>
    </row>
    <row r="255" spans="2:21" ht="14.1" customHeight="1" x14ac:dyDescent="0.15">
      <c r="B255" s="302"/>
      <c r="C255" s="325">
        <v>242</v>
      </c>
      <c r="D255" s="997"/>
      <c r="E255" s="998"/>
      <c r="F255" s="998"/>
      <c r="G255" s="998"/>
      <c r="H255" s="998"/>
      <c r="I255" s="998"/>
      <c r="J255" s="999"/>
      <c r="K255" s="302"/>
      <c r="L255" s="363"/>
      <c r="M255" s="330"/>
      <c r="N255" s="331"/>
      <c r="O255" s="338"/>
      <c r="P255" s="339"/>
      <c r="Q255" s="346"/>
      <c r="R255" s="347"/>
      <c r="S255" s="354"/>
      <c r="T255" s="355"/>
      <c r="U255" s="302"/>
    </row>
    <row r="256" spans="2:21" ht="14.1" customHeight="1" x14ac:dyDescent="0.15">
      <c r="B256" s="302"/>
      <c r="C256" s="325">
        <v>243</v>
      </c>
      <c r="D256" s="997"/>
      <c r="E256" s="998"/>
      <c r="F256" s="998"/>
      <c r="G256" s="998"/>
      <c r="H256" s="998"/>
      <c r="I256" s="998"/>
      <c r="J256" s="999"/>
      <c r="K256" s="302"/>
      <c r="L256" s="363"/>
      <c r="M256" s="330"/>
      <c r="N256" s="331"/>
      <c r="O256" s="338"/>
      <c r="P256" s="339"/>
      <c r="Q256" s="346"/>
      <c r="R256" s="347"/>
      <c r="S256" s="354"/>
      <c r="T256" s="355"/>
      <c r="U256" s="302"/>
    </row>
    <row r="257" spans="2:21" ht="14.1" customHeight="1" x14ac:dyDescent="0.15">
      <c r="B257" s="302"/>
      <c r="C257" s="325">
        <v>244</v>
      </c>
      <c r="D257" s="997"/>
      <c r="E257" s="998"/>
      <c r="F257" s="998"/>
      <c r="G257" s="998"/>
      <c r="H257" s="998"/>
      <c r="I257" s="998"/>
      <c r="J257" s="999"/>
      <c r="K257" s="302"/>
      <c r="L257" s="363"/>
      <c r="M257" s="330"/>
      <c r="N257" s="331"/>
      <c r="O257" s="338"/>
      <c r="P257" s="339"/>
      <c r="Q257" s="346"/>
      <c r="R257" s="347"/>
      <c r="S257" s="354"/>
      <c r="T257" s="355"/>
      <c r="U257" s="302"/>
    </row>
    <row r="258" spans="2:21" ht="14.1" customHeight="1" x14ac:dyDescent="0.15">
      <c r="B258" s="302"/>
      <c r="C258" s="325">
        <v>245</v>
      </c>
      <c r="D258" s="997"/>
      <c r="E258" s="998"/>
      <c r="F258" s="998"/>
      <c r="G258" s="998"/>
      <c r="H258" s="998"/>
      <c r="I258" s="998"/>
      <c r="J258" s="999"/>
      <c r="K258" s="302"/>
      <c r="L258" s="363"/>
      <c r="M258" s="330"/>
      <c r="N258" s="331"/>
      <c r="O258" s="338"/>
      <c r="P258" s="339"/>
      <c r="Q258" s="346"/>
      <c r="R258" s="347"/>
      <c r="S258" s="354"/>
      <c r="T258" s="355"/>
      <c r="U258" s="302"/>
    </row>
    <row r="259" spans="2:21" ht="14.1" customHeight="1" x14ac:dyDescent="0.15">
      <c r="B259" s="302"/>
      <c r="C259" s="325">
        <v>246</v>
      </c>
      <c r="D259" s="997"/>
      <c r="E259" s="998"/>
      <c r="F259" s="998"/>
      <c r="G259" s="998"/>
      <c r="H259" s="998"/>
      <c r="I259" s="998"/>
      <c r="J259" s="999"/>
      <c r="K259" s="302"/>
      <c r="L259" s="363"/>
      <c r="M259" s="330"/>
      <c r="N259" s="331"/>
      <c r="O259" s="338"/>
      <c r="P259" s="339"/>
      <c r="Q259" s="346"/>
      <c r="R259" s="347"/>
      <c r="S259" s="354"/>
      <c r="T259" s="355"/>
      <c r="U259" s="302"/>
    </row>
    <row r="260" spans="2:21" ht="14.1" customHeight="1" x14ac:dyDescent="0.15">
      <c r="B260" s="302"/>
      <c r="C260" s="325">
        <v>247</v>
      </c>
      <c r="D260" s="997"/>
      <c r="E260" s="998"/>
      <c r="F260" s="998"/>
      <c r="G260" s="998"/>
      <c r="H260" s="998"/>
      <c r="I260" s="998"/>
      <c r="J260" s="999"/>
      <c r="K260" s="302"/>
      <c r="L260" s="363"/>
      <c r="M260" s="330"/>
      <c r="N260" s="331"/>
      <c r="O260" s="338"/>
      <c r="P260" s="339"/>
      <c r="Q260" s="346"/>
      <c r="R260" s="347"/>
      <c r="S260" s="354"/>
      <c r="T260" s="355"/>
      <c r="U260" s="302"/>
    </row>
    <row r="261" spans="2:21" ht="14.1" customHeight="1" x14ac:dyDescent="0.15">
      <c r="B261" s="302"/>
      <c r="C261" s="325">
        <v>248</v>
      </c>
      <c r="D261" s="997"/>
      <c r="E261" s="998"/>
      <c r="F261" s="998"/>
      <c r="G261" s="998"/>
      <c r="H261" s="998"/>
      <c r="I261" s="998"/>
      <c r="J261" s="999"/>
      <c r="K261" s="302"/>
      <c r="L261" s="363"/>
      <c r="M261" s="330"/>
      <c r="N261" s="331"/>
      <c r="O261" s="338"/>
      <c r="P261" s="339"/>
      <c r="Q261" s="346"/>
      <c r="R261" s="347"/>
      <c r="S261" s="354"/>
      <c r="T261" s="355"/>
      <c r="U261" s="302"/>
    </row>
    <row r="262" spans="2:21" ht="14.1" customHeight="1" x14ac:dyDescent="0.15">
      <c r="B262" s="302"/>
      <c r="C262" s="325">
        <v>249</v>
      </c>
      <c r="D262" s="997"/>
      <c r="E262" s="998"/>
      <c r="F262" s="998"/>
      <c r="G262" s="998"/>
      <c r="H262" s="998"/>
      <c r="I262" s="998"/>
      <c r="J262" s="999"/>
      <c r="K262" s="302"/>
      <c r="L262" s="363"/>
      <c r="M262" s="330"/>
      <c r="N262" s="331"/>
      <c r="O262" s="338"/>
      <c r="P262" s="339"/>
      <c r="Q262" s="346"/>
      <c r="R262" s="347"/>
      <c r="S262" s="354"/>
      <c r="T262" s="355"/>
      <c r="U262" s="302"/>
    </row>
    <row r="263" spans="2:21" ht="14.1" customHeight="1" x14ac:dyDescent="0.15">
      <c r="B263" s="302"/>
      <c r="C263" s="325">
        <v>250</v>
      </c>
      <c r="D263" s="997"/>
      <c r="E263" s="998"/>
      <c r="F263" s="998"/>
      <c r="G263" s="998"/>
      <c r="H263" s="998"/>
      <c r="I263" s="998"/>
      <c r="J263" s="999"/>
      <c r="K263" s="302"/>
      <c r="L263" s="363"/>
      <c r="M263" s="330"/>
      <c r="N263" s="331"/>
      <c r="O263" s="338"/>
      <c r="P263" s="339"/>
      <c r="Q263" s="346"/>
      <c r="R263" s="347"/>
      <c r="S263" s="354"/>
      <c r="T263" s="355"/>
      <c r="U263" s="302"/>
    </row>
    <row r="264" spans="2:21" ht="14.1" customHeight="1" x14ac:dyDescent="0.15">
      <c r="B264" s="302"/>
      <c r="C264" s="325">
        <v>251</v>
      </c>
      <c r="D264" s="997"/>
      <c r="E264" s="998"/>
      <c r="F264" s="998"/>
      <c r="G264" s="998"/>
      <c r="H264" s="998"/>
      <c r="I264" s="998"/>
      <c r="J264" s="999"/>
      <c r="K264" s="302"/>
      <c r="L264" s="363"/>
      <c r="M264" s="330"/>
      <c r="N264" s="331"/>
      <c r="O264" s="338"/>
      <c r="P264" s="339"/>
      <c r="Q264" s="346"/>
      <c r="R264" s="347"/>
      <c r="S264" s="354"/>
      <c r="T264" s="355"/>
      <c r="U264" s="302"/>
    </row>
    <row r="265" spans="2:21" ht="14.1" customHeight="1" x14ac:dyDescent="0.15">
      <c r="B265" s="302"/>
      <c r="C265" s="325">
        <v>252</v>
      </c>
      <c r="D265" s="997"/>
      <c r="E265" s="998"/>
      <c r="F265" s="998"/>
      <c r="G265" s="998"/>
      <c r="H265" s="998"/>
      <c r="I265" s="998"/>
      <c r="J265" s="999"/>
      <c r="K265" s="302"/>
      <c r="L265" s="363"/>
      <c r="M265" s="330"/>
      <c r="N265" s="331"/>
      <c r="O265" s="338"/>
      <c r="P265" s="339"/>
      <c r="Q265" s="346"/>
      <c r="R265" s="347"/>
      <c r="S265" s="354"/>
      <c r="T265" s="355"/>
      <c r="U265" s="302"/>
    </row>
    <row r="266" spans="2:21" ht="14.1" customHeight="1" x14ac:dyDescent="0.15">
      <c r="B266" s="302"/>
      <c r="C266" s="325">
        <v>253</v>
      </c>
      <c r="D266" s="997"/>
      <c r="E266" s="998"/>
      <c r="F266" s="998"/>
      <c r="G266" s="998"/>
      <c r="H266" s="998"/>
      <c r="I266" s="998"/>
      <c r="J266" s="999"/>
      <c r="K266" s="302"/>
      <c r="L266" s="363"/>
      <c r="M266" s="330"/>
      <c r="N266" s="331"/>
      <c r="O266" s="338"/>
      <c r="P266" s="339"/>
      <c r="Q266" s="346"/>
      <c r="R266" s="347"/>
      <c r="S266" s="354"/>
      <c r="T266" s="355"/>
      <c r="U266" s="302"/>
    </row>
    <row r="267" spans="2:21" ht="14.1" customHeight="1" x14ac:dyDescent="0.15">
      <c r="B267" s="302"/>
      <c r="C267" s="325">
        <v>254</v>
      </c>
      <c r="D267" s="997"/>
      <c r="E267" s="998"/>
      <c r="F267" s="998"/>
      <c r="G267" s="998"/>
      <c r="H267" s="998"/>
      <c r="I267" s="998"/>
      <c r="J267" s="999"/>
      <c r="K267" s="302"/>
      <c r="L267" s="363"/>
      <c r="M267" s="330"/>
      <c r="N267" s="331"/>
      <c r="O267" s="338"/>
      <c r="P267" s="339"/>
      <c r="Q267" s="346"/>
      <c r="R267" s="347"/>
      <c r="S267" s="354"/>
      <c r="T267" s="355"/>
      <c r="U267" s="302"/>
    </row>
    <row r="268" spans="2:21" ht="14.1" customHeight="1" x14ac:dyDescent="0.15">
      <c r="B268" s="302"/>
      <c r="C268" s="325">
        <v>255</v>
      </c>
      <c r="D268" s="997"/>
      <c r="E268" s="998"/>
      <c r="F268" s="998"/>
      <c r="G268" s="998"/>
      <c r="H268" s="998"/>
      <c r="I268" s="998"/>
      <c r="J268" s="999"/>
      <c r="K268" s="302"/>
      <c r="L268" s="363"/>
      <c r="M268" s="330"/>
      <c r="N268" s="331"/>
      <c r="O268" s="338"/>
      <c r="P268" s="339"/>
      <c r="Q268" s="346"/>
      <c r="R268" s="347"/>
      <c r="S268" s="354"/>
      <c r="T268" s="355"/>
      <c r="U268" s="302"/>
    </row>
    <row r="269" spans="2:21" ht="14.1" customHeight="1" x14ac:dyDescent="0.15">
      <c r="B269" s="302"/>
      <c r="C269" s="325">
        <v>256</v>
      </c>
      <c r="D269" s="997"/>
      <c r="E269" s="998"/>
      <c r="F269" s="998"/>
      <c r="G269" s="998"/>
      <c r="H269" s="998"/>
      <c r="I269" s="998"/>
      <c r="J269" s="999"/>
      <c r="K269" s="302"/>
      <c r="L269" s="363"/>
      <c r="M269" s="330"/>
      <c r="N269" s="331"/>
      <c r="O269" s="338"/>
      <c r="P269" s="339"/>
      <c r="Q269" s="346"/>
      <c r="R269" s="347"/>
      <c r="S269" s="354"/>
      <c r="T269" s="355"/>
      <c r="U269" s="302"/>
    </row>
    <row r="270" spans="2:21" ht="14.1" customHeight="1" x14ac:dyDescent="0.15">
      <c r="B270" s="302"/>
      <c r="C270" s="325">
        <v>257</v>
      </c>
      <c r="D270" s="997"/>
      <c r="E270" s="998"/>
      <c r="F270" s="998"/>
      <c r="G270" s="998"/>
      <c r="H270" s="998"/>
      <c r="I270" s="998"/>
      <c r="J270" s="999"/>
      <c r="K270" s="302"/>
      <c r="L270" s="363"/>
      <c r="M270" s="330"/>
      <c r="N270" s="331"/>
      <c r="O270" s="338"/>
      <c r="P270" s="339"/>
      <c r="Q270" s="346"/>
      <c r="R270" s="347"/>
      <c r="S270" s="354"/>
      <c r="T270" s="355"/>
      <c r="U270" s="302"/>
    </row>
    <row r="271" spans="2:21" ht="14.1" customHeight="1" x14ac:dyDescent="0.15">
      <c r="B271" s="302"/>
      <c r="C271" s="325">
        <v>258</v>
      </c>
      <c r="D271" s="997"/>
      <c r="E271" s="998"/>
      <c r="F271" s="998"/>
      <c r="G271" s="998"/>
      <c r="H271" s="998"/>
      <c r="I271" s="998"/>
      <c r="J271" s="999"/>
      <c r="K271" s="302"/>
      <c r="L271" s="363"/>
      <c r="M271" s="330"/>
      <c r="N271" s="331"/>
      <c r="O271" s="338"/>
      <c r="P271" s="339"/>
      <c r="Q271" s="346"/>
      <c r="R271" s="347"/>
      <c r="S271" s="354"/>
      <c r="T271" s="355"/>
      <c r="U271" s="302"/>
    </row>
    <row r="272" spans="2:21" ht="14.1" customHeight="1" x14ac:dyDescent="0.15">
      <c r="B272" s="302"/>
      <c r="C272" s="325">
        <v>259</v>
      </c>
      <c r="D272" s="997"/>
      <c r="E272" s="998"/>
      <c r="F272" s="998"/>
      <c r="G272" s="998"/>
      <c r="H272" s="998"/>
      <c r="I272" s="998"/>
      <c r="J272" s="999"/>
      <c r="K272" s="302"/>
      <c r="L272" s="363"/>
      <c r="M272" s="330"/>
      <c r="N272" s="331"/>
      <c r="O272" s="338"/>
      <c r="P272" s="339"/>
      <c r="Q272" s="346"/>
      <c r="R272" s="347"/>
      <c r="S272" s="354"/>
      <c r="T272" s="355"/>
      <c r="U272" s="302"/>
    </row>
    <row r="273" spans="2:21" ht="14.1" customHeight="1" x14ac:dyDescent="0.15">
      <c r="B273" s="302"/>
      <c r="C273" s="325">
        <v>260</v>
      </c>
      <c r="D273" s="997"/>
      <c r="E273" s="998"/>
      <c r="F273" s="998"/>
      <c r="G273" s="998"/>
      <c r="H273" s="998"/>
      <c r="I273" s="998"/>
      <c r="J273" s="999"/>
      <c r="K273" s="302"/>
      <c r="L273" s="363"/>
      <c r="M273" s="330"/>
      <c r="N273" s="331"/>
      <c r="O273" s="338"/>
      <c r="P273" s="339"/>
      <c r="Q273" s="346"/>
      <c r="R273" s="347"/>
      <c r="S273" s="354"/>
      <c r="T273" s="355"/>
      <c r="U273" s="302"/>
    </row>
    <row r="274" spans="2:21" ht="14.1" customHeight="1" x14ac:dyDescent="0.15">
      <c r="B274" s="302"/>
      <c r="C274" s="325">
        <v>261</v>
      </c>
      <c r="D274" s="997"/>
      <c r="E274" s="998"/>
      <c r="F274" s="998"/>
      <c r="G274" s="998"/>
      <c r="H274" s="998"/>
      <c r="I274" s="998"/>
      <c r="J274" s="999"/>
      <c r="K274" s="302"/>
      <c r="L274" s="363"/>
      <c r="M274" s="330"/>
      <c r="N274" s="331"/>
      <c r="O274" s="338"/>
      <c r="P274" s="339"/>
      <c r="Q274" s="346"/>
      <c r="R274" s="347"/>
      <c r="S274" s="354"/>
      <c r="T274" s="355"/>
      <c r="U274" s="302"/>
    </row>
    <row r="275" spans="2:21" ht="14.1" customHeight="1" x14ac:dyDescent="0.15">
      <c r="B275" s="302"/>
      <c r="C275" s="325">
        <v>262</v>
      </c>
      <c r="D275" s="997"/>
      <c r="E275" s="998"/>
      <c r="F275" s="998"/>
      <c r="G275" s="998"/>
      <c r="H275" s="998"/>
      <c r="I275" s="998"/>
      <c r="J275" s="999"/>
      <c r="K275" s="302"/>
      <c r="L275" s="363"/>
      <c r="M275" s="330"/>
      <c r="N275" s="331"/>
      <c r="O275" s="338"/>
      <c r="P275" s="339"/>
      <c r="Q275" s="346"/>
      <c r="R275" s="347"/>
      <c r="S275" s="354"/>
      <c r="T275" s="355"/>
      <c r="U275" s="302"/>
    </row>
    <row r="276" spans="2:21" ht="14.1" customHeight="1" x14ac:dyDescent="0.15">
      <c r="B276" s="302"/>
      <c r="C276" s="325">
        <v>263</v>
      </c>
      <c r="D276" s="997"/>
      <c r="E276" s="998"/>
      <c r="F276" s="998"/>
      <c r="G276" s="998"/>
      <c r="H276" s="998"/>
      <c r="I276" s="998"/>
      <c r="J276" s="999"/>
      <c r="K276" s="302"/>
      <c r="L276" s="363"/>
      <c r="M276" s="330"/>
      <c r="N276" s="331"/>
      <c r="O276" s="338"/>
      <c r="P276" s="339"/>
      <c r="Q276" s="346"/>
      <c r="R276" s="347"/>
      <c r="S276" s="354"/>
      <c r="T276" s="355"/>
      <c r="U276" s="302"/>
    </row>
    <row r="277" spans="2:21" ht="14.1" customHeight="1" x14ac:dyDescent="0.15">
      <c r="B277" s="302"/>
      <c r="C277" s="325">
        <v>264</v>
      </c>
      <c r="D277" s="997"/>
      <c r="E277" s="998"/>
      <c r="F277" s="998"/>
      <c r="G277" s="998"/>
      <c r="H277" s="998"/>
      <c r="I277" s="998"/>
      <c r="J277" s="999"/>
      <c r="K277" s="302"/>
      <c r="L277" s="363"/>
      <c r="M277" s="330"/>
      <c r="N277" s="331"/>
      <c r="O277" s="338"/>
      <c r="P277" s="339"/>
      <c r="Q277" s="346"/>
      <c r="R277" s="347"/>
      <c r="S277" s="354"/>
      <c r="T277" s="355"/>
      <c r="U277" s="302"/>
    </row>
    <row r="278" spans="2:21" ht="14.1" customHeight="1" x14ac:dyDescent="0.15">
      <c r="B278" s="302"/>
      <c r="C278" s="325">
        <v>265</v>
      </c>
      <c r="D278" s="997"/>
      <c r="E278" s="998"/>
      <c r="F278" s="998"/>
      <c r="G278" s="998"/>
      <c r="H278" s="998"/>
      <c r="I278" s="998"/>
      <c r="J278" s="999"/>
      <c r="K278" s="302"/>
      <c r="L278" s="363"/>
      <c r="M278" s="330"/>
      <c r="N278" s="331"/>
      <c r="O278" s="338"/>
      <c r="P278" s="339"/>
      <c r="Q278" s="346"/>
      <c r="R278" s="347"/>
      <c r="S278" s="354"/>
      <c r="T278" s="355"/>
      <c r="U278" s="302"/>
    </row>
    <row r="279" spans="2:21" ht="14.1" customHeight="1" x14ac:dyDescent="0.15">
      <c r="B279" s="302"/>
      <c r="C279" s="325">
        <v>266</v>
      </c>
      <c r="D279" s="997"/>
      <c r="E279" s="998"/>
      <c r="F279" s="998"/>
      <c r="G279" s="998"/>
      <c r="H279" s="998"/>
      <c r="I279" s="998"/>
      <c r="J279" s="999"/>
      <c r="K279" s="302"/>
      <c r="L279" s="363"/>
      <c r="M279" s="330"/>
      <c r="N279" s="331"/>
      <c r="O279" s="338"/>
      <c r="P279" s="339"/>
      <c r="Q279" s="346"/>
      <c r="R279" s="347"/>
      <c r="S279" s="354"/>
      <c r="T279" s="355"/>
      <c r="U279" s="302"/>
    </row>
    <row r="280" spans="2:21" ht="14.1" customHeight="1" x14ac:dyDescent="0.15">
      <c r="B280" s="302"/>
      <c r="C280" s="325">
        <v>267</v>
      </c>
      <c r="D280" s="997"/>
      <c r="E280" s="998"/>
      <c r="F280" s="998"/>
      <c r="G280" s="998"/>
      <c r="H280" s="998"/>
      <c r="I280" s="998"/>
      <c r="J280" s="999"/>
      <c r="K280" s="302"/>
      <c r="L280" s="363"/>
      <c r="M280" s="330"/>
      <c r="N280" s="331"/>
      <c r="O280" s="338"/>
      <c r="P280" s="339"/>
      <c r="Q280" s="346"/>
      <c r="R280" s="347"/>
      <c r="S280" s="354"/>
      <c r="T280" s="355"/>
      <c r="U280" s="302"/>
    </row>
    <row r="281" spans="2:21" ht="14.1" customHeight="1" x14ac:dyDescent="0.15">
      <c r="B281" s="302"/>
      <c r="C281" s="325">
        <v>268</v>
      </c>
      <c r="D281" s="997"/>
      <c r="E281" s="998"/>
      <c r="F281" s="998"/>
      <c r="G281" s="998"/>
      <c r="H281" s="998"/>
      <c r="I281" s="998"/>
      <c r="J281" s="999"/>
      <c r="K281" s="302"/>
      <c r="L281" s="363"/>
      <c r="M281" s="330"/>
      <c r="N281" s="331"/>
      <c r="O281" s="338"/>
      <c r="P281" s="339"/>
      <c r="Q281" s="346"/>
      <c r="R281" s="347"/>
      <c r="S281" s="354"/>
      <c r="T281" s="355"/>
      <c r="U281" s="302"/>
    </row>
    <row r="282" spans="2:21" ht="14.1" customHeight="1" x14ac:dyDescent="0.15">
      <c r="B282" s="302"/>
      <c r="C282" s="325">
        <v>269</v>
      </c>
      <c r="D282" s="997"/>
      <c r="E282" s="998"/>
      <c r="F282" s="998"/>
      <c r="G282" s="998"/>
      <c r="H282" s="998"/>
      <c r="I282" s="998"/>
      <c r="J282" s="999"/>
      <c r="K282" s="302"/>
      <c r="L282" s="363"/>
      <c r="M282" s="330"/>
      <c r="N282" s="331"/>
      <c r="O282" s="338"/>
      <c r="P282" s="339"/>
      <c r="Q282" s="346"/>
      <c r="R282" s="347"/>
      <c r="S282" s="354"/>
      <c r="T282" s="355"/>
      <c r="U282" s="302"/>
    </row>
    <row r="283" spans="2:21" ht="14.1" customHeight="1" x14ac:dyDescent="0.15">
      <c r="B283" s="302"/>
      <c r="C283" s="325">
        <v>270</v>
      </c>
      <c r="D283" s="997"/>
      <c r="E283" s="998"/>
      <c r="F283" s="998"/>
      <c r="G283" s="998"/>
      <c r="H283" s="998"/>
      <c r="I283" s="998"/>
      <c r="J283" s="999"/>
      <c r="K283" s="302"/>
      <c r="L283" s="363"/>
      <c r="M283" s="330"/>
      <c r="N283" s="331"/>
      <c r="O283" s="338"/>
      <c r="P283" s="339"/>
      <c r="Q283" s="346"/>
      <c r="R283" s="347"/>
      <c r="S283" s="354"/>
      <c r="T283" s="355"/>
      <c r="U283" s="302"/>
    </row>
    <row r="284" spans="2:21" ht="14.1" customHeight="1" x14ac:dyDescent="0.15">
      <c r="B284" s="302"/>
      <c r="C284" s="325">
        <v>271</v>
      </c>
      <c r="D284" s="997"/>
      <c r="E284" s="998"/>
      <c r="F284" s="998"/>
      <c r="G284" s="998"/>
      <c r="H284" s="998"/>
      <c r="I284" s="998"/>
      <c r="J284" s="999"/>
      <c r="K284" s="302"/>
      <c r="L284" s="363"/>
      <c r="M284" s="330"/>
      <c r="N284" s="331"/>
      <c r="O284" s="338"/>
      <c r="P284" s="339"/>
      <c r="Q284" s="346"/>
      <c r="R284" s="347"/>
      <c r="S284" s="354"/>
      <c r="T284" s="355"/>
      <c r="U284" s="302"/>
    </row>
    <row r="285" spans="2:21" ht="14.1" customHeight="1" x14ac:dyDescent="0.15">
      <c r="B285" s="302"/>
      <c r="C285" s="325">
        <v>272</v>
      </c>
      <c r="D285" s="997"/>
      <c r="E285" s="998"/>
      <c r="F285" s="998"/>
      <c r="G285" s="998"/>
      <c r="H285" s="998"/>
      <c r="I285" s="998"/>
      <c r="J285" s="999"/>
      <c r="K285" s="302"/>
      <c r="L285" s="363"/>
      <c r="M285" s="330"/>
      <c r="N285" s="331"/>
      <c r="O285" s="338"/>
      <c r="P285" s="339"/>
      <c r="Q285" s="346"/>
      <c r="R285" s="347"/>
      <c r="S285" s="354"/>
      <c r="T285" s="355"/>
      <c r="U285" s="302"/>
    </row>
    <row r="286" spans="2:21" ht="14.1" customHeight="1" x14ac:dyDescent="0.15">
      <c r="B286" s="302"/>
      <c r="C286" s="325">
        <v>273</v>
      </c>
      <c r="D286" s="997"/>
      <c r="E286" s="998"/>
      <c r="F286" s="998"/>
      <c r="G286" s="998"/>
      <c r="H286" s="998"/>
      <c r="I286" s="998"/>
      <c r="J286" s="999"/>
      <c r="K286" s="302"/>
      <c r="L286" s="363"/>
      <c r="M286" s="330"/>
      <c r="N286" s="331"/>
      <c r="O286" s="338"/>
      <c r="P286" s="339"/>
      <c r="Q286" s="346"/>
      <c r="R286" s="347"/>
      <c r="S286" s="354"/>
      <c r="T286" s="355"/>
      <c r="U286" s="302"/>
    </row>
    <row r="287" spans="2:21" ht="14.1" customHeight="1" x14ac:dyDescent="0.15">
      <c r="B287" s="302"/>
      <c r="C287" s="325">
        <v>274</v>
      </c>
      <c r="D287" s="997"/>
      <c r="E287" s="998"/>
      <c r="F287" s="998"/>
      <c r="G287" s="998"/>
      <c r="H287" s="998"/>
      <c r="I287" s="998"/>
      <c r="J287" s="999"/>
      <c r="K287" s="302"/>
      <c r="L287" s="363"/>
      <c r="M287" s="330"/>
      <c r="N287" s="331"/>
      <c r="O287" s="338"/>
      <c r="P287" s="339"/>
      <c r="Q287" s="346"/>
      <c r="R287" s="347"/>
      <c r="S287" s="354"/>
      <c r="T287" s="355"/>
      <c r="U287" s="302"/>
    </row>
    <row r="288" spans="2:21" ht="14.1" customHeight="1" x14ac:dyDescent="0.15">
      <c r="B288" s="302"/>
      <c r="C288" s="325">
        <v>275</v>
      </c>
      <c r="D288" s="997"/>
      <c r="E288" s="998"/>
      <c r="F288" s="998"/>
      <c r="G288" s="998"/>
      <c r="H288" s="998"/>
      <c r="I288" s="998"/>
      <c r="J288" s="999"/>
      <c r="K288" s="302"/>
      <c r="L288" s="363"/>
      <c r="M288" s="330"/>
      <c r="N288" s="331"/>
      <c r="O288" s="338"/>
      <c r="P288" s="339"/>
      <c r="Q288" s="346"/>
      <c r="R288" s="347"/>
      <c r="S288" s="354"/>
      <c r="T288" s="355"/>
      <c r="U288" s="302"/>
    </row>
    <row r="289" spans="2:21" ht="14.1" customHeight="1" x14ac:dyDescent="0.15">
      <c r="B289" s="302"/>
      <c r="C289" s="325">
        <v>276</v>
      </c>
      <c r="D289" s="997"/>
      <c r="E289" s="998"/>
      <c r="F289" s="998"/>
      <c r="G289" s="998"/>
      <c r="H289" s="998"/>
      <c r="I289" s="998"/>
      <c r="J289" s="999"/>
      <c r="K289" s="302"/>
      <c r="L289" s="363"/>
      <c r="M289" s="330"/>
      <c r="N289" s="331"/>
      <c r="O289" s="338"/>
      <c r="P289" s="339"/>
      <c r="Q289" s="346"/>
      <c r="R289" s="347"/>
      <c r="S289" s="354"/>
      <c r="T289" s="355"/>
      <c r="U289" s="302"/>
    </row>
    <row r="290" spans="2:21" ht="14.1" customHeight="1" x14ac:dyDescent="0.15">
      <c r="B290" s="302"/>
      <c r="C290" s="325">
        <v>277</v>
      </c>
      <c r="D290" s="997"/>
      <c r="E290" s="998"/>
      <c r="F290" s="998"/>
      <c r="G290" s="998"/>
      <c r="H290" s="998"/>
      <c r="I290" s="998"/>
      <c r="J290" s="999"/>
      <c r="K290" s="302"/>
      <c r="L290" s="363"/>
      <c r="M290" s="330"/>
      <c r="N290" s="331"/>
      <c r="O290" s="338"/>
      <c r="P290" s="339"/>
      <c r="Q290" s="346"/>
      <c r="R290" s="347"/>
      <c r="S290" s="354"/>
      <c r="T290" s="355"/>
      <c r="U290" s="302"/>
    </row>
    <row r="291" spans="2:21" ht="14.1" customHeight="1" x14ac:dyDescent="0.15">
      <c r="B291" s="302"/>
      <c r="C291" s="325">
        <v>278</v>
      </c>
      <c r="D291" s="997"/>
      <c r="E291" s="998"/>
      <c r="F291" s="998"/>
      <c r="G291" s="998"/>
      <c r="H291" s="998"/>
      <c r="I291" s="998"/>
      <c r="J291" s="999"/>
      <c r="K291" s="302"/>
      <c r="L291" s="363"/>
      <c r="M291" s="330"/>
      <c r="N291" s="331"/>
      <c r="O291" s="338"/>
      <c r="P291" s="339"/>
      <c r="Q291" s="346"/>
      <c r="R291" s="347"/>
      <c r="S291" s="354"/>
      <c r="T291" s="355"/>
      <c r="U291" s="302"/>
    </row>
    <row r="292" spans="2:21" ht="14.1" customHeight="1" x14ac:dyDescent="0.15">
      <c r="B292" s="302"/>
      <c r="C292" s="325">
        <v>279</v>
      </c>
      <c r="D292" s="997"/>
      <c r="E292" s="998"/>
      <c r="F292" s="998"/>
      <c r="G292" s="998"/>
      <c r="H292" s="998"/>
      <c r="I292" s="998"/>
      <c r="J292" s="999"/>
      <c r="K292" s="302"/>
      <c r="L292" s="363"/>
      <c r="M292" s="330"/>
      <c r="N292" s="331"/>
      <c r="O292" s="338"/>
      <c r="P292" s="339"/>
      <c r="Q292" s="346"/>
      <c r="R292" s="347"/>
      <c r="S292" s="354"/>
      <c r="T292" s="355"/>
      <c r="U292" s="302"/>
    </row>
    <row r="293" spans="2:21" ht="14.1" customHeight="1" x14ac:dyDescent="0.15">
      <c r="B293" s="302"/>
      <c r="C293" s="325">
        <v>280</v>
      </c>
      <c r="D293" s="997"/>
      <c r="E293" s="998"/>
      <c r="F293" s="998"/>
      <c r="G293" s="998"/>
      <c r="H293" s="998"/>
      <c r="I293" s="998"/>
      <c r="J293" s="999"/>
      <c r="K293" s="302"/>
      <c r="L293" s="363"/>
      <c r="M293" s="330"/>
      <c r="N293" s="331"/>
      <c r="O293" s="338"/>
      <c r="P293" s="339"/>
      <c r="Q293" s="346"/>
      <c r="R293" s="347"/>
      <c r="S293" s="354"/>
      <c r="T293" s="355"/>
      <c r="U293" s="302"/>
    </row>
    <row r="294" spans="2:21" ht="14.1" customHeight="1" x14ac:dyDescent="0.15">
      <c r="B294" s="302"/>
      <c r="C294" s="325">
        <v>281</v>
      </c>
      <c r="D294" s="997"/>
      <c r="E294" s="998"/>
      <c r="F294" s="998"/>
      <c r="G294" s="998"/>
      <c r="H294" s="998"/>
      <c r="I294" s="998"/>
      <c r="J294" s="999"/>
      <c r="K294" s="302"/>
      <c r="L294" s="363"/>
      <c r="M294" s="330"/>
      <c r="N294" s="331"/>
      <c r="O294" s="338"/>
      <c r="P294" s="339"/>
      <c r="Q294" s="346"/>
      <c r="R294" s="347"/>
      <c r="S294" s="354"/>
      <c r="T294" s="355"/>
      <c r="U294" s="302"/>
    </row>
    <row r="295" spans="2:21" ht="14.1" customHeight="1" x14ac:dyDescent="0.15">
      <c r="B295" s="302"/>
      <c r="C295" s="325">
        <v>282</v>
      </c>
      <c r="D295" s="997"/>
      <c r="E295" s="998"/>
      <c r="F295" s="998"/>
      <c r="G295" s="998"/>
      <c r="H295" s="998"/>
      <c r="I295" s="998"/>
      <c r="J295" s="999"/>
      <c r="K295" s="302"/>
      <c r="L295" s="363"/>
      <c r="M295" s="330"/>
      <c r="N295" s="331"/>
      <c r="O295" s="338"/>
      <c r="P295" s="339"/>
      <c r="Q295" s="346"/>
      <c r="R295" s="347"/>
      <c r="S295" s="354"/>
      <c r="T295" s="355"/>
      <c r="U295" s="302"/>
    </row>
    <row r="296" spans="2:21" ht="14.1" customHeight="1" x14ac:dyDescent="0.15">
      <c r="B296" s="302"/>
      <c r="C296" s="325">
        <v>283</v>
      </c>
      <c r="D296" s="997"/>
      <c r="E296" s="998"/>
      <c r="F296" s="998"/>
      <c r="G296" s="998"/>
      <c r="H296" s="998"/>
      <c r="I296" s="998"/>
      <c r="J296" s="999"/>
      <c r="K296" s="302"/>
      <c r="L296" s="363"/>
      <c r="M296" s="330"/>
      <c r="N296" s="331"/>
      <c r="O296" s="338"/>
      <c r="P296" s="339"/>
      <c r="Q296" s="346"/>
      <c r="R296" s="347"/>
      <c r="S296" s="354"/>
      <c r="T296" s="355"/>
      <c r="U296" s="302"/>
    </row>
    <row r="297" spans="2:21" ht="14.1" customHeight="1" x14ac:dyDescent="0.15">
      <c r="B297" s="302"/>
      <c r="C297" s="325">
        <v>284</v>
      </c>
      <c r="D297" s="997"/>
      <c r="E297" s="998"/>
      <c r="F297" s="998"/>
      <c r="G297" s="998"/>
      <c r="H297" s="998"/>
      <c r="I297" s="998"/>
      <c r="J297" s="999"/>
      <c r="K297" s="302"/>
      <c r="L297" s="363"/>
      <c r="M297" s="330"/>
      <c r="N297" s="331"/>
      <c r="O297" s="338"/>
      <c r="P297" s="339"/>
      <c r="Q297" s="346"/>
      <c r="R297" s="347"/>
      <c r="S297" s="354"/>
      <c r="T297" s="355"/>
      <c r="U297" s="302"/>
    </row>
    <row r="298" spans="2:21" ht="14.1" customHeight="1" x14ac:dyDescent="0.15">
      <c r="B298" s="302"/>
      <c r="C298" s="325">
        <v>285</v>
      </c>
      <c r="D298" s="997"/>
      <c r="E298" s="998"/>
      <c r="F298" s="998"/>
      <c r="G298" s="998"/>
      <c r="H298" s="998"/>
      <c r="I298" s="998"/>
      <c r="J298" s="999"/>
      <c r="K298" s="302"/>
      <c r="L298" s="363"/>
      <c r="M298" s="330"/>
      <c r="N298" s="331"/>
      <c r="O298" s="338"/>
      <c r="P298" s="339"/>
      <c r="Q298" s="346"/>
      <c r="R298" s="347"/>
      <c r="S298" s="354"/>
      <c r="T298" s="355"/>
      <c r="U298" s="302"/>
    </row>
    <row r="299" spans="2:21" ht="14.1" customHeight="1" x14ac:dyDescent="0.15">
      <c r="B299" s="302"/>
      <c r="C299" s="325">
        <v>286</v>
      </c>
      <c r="D299" s="997"/>
      <c r="E299" s="998"/>
      <c r="F299" s="998"/>
      <c r="G299" s="998"/>
      <c r="H299" s="998"/>
      <c r="I299" s="998"/>
      <c r="J299" s="999"/>
      <c r="K299" s="302"/>
      <c r="L299" s="363"/>
      <c r="M299" s="330"/>
      <c r="N299" s="331"/>
      <c r="O299" s="338"/>
      <c r="P299" s="339"/>
      <c r="Q299" s="346"/>
      <c r="R299" s="347"/>
      <c r="S299" s="354"/>
      <c r="T299" s="355"/>
      <c r="U299" s="302"/>
    </row>
    <row r="300" spans="2:21" ht="14.1" customHeight="1" x14ac:dyDescent="0.15">
      <c r="B300" s="302"/>
      <c r="C300" s="325">
        <v>287</v>
      </c>
      <c r="D300" s="997"/>
      <c r="E300" s="998"/>
      <c r="F300" s="998"/>
      <c r="G300" s="998"/>
      <c r="H300" s="998"/>
      <c r="I300" s="998"/>
      <c r="J300" s="999"/>
      <c r="K300" s="302"/>
      <c r="L300" s="363"/>
      <c r="M300" s="330"/>
      <c r="N300" s="331"/>
      <c r="O300" s="338"/>
      <c r="P300" s="339"/>
      <c r="Q300" s="346"/>
      <c r="R300" s="347"/>
      <c r="S300" s="354"/>
      <c r="T300" s="355"/>
      <c r="U300" s="302"/>
    </row>
    <row r="301" spans="2:21" ht="14.1" customHeight="1" x14ac:dyDescent="0.15">
      <c r="B301" s="302"/>
      <c r="C301" s="325">
        <v>288</v>
      </c>
      <c r="D301" s="997"/>
      <c r="E301" s="998"/>
      <c r="F301" s="998"/>
      <c r="G301" s="998"/>
      <c r="H301" s="998"/>
      <c r="I301" s="998"/>
      <c r="J301" s="999"/>
      <c r="K301" s="302"/>
      <c r="L301" s="363"/>
      <c r="M301" s="330"/>
      <c r="N301" s="331"/>
      <c r="O301" s="338"/>
      <c r="P301" s="339"/>
      <c r="Q301" s="346"/>
      <c r="R301" s="347"/>
      <c r="S301" s="354"/>
      <c r="T301" s="355"/>
      <c r="U301" s="302"/>
    </row>
    <row r="302" spans="2:21" ht="14.1" customHeight="1" x14ac:dyDescent="0.15">
      <c r="B302" s="302"/>
      <c r="C302" s="325">
        <v>289</v>
      </c>
      <c r="D302" s="997"/>
      <c r="E302" s="998"/>
      <c r="F302" s="998"/>
      <c r="G302" s="998"/>
      <c r="H302" s="998"/>
      <c r="I302" s="998"/>
      <c r="J302" s="999"/>
      <c r="K302" s="302"/>
      <c r="L302" s="363"/>
      <c r="M302" s="330"/>
      <c r="N302" s="331"/>
      <c r="O302" s="338"/>
      <c r="P302" s="339"/>
      <c r="Q302" s="346"/>
      <c r="R302" s="347"/>
      <c r="S302" s="354"/>
      <c r="T302" s="355"/>
      <c r="U302" s="302"/>
    </row>
    <row r="303" spans="2:21" ht="14.1" customHeight="1" x14ac:dyDescent="0.15">
      <c r="B303" s="302"/>
      <c r="C303" s="325">
        <v>290</v>
      </c>
      <c r="D303" s="997"/>
      <c r="E303" s="998"/>
      <c r="F303" s="998"/>
      <c r="G303" s="998"/>
      <c r="H303" s="998"/>
      <c r="I303" s="998"/>
      <c r="J303" s="999"/>
      <c r="K303" s="302"/>
      <c r="L303" s="363"/>
      <c r="M303" s="330"/>
      <c r="N303" s="331"/>
      <c r="O303" s="338"/>
      <c r="P303" s="339"/>
      <c r="Q303" s="346"/>
      <c r="R303" s="347"/>
      <c r="S303" s="354"/>
      <c r="T303" s="355"/>
      <c r="U303" s="302"/>
    </row>
    <row r="304" spans="2:21" ht="14.1" customHeight="1" x14ac:dyDescent="0.15">
      <c r="B304" s="302"/>
      <c r="C304" s="325">
        <v>291</v>
      </c>
      <c r="D304" s="997"/>
      <c r="E304" s="998"/>
      <c r="F304" s="998"/>
      <c r="G304" s="998"/>
      <c r="H304" s="998"/>
      <c r="I304" s="998"/>
      <c r="J304" s="999"/>
      <c r="K304" s="302"/>
      <c r="L304" s="363"/>
      <c r="M304" s="330"/>
      <c r="N304" s="331"/>
      <c r="O304" s="338"/>
      <c r="P304" s="339"/>
      <c r="Q304" s="346"/>
      <c r="R304" s="347"/>
      <c r="S304" s="354"/>
      <c r="T304" s="355"/>
      <c r="U304" s="302"/>
    </row>
    <row r="305" spans="2:21" ht="14.1" customHeight="1" x14ac:dyDescent="0.15">
      <c r="B305" s="302"/>
      <c r="C305" s="325">
        <v>292</v>
      </c>
      <c r="D305" s="997"/>
      <c r="E305" s="998"/>
      <c r="F305" s="998"/>
      <c r="G305" s="998"/>
      <c r="H305" s="998"/>
      <c r="I305" s="998"/>
      <c r="J305" s="999"/>
      <c r="K305" s="302"/>
      <c r="L305" s="363"/>
      <c r="M305" s="330"/>
      <c r="N305" s="331"/>
      <c r="O305" s="338"/>
      <c r="P305" s="339"/>
      <c r="Q305" s="346"/>
      <c r="R305" s="347"/>
      <c r="S305" s="354"/>
      <c r="T305" s="355"/>
      <c r="U305" s="302"/>
    </row>
    <row r="306" spans="2:21" ht="14.1" customHeight="1" x14ac:dyDescent="0.15">
      <c r="B306" s="302"/>
      <c r="C306" s="325">
        <v>293</v>
      </c>
      <c r="D306" s="997"/>
      <c r="E306" s="998"/>
      <c r="F306" s="998"/>
      <c r="G306" s="998"/>
      <c r="H306" s="998"/>
      <c r="I306" s="998"/>
      <c r="J306" s="999"/>
      <c r="K306" s="302"/>
      <c r="L306" s="363"/>
      <c r="M306" s="330"/>
      <c r="N306" s="331"/>
      <c r="O306" s="338"/>
      <c r="P306" s="339"/>
      <c r="Q306" s="346"/>
      <c r="R306" s="347"/>
      <c r="S306" s="354"/>
      <c r="T306" s="355"/>
      <c r="U306" s="302"/>
    </row>
    <row r="307" spans="2:21" ht="14.1" customHeight="1" x14ac:dyDescent="0.15">
      <c r="B307" s="302"/>
      <c r="C307" s="325">
        <v>294</v>
      </c>
      <c r="D307" s="997"/>
      <c r="E307" s="998"/>
      <c r="F307" s="998"/>
      <c r="G307" s="998"/>
      <c r="H307" s="998"/>
      <c r="I307" s="998"/>
      <c r="J307" s="999"/>
      <c r="K307" s="302"/>
      <c r="L307" s="363"/>
      <c r="M307" s="330"/>
      <c r="N307" s="331"/>
      <c r="O307" s="338"/>
      <c r="P307" s="339"/>
      <c r="Q307" s="346"/>
      <c r="R307" s="347"/>
      <c r="S307" s="354"/>
      <c r="T307" s="355"/>
      <c r="U307" s="302"/>
    </row>
    <row r="308" spans="2:21" ht="14.1" customHeight="1" x14ac:dyDescent="0.15">
      <c r="B308" s="302"/>
      <c r="C308" s="325">
        <v>295</v>
      </c>
      <c r="D308" s="997"/>
      <c r="E308" s="998"/>
      <c r="F308" s="998"/>
      <c r="G308" s="998"/>
      <c r="H308" s="998"/>
      <c r="I308" s="998"/>
      <c r="J308" s="999"/>
      <c r="K308" s="302"/>
      <c r="L308" s="363"/>
      <c r="M308" s="330"/>
      <c r="N308" s="331"/>
      <c r="O308" s="338"/>
      <c r="P308" s="339"/>
      <c r="Q308" s="346"/>
      <c r="R308" s="347"/>
      <c r="S308" s="354"/>
      <c r="T308" s="355"/>
      <c r="U308" s="302"/>
    </row>
    <row r="309" spans="2:21" ht="14.1" customHeight="1" x14ac:dyDescent="0.15">
      <c r="B309" s="302"/>
      <c r="C309" s="325">
        <v>296</v>
      </c>
      <c r="D309" s="997"/>
      <c r="E309" s="998"/>
      <c r="F309" s="998"/>
      <c r="G309" s="998"/>
      <c r="H309" s="998"/>
      <c r="I309" s="998"/>
      <c r="J309" s="999"/>
      <c r="K309" s="302"/>
      <c r="L309" s="363"/>
      <c r="M309" s="330"/>
      <c r="N309" s="331"/>
      <c r="O309" s="338"/>
      <c r="P309" s="339"/>
      <c r="Q309" s="346"/>
      <c r="R309" s="347"/>
      <c r="S309" s="354"/>
      <c r="T309" s="355"/>
      <c r="U309" s="302"/>
    </row>
    <row r="310" spans="2:21" ht="14.1" customHeight="1" x14ac:dyDescent="0.15">
      <c r="B310" s="302"/>
      <c r="C310" s="325">
        <v>297</v>
      </c>
      <c r="D310" s="997"/>
      <c r="E310" s="998"/>
      <c r="F310" s="998"/>
      <c r="G310" s="998"/>
      <c r="H310" s="998"/>
      <c r="I310" s="998"/>
      <c r="J310" s="999"/>
      <c r="K310" s="302"/>
      <c r="L310" s="363"/>
      <c r="M310" s="330"/>
      <c r="N310" s="331"/>
      <c r="O310" s="338"/>
      <c r="P310" s="339"/>
      <c r="Q310" s="346"/>
      <c r="R310" s="347"/>
      <c r="S310" s="354"/>
      <c r="T310" s="355"/>
      <c r="U310" s="302"/>
    </row>
    <row r="311" spans="2:21" ht="14.1" customHeight="1" x14ac:dyDescent="0.15">
      <c r="B311" s="302"/>
      <c r="C311" s="325">
        <v>298</v>
      </c>
      <c r="D311" s="997"/>
      <c r="E311" s="998"/>
      <c r="F311" s="998"/>
      <c r="G311" s="998"/>
      <c r="H311" s="998"/>
      <c r="I311" s="998"/>
      <c r="J311" s="999"/>
      <c r="K311" s="302"/>
      <c r="L311" s="363"/>
      <c r="M311" s="330"/>
      <c r="N311" s="331"/>
      <c r="O311" s="338"/>
      <c r="P311" s="339"/>
      <c r="Q311" s="346"/>
      <c r="R311" s="347"/>
      <c r="S311" s="354"/>
      <c r="T311" s="355"/>
      <c r="U311" s="302"/>
    </row>
    <row r="312" spans="2:21" ht="14.1" customHeight="1" x14ac:dyDescent="0.15">
      <c r="B312" s="302"/>
      <c r="C312" s="325">
        <v>299</v>
      </c>
      <c r="D312" s="997"/>
      <c r="E312" s="998"/>
      <c r="F312" s="998"/>
      <c r="G312" s="998"/>
      <c r="H312" s="998"/>
      <c r="I312" s="998"/>
      <c r="J312" s="999"/>
      <c r="K312" s="302"/>
      <c r="L312" s="363"/>
      <c r="M312" s="330"/>
      <c r="N312" s="331"/>
      <c r="O312" s="338"/>
      <c r="P312" s="339"/>
      <c r="Q312" s="346"/>
      <c r="R312" s="347"/>
      <c r="S312" s="354"/>
      <c r="T312" s="355"/>
      <c r="U312" s="302"/>
    </row>
    <row r="313" spans="2:21" ht="14.1" customHeight="1" x14ac:dyDescent="0.15">
      <c r="B313" s="302"/>
      <c r="C313" s="325">
        <v>300</v>
      </c>
      <c r="D313" s="997"/>
      <c r="E313" s="998"/>
      <c r="F313" s="998"/>
      <c r="G313" s="998"/>
      <c r="H313" s="998"/>
      <c r="I313" s="998"/>
      <c r="J313" s="999"/>
      <c r="K313" s="302"/>
      <c r="L313" s="363"/>
      <c r="M313" s="330"/>
      <c r="N313" s="331"/>
      <c r="O313" s="338"/>
      <c r="P313" s="339"/>
      <c r="Q313" s="346"/>
      <c r="R313" s="347"/>
      <c r="S313" s="354"/>
      <c r="T313" s="355"/>
      <c r="U313" s="302"/>
    </row>
    <row r="314" spans="2:21" ht="14.1" customHeight="1" x14ac:dyDescent="0.15">
      <c r="B314" s="302"/>
      <c r="C314" s="325">
        <v>301</v>
      </c>
      <c r="D314" s="997"/>
      <c r="E314" s="998"/>
      <c r="F314" s="998"/>
      <c r="G314" s="998"/>
      <c r="H314" s="998"/>
      <c r="I314" s="998"/>
      <c r="J314" s="999"/>
      <c r="K314" s="302"/>
      <c r="L314" s="363"/>
      <c r="M314" s="330"/>
      <c r="N314" s="331"/>
      <c r="O314" s="338"/>
      <c r="P314" s="339"/>
      <c r="Q314" s="346"/>
      <c r="R314" s="347"/>
      <c r="S314" s="354"/>
      <c r="T314" s="355"/>
      <c r="U314" s="302"/>
    </row>
    <row r="315" spans="2:21" ht="14.1" customHeight="1" x14ac:dyDescent="0.15">
      <c r="B315" s="302"/>
      <c r="C315" s="325">
        <v>302</v>
      </c>
      <c r="D315" s="997"/>
      <c r="E315" s="998"/>
      <c r="F315" s="998"/>
      <c r="G315" s="998"/>
      <c r="H315" s="998"/>
      <c r="I315" s="998"/>
      <c r="J315" s="999"/>
      <c r="K315" s="302"/>
      <c r="L315" s="363"/>
      <c r="M315" s="330"/>
      <c r="N315" s="331"/>
      <c r="O315" s="338"/>
      <c r="P315" s="339"/>
      <c r="Q315" s="346"/>
      <c r="R315" s="347"/>
      <c r="S315" s="354"/>
      <c r="T315" s="355"/>
      <c r="U315" s="302"/>
    </row>
    <row r="316" spans="2:21" ht="14.1" customHeight="1" x14ac:dyDescent="0.15">
      <c r="B316" s="302"/>
      <c r="C316" s="325">
        <v>303</v>
      </c>
      <c r="D316" s="997"/>
      <c r="E316" s="998"/>
      <c r="F316" s="998"/>
      <c r="G316" s="998"/>
      <c r="H316" s="998"/>
      <c r="I316" s="998"/>
      <c r="J316" s="999"/>
      <c r="K316" s="302"/>
      <c r="L316" s="363"/>
      <c r="M316" s="330"/>
      <c r="N316" s="331"/>
      <c r="O316" s="338"/>
      <c r="P316" s="339"/>
      <c r="Q316" s="346"/>
      <c r="R316" s="347"/>
      <c r="S316" s="354"/>
      <c r="T316" s="355"/>
      <c r="U316" s="302"/>
    </row>
    <row r="317" spans="2:21" ht="14.1" customHeight="1" x14ac:dyDescent="0.15">
      <c r="B317" s="302"/>
      <c r="C317" s="325">
        <v>304</v>
      </c>
      <c r="D317" s="997"/>
      <c r="E317" s="998"/>
      <c r="F317" s="998"/>
      <c r="G317" s="998"/>
      <c r="H317" s="998"/>
      <c r="I317" s="998"/>
      <c r="J317" s="999"/>
      <c r="K317" s="302"/>
      <c r="L317" s="363"/>
      <c r="M317" s="330"/>
      <c r="N317" s="331"/>
      <c r="O317" s="338"/>
      <c r="P317" s="339"/>
      <c r="Q317" s="346"/>
      <c r="R317" s="347"/>
      <c r="S317" s="354"/>
      <c r="T317" s="355"/>
      <c r="U317" s="302"/>
    </row>
    <row r="318" spans="2:21" ht="14.1" customHeight="1" x14ac:dyDescent="0.15">
      <c r="B318" s="302"/>
      <c r="C318" s="325">
        <v>305</v>
      </c>
      <c r="D318" s="997"/>
      <c r="E318" s="998"/>
      <c r="F318" s="998"/>
      <c r="G318" s="998"/>
      <c r="H318" s="998"/>
      <c r="I318" s="998"/>
      <c r="J318" s="999"/>
      <c r="K318" s="302"/>
      <c r="L318" s="363"/>
      <c r="M318" s="330"/>
      <c r="N318" s="331"/>
      <c r="O318" s="338"/>
      <c r="P318" s="339"/>
      <c r="Q318" s="346"/>
      <c r="R318" s="347"/>
      <c r="S318" s="354"/>
      <c r="T318" s="355"/>
      <c r="U318" s="302"/>
    </row>
    <row r="319" spans="2:21" ht="14.1" customHeight="1" x14ac:dyDescent="0.15">
      <c r="B319" s="302"/>
      <c r="C319" s="325">
        <v>306</v>
      </c>
      <c r="D319" s="997"/>
      <c r="E319" s="998"/>
      <c r="F319" s="998"/>
      <c r="G319" s="998"/>
      <c r="H319" s="998"/>
      <c r="I319" s="998"/>
      <c r="J319" s="999"/>
      <c r="K319" s="302"/>
      <c r="L319" s="363"/>
      <c r="M319" s="330"/>
      <c r="N319" s="331"/>
      <c r="O319" s="338"/>
      <c r="P319" s="339"/>
      <c r="Q319" s="346"/>
      <c r="R319" s="347"/>
      <c r="S319" s="354"/>
      <c r="T319" s="355"/>
      <c r="U319" s="302"/>
    </row>
    <row r="320" spans="2:21" ht="14.1" customHeight="1" x14ac:dyDescent="0.15">
      <c r="B320" s="302"/>
      <c r="C320" s="325">
        <v>307</v>
      </c>
      <c r="D320" s="997"/>
      <c r="E320" s="998"/>
      <c r="F320" s="998"/>
      <c r="G320" s="998"/>
      <c r="H320" s="998"/>
      <c r="I320" s="998"/>
      <c r="J320" s="999"/>
      <c r="K320" s="302"/>
      <c r="L320" s="363"/>
      <c r="M320" s="330"/>
      <c r="N320" s="331"/>
      <c r="O320" s="338"/>
      <c r="P320" s="339"/>
      <c r="Q320" s="346"/>
      <c r="R320" s="347"/>
      <c r="S320" s="354"/>
      <c r="T320" s="355"/>
      <c r="U320" s="302"/>
    </row>
    <row r="321" spans="2:21" ht="14.1" customHeight="1" x14ac:dyDescent="0.15">
      <c r="B321" s="302"/>
      <c r="C321" s="325">
        <v>308</v>
      </c>
      <c r="D321" s="997"/>
      <c r="E321" s="998"/>
      <c r="F321" s="998"/>
      <c r="G321" s="998"/>
      <c r="H321" s="998"/>
      <c r="I321" s="998"/>
      <c r="J321" s="999"/>
      <c r="K321" s="302"/>
      <c r="L321" s="363"/>
      <c r="M321" s="330"/>
      <c r="N321" s="331"/>
      <c r="O321" s="338"/>
      <c r="P321" s="339"/>
      <c r="Q321" s="346"/>
      <c r="R321" s="347"/>
      <c r="S321" s="354"/>
      <c r="T321" s="355"/>
      <c r="U321" s="302"/>
    </row>
    <row r="322" spans="2:21" ht="14.1" customHeight="1" x14ac:dyDescent="0.15">
      <c r="B322" s="302"/>
      <c r="C322" s="325">
        <v>309</v>
      </c>
      <c r="D322" s="997"/>
      <c r="E322" s="998"/>
      <c r="F322" s="998"/>
      <c r="G322" s="998"/>
      <c r="H322" s="998"/>
      <c r="I322" s="998"/>
      <c r="J322" s="999"/>
      <c r="K322" s="302"/>
      <c r="L322" s="363"/>
      <c r="M322" s="330"/>
      <c r="N322" s="331"/>
      <c r="O322" s="338"/>
      <c r="P322" s="339"/>
      <c r="Q322" s="346"/>
      <c r="R322" s="347"/>
      <c r="S322" s="354"/>
      <c r="T322" s="355"/>
      <c r="U322" s="302"/>
    </row>
    <row r="323" spans="2:21" ht="14.1" customHeight="1" x14ac:dyDescent="0.15">
      <c r="B323" s="302"/>
      <c r="C323" s="325">
        <v>310</v>
      </c>
      <c r="D323" s="997"/>
      <c r="E323" s="998"/>
      <c r="F323" s="998"/>
      <c r="G323" s="998"/>
      <c r="H323" s="998"/>
      <c r="I323" s="998"/>
      <c r="J323" s="999"/>
      <c r="K323" s="302"/>
      <c r="L323" s="363"/>
      <c r="M323" s="330"/>
      <c r="N323" s="331"/>
      <c r="O323" s="338"/>
      <c r="P323" s="339"/>
      <c r="Q323" s="346"/>
      <c r="R323" s="347"/>
      <c r="S323" s="354"/>
      <c r="T323" s="355"/>
      <c r="U323" s="302"/>
    </row>
    <row r="324" spans="2:21" ht="14.1" customHeight="1" x14ac:dyDescent="0.15">
      <c r="B324" s="302"/>
      <c r="C324" s="325">
        <v>311</v>
      </c>
      <c r="D324" s="997"/>
      <c r="E324" s="998"/>
      <c r="F324" s="998"/>
      <c r="G324" s="998"/>
      <c r="H324" s="998"/>
      <c r="I324" s="998"/>
      <c r="J324" s="999"/>
      <c r="K324" s="302"/>
      <c r="L324" s="363"/>
      <c r="M324" s="330"/>
      <c r="N324" s="331"/>
      <c r="O324" s="338"/>
      <c r="P324" s="339"/>
      <c r="Q324" s="346"/>
      <c r="R324" s="347"/>
      <c r="S324" s="354"/>
      <c r="T324" s="355"/>
      <c r="U324" s="302"/>
    </row>
    <row r="325" spans="2:21" ht="14.1" customHeight="1" x14ac:dyDescent="0.15">
      <c r="B325" s="302"/>
      <c r="C325" s="325">
        <v>312</v>
      </c>
      <c r="D325" s="997"/>
      <c r="E325" s="998"/>
      <c r="F325" s="998"/>
      <c r="G325" s="998"/>
      <c r="H325" s="998"/>
      <c r="I325" s="998"/>
      <c r="J325" s="999"/>
      <c r="K325" s="302"/>
      <c r="L325" s="363"/>
      <c r="M325" s="330"/>
      <c r="N325" s="331"/>
      <c r="O325" s="338"/>
      <c r="P325" s="339"/>
      <c r="Q325" s="346"/>
      <c r="R325" s="347"/>
      <c r="S325" s="354"/>
      <c r="T325" s="355"/>
      <c r="U325" s="302"/>
    </row>
    <row r="326" spans="2:21" ht="14.1" customHeight="1" x14ac:dyDescent="0.15">
      <c r="B326" s="302"/>
      <c r="C326" s="325">
        <v>313</v>
      </c>
      <c r="D326" s="997"/>
      <c r="E326" s="998"/>
      <c r="F326" s="998"/>
      <c r="G326" s="998"/>
      <c r="H326" s="998"/>
      <c r="I326" s="998"/>
      <c r="J326" s="999"/>
      <c r="K326" s="302"/>
      <c r="L326" s="363"/>
      <c r="M326" s="330"/>
      <c r="N326" s="331"/>
      <c r="O326" s="338"/>
      <c r="P326" s="339"/>
      <c r="Q326" s="346"/>
      <c r="R326" s="347"/>
      <c r="S326" s="354"/>
      <c r="T326" s="355"/>
      <c r="U326" s="302"/>
    </row>
    <row r="327" spans="2:21" ht="14.1" customHeight="1" x14ac:dyDescent="0.15">
      <c r="B327" s="302"/>
      <c r="C327" s="325">
        <v>314</v>
      </c>
      <c r="D327" s="997"/>
      <c r="E327" s="998"/>
      <c r="F327" s="998"/>
      <c r="G327" s="998"/>
      <c r="H327" s="998"/>
      <c r="I327" s="998"/>
      <c r="J327" s="999"/>
      <c r="K327" s="302"/>
      <c r="L327" s="363"/>
      <c r="M327" s="330"/>
      <c r="N327" s="331"/>
      <c r="O327" s="338"/>
      <c r="P327" s="339"/>
      <c r="Q327" s="346"/>
      <c r="R327" s="347"/>
      <c r="S327" s="354"/>
      <c r="T327" s="355"/>
      <c r="U327" s="302"/>
    </row>
    <row r="328" spans="2:21" ht="14.1" customHeight="1" x14ac:dyDescent="0.15">
      <c r="B328" s="302"/>
      <c r="C328" s="325">
        <v>315</v>
      </c>
      <c r="D328" s="997"/>
      <c r="E328" s="998"/>
      <c r="F328" s="998"/>
      <c r="G328" s="998"/>
      <c r="H328" s="998"/>
      <c r="I328" s="998"/>
      <c r="J328" s="999"/>
      <c r="K328" s="302"/>
      <c r="L328" s="363"/>
      <c r="M328" s="330"/>
      <c r="N328" s="331"/>
      <c r="O328" s="338"/>
      <c r="P328" s="339"/>
      <c r="Q328" s="346"/>
      <c r="R328" s="347"/>
      <c r="S328" s="354"/>
      <c r="T328" s="355"/>
      <c r="U328" s="302"/>
    </row>
    <row r="329" spans="2:21" ht="14.1" customHeight="1" x14ac:dyDescent="0.15">
      <c r="B329" s="302"/>
      <c r="C329" s="325">
        <v>316</v>
      </c>
      <c r="D329" s="997"/>
      <c r="E329" s="998"/>
      <c r="F329" s="998"/>
      <c r="G329" s="998"/>
      <c r="H329" s="998"/>
      <c r="I329" s="998"/>
      <c r="J329" s="999"/>
      <c r="K329" s="302"/>
      <c r="L329" s="363"/>
      <c r="M329" s="330"/>
      <c r="N329" s="331"/>
      <c r="O329" s="338"/>
      <c r="P329" s="339"/>
      <c r="Q329" s="346"/>
      <c r="R329" s="347"/>
      <c r="S329" s="354"/>
      <c r="T329" s="355"/>
      <c r="U329" s="302"/>
    </row>
    <row r="330" spans="2:21" ht="14.1" customHeight="1" x14ac:dyDescent="0.15">
      <c r="B330" s="302"/>
      <c r="C330" s="325">
        <v>317</v>
      </c>
      <c r="D330" s="997"/>
      <c r="E330" s="998"/>
      <c r="F330" s="998"/>
      <c r="G330" s="998"/>
      <c r="H330" s="998"/>
      <c r="I330" s="998"/>
      <c r="J330" s="999"/>
      <c r="K330" s="302"/>
      <c r="L330" s="363"/>
      <c r="M330" s="330"/>
      <c r="N330" s="331"/>
      <c r="O330" s="338"/>
      <c r="P330" s="339"/>
      <c r="Q330" s="346"/>
      <c r="R330" s="347"/>
      <c r="S330" s="354"/>
      <c r="T330" s="355"/>
      <c r="U330" s="302"/>
    </row>
    <row r="331" spans="2:21" ht="14.1" customHeight="1" x14ac:dyDescent="0.15">
      <c r="B331" s="302"/>
      <c r="C331" s="325">
        <v>318</v>
      </c>
      <c r="D331" s="997"/>
      <c r="E331" s="998"/>
      <c r="F331" s="998"/>
      <c r="G331" s="998"/>
      <c r="H331" s="998"/>
      <c r="I331" s="998"/>
      <c r="J331" s="999"/>
      <c r="K331" s="302"/>
      <c r="L331" s="363"/>
      <c r="M331" s="330"/>
      <c r="N331" s="331"/>
      <c r="O331" s="338"/>
      <c r="P331" s="339"/>
      <c r="Q331" s="346"/>
      <c r="R331" s="347"/>
      <c r="S331" s="354"/>
      <c r="T331" s="355"/>
      <c r="U331" s="302"/>
    </row>
    <row r="332" spans="2:21" ht="14.1" customHeight="1" x14ac:dyDescent="0.15">
      <c r="B332" s="302"/>
      <c r="C332" s="325">
        <v>319</v>
      </c>
      <c r="D332" s="997"/>
      <c r="E332" s="998"/>
      <c r="F332" s="998"/>
      <c r="G332" s="998"/>
      <c r="H332" s="998"/>
      <c r="I332" s="998"/>
      <c r="J332" s="999"/>
      <c r="K332" s="302"/>
      <c r="L332" s="363"/>
      <c r="M332" s="330"/>
      <c r="N332" s="331"/>
      <c r="O332" s="338"/>
      <c r="P332" s="339"/>
      <c r="Q332" s="346"/>
      <c r="R332" s="347"/>
      <c r="S332" s="354"/>
      <c r="T332" s="355"/>
      <c r="U332" s="302"/>
    </row>
    <row r="333" spans="2:21" ht="14.1" customHeight="1" x14ac:dyDescent="0.15">
      <c r="B333" s="302"/>
      <c r="C333" s="325">
        <v>320</v>
      </c>
      <c r="D333" s="997"/>
      <c r="E333" s="998"/>
      <c r="F333" s="998"/>
      <c r="G333" s="998"/>
      <c r="H333" s="998"/>
      <c r="I333" s="998"/>
      <c r="J333" s="999"/>
      <c r="K333" s="302"/>
      <c r="L333" s="363"/>
      <c r="M333" s="330"/>
      <c r="N333" s="331"/>
      <c r="O333" s="338"/>
      <c r="P333" s="339"/>
      <c r="Q333" s="346"/>
      <c r="R333" s="347"/>
      <c r="S333" s="354"/>
      <c r="T333" s="355"/>
      <c r="U333" s="302"/>
    </row>
    <row r="334" spans="2:21" ht="14.1" customHeight="1" x14ac:dyDescent="0.15">
      <c r="B334" s="302"/>
      <c r="C334" s="325">
        <v>321</v>
      </c>
      <c r="D334" s="997"/>
      <c r="E334" s="998"/>
      <c r="F334" s="998"/>
      <c r="G334" s="998"/>
      <c r="H334" s="998"/>
      <c r="I334" s="998"/>
      <c r="J334" s="999"/>
      <c r="K334" s="302"/>
      <c r="L334" s="363"/>
      <c r="M334" s="330"/>
      <c r="N334" s="331"/>
      <c r="O334" s="338"/>
      <c r="P334" s="339"/>
      <c r="Q334" s="346"/>
      <c r="R334" s="347"/>
      <c r="S334" s="354"/>
      <c r="T334" s="355"/>
      <c r="U334" s="302"/>
    </row>
    <row r="335" spans="2:21" ht="14.1" customHeight="1" x14ac:dyDescent="0.15">
      <c r="B335" s="302"/>
      <c r="C335" s="325">
        <v>322</v>
      </c>
      <c r="D335" s="997"/>
      <c r="E335" s="998"/>
      <c r="F335" s="998"/>
      <c r="G335" s="998"/>
      <c r="H335" s="998"/>
      <c r="I335" s="998"/>
      <c r="J335" s="999"/>
      <c r="K335" s="302"/>
      <c r="L335" s="363"/>
      <c r="M335" s="330"/>
      <c r="N335" s="331"/>
      <c r="O335" s="338"/>
      <c r="P335" s="339"/>
      <c r="Q335" s="346"/>
      <c r="R335" s="347"/>
      <c r="S335" s="354"/>
      <c r="T335" s="355"/>
      <c r="U335" s="302"/>
    </row>
    <row r="336" spans="2:21" ht="14.1" customHeight="1" x14ac:dyDescent="0.15">
      <c r="B336" s="302"/>
      <c r="C336" s="325">
        <v>323</v>
      </c>
      <c r="D336" s="997"/>
      <c r="E336" s="998"/>
      <c r="F336" s="998"/>
      <c r="G336" s="998"/>
      <c r="H336" s="998"/>
      <c r="I336" s="998"/>
      <c r="J336" s="999"/>
      <c r="K336" s="302"/>
      <c r="L336" s="363"/>
      <c r="M336" s="330"/>
      <c r="N336" s="331"/>
      <c r="O336" s="338"/>
      <c r="P336" s="339"/>
      <c r="Q336" s="346"/>
      <c r="R336" s="347"/>
      <c r="S336" s="354"/>
      <c r="T336" s="355"/>
      <c r="U336" s="302"/>
    </row>
    <row r="337" spans="2:21" ht="14.1" customHeight="1" x14ac:dyDescent="0.15">
      <c r="B337" s="302"/>
      <c r="C337" s="325">
        <v>324</v>
      </c>
      <c r="D337" s="997"/>
      <c r="E337" s="998"/>
      <c r="F337" s="998"/>
      <c r="G337" s="998"/>
      <c r="H337" s="998"/>
      <c r="I337" s="998"/>
      <c r="J337" s="999"/>
      <c r="K337" s="302"/>
      <c r="L337" s="363"/>
      <c r="M337" s="330"/>
      <c r="N337" s="331"/>
      <c r="O337" s="338"/>
      <c r="P337" s="339"/>
      <c r="Q337" s="346"/>
      <c r="R337" s="347"/>
      <c r="S337" s="354"/>
      <c r="T337" s="355"/>
      <c r="U337" s="302"/>
    </row>
    <row r="338" spans="2:21" ht="14.1" customHeight="1" x14ac:dyDescent="0.15">
      <c r="B338" s="302"/>
      <c r="C338" s="325">
        <v>325</v>
      </c>
      <c r="D338" s="997"/>
      <c r="E338" s="998"/>
      <c r="F338" s="998"/>
      <c r="G338" s="998"/>
      <c r="H338" s="998"/>
      <c r="I338" s="998"/>
      <c r="J338" s="999"/>
      <c r="K338" s="302"/>
      <c r="L338" s="363"/>
      <c r="M338" s="330"/>
      <c r="N338" s="331"/>
      <c r="O338" s="338"/>
      <c r="P338" s="339"/>
      <c r="Q338" s="346"/>
      <c r="R338" s="347"/>
      <c r="S338" s="354"/>
      <c r="T338" s="355"/>
      <c r="U338" s="302"/>
    </row>
    <row r="339" spans="2:21" ht="14.1" customHeight="1" x14ac:dyDescent="0.15">
      <c r="B339" s="302"/>
      <c r="C339" s="325">
        <v>326</v>
      </c>
      <c r="D339" s="997"/>
      <c r="E339" s="998"/>
      <c r="F339" s="998"/>
      <c r="G339" s="998"/>
      <c r="H339" s="998"/>
      <c r="I339" s="998"/>
      <c r="J339" s="999"/>
      <c r="K339" s="302"/>
      <c r="L339" s="363"/>
      <c r="M339" s="330"/>
      <c r="N339" s="331"/>
      <c r="O339" s="338"/>
      <c r="P339" s="339"/>
      <c r="Q339" s="346"/>
      <c r="R339" s="347"/>
      <c r="S339" s="354"/>
      <c r="T339" s="355"/>
      <c r="U339" s="302"/>
    </row>
    <row r="340" spans="2:21" ht="14.1" customHeight="1" x14ac:dyDescent="0.15">
      <c r="B340" s="302"/>
      <c r="C340" s="325">
        <v>327</v>
      </c>
      <c r="D340" s="997"/>
      <c r="E340" s="998"/>
      <c r="F340" s="998"/>
      <c r="G340" s="998"/>
      <c r="H340" s="998"/>
      <c r="I340" s="998"/>
      <c r="J340" s="999"/>
      <c r="K340" s="302"/>
      <c r="L340" s="363"/>
      <c r="M340" s="330"/>
      <c r="N340" s="331"/>
      <c r="O340" s="338"/>
      <c r="P340" s="339"/>
      <c r="Q340" s="346"/>
      <c r="R340" s="347"/>
      <c r="S340" s="354"/>
      <c r="T340" s="355"/>
      <c r="U340" s="302"/>
    </row>
    <row r="341" spans="2:21" ht="14.1" customHeight="1" x14ac:dyDescent="0.15">
      <c r="B341" s="302"/>
      <c r="C341" s="325">
        <v>328</v>
      </c>
      <c r="D341" s="997"/>
      <c r="E341" s="998"/>
      <c r="F341" s="998"/>
      <c r="G341" s="998"/>
      <c r="H341" s="998"/>
      <c r="I341" s="998"/>
      <c r="J341" s="999"/>
      <c r="K341" s="302"/>
      <c r="L341" s="363"/>
      <c r="M341" s="330"/>
      <c r="N341" s="331"/>
      <c r="O341" s="338"/>
      <c r="P341" s="339"/>
      <c r="Q341" s="346"/>
      <c r="R341" s="347"/>
      <c r="S341" s="354"/>
      <c r="T341" s="355"/>
      <c r="U341" s="302"/>
    </row>
    <row r="342" spans="2:21" ht="14.1" customHeight="1" x14ac:dyDescent="0.15">
      <c r="B342" s="302"/>
      <c r="C342" s="325">
        <v>329</v>
      </c>
      <c r="D342" s="997"/>
      <c r="E342" s="998"/>
      <c r="F342" s="998"/>
      <c r="G342" s="998"/>
      <c r="H342" s="998"/>
      <c r="I342" s="998"/>
      <c r="J342" s="999"/>
      <c r="K342" s="302"/>
      <c r="L342" s="363"/>
      <c r="M342" s="330"/>
      <c r="N342" s="331"/>
      <c r="O342" s="338"/>
      <c r="P342" s="339"/>
      <c r="Q342" s="346"/>
      <c r="R342" s="347"/>
      <c r="S342" s="354"/>
      <c r="T342" s="355"/>
      <c r="U342" s="302"/>
    </row>
    <row r="343" spans="2:21" ht="14.1" customHeight="1" x14ac:dyDescent="0.15">
      <c r="B343" s="302"/>
      <c r="C343" s="325">
        <v>330</v>
      </c>
      <c r="D343" s="997"/>
      <c r="E343" s="998"/>
      <c r="F343" s="998"/>
      <c r="G343" s="998"/>
      <c r="H343" s="998"/>
      <c r="I343" s="998"/>
      <c r="J343" s="999"/>
      <c r="K343" s="302"/>
      <c r="L343" s="363"/>
      <c r="M343" s="330"/>
      <c r="N343" s="331"/>
      <c r="O343" s="338"/>
      <c r="P343" s="339"/>
      <c r="Q343" s="346"/>
      <c r="R343" s="347"/>
      <c r="S343" s="354"/>
      <c r="T343" s="355"/>
      <c r="U343" s="302"/>
    </row>
    <row r="344" spans="2:21" ht="14.1" customHeight="1" x14ac:dyDescent="0.15">
      <c r="B344" s="302"/>
      <c r="C344" s="325">
        <v>331</v>
      </c>
      <c r="D344" s="997"/>
      <c r="E344" s="998"/>
      <c r="F344" s="998"/>
      <c r="G344" s="998"/>
      <c r="H344" s="998"/>
      <c r="I344" s="998"/>
      <c r="J344" s="999"/>
      <c r="K344" s="302"/>
      <c r="L344" s="363"/>
      <c r="M344" s="330"/>
      <c r="N344" s="331"/>
      <c r="O344" s="338"/>
      <c r="P344" s="339"/>
      <c r="Q344" s="346"/>
      <c r="R344" s="347"/>
      <c r="S344" s="354"/>
      <c r="T344" s="355"/>
      <c r="U344" s="302"/>
    </row>
    <row r="345" spans="2:21" ht="14.1" customHeight="1" x14ac:dyDescent="0.15">
      <c r="B345" s="302"/>
      <c r="C345" s="325">
        <v>332</v>
      </c>
      <c r="D345" s="997"/>
      <c r="E345" s="998"/>
      <c r="F345" s="998"/>
      <c r="G345" s="998"/>
      <c r="H345" s="998"/>
      <c r="I345" s="998"/>
      <c r="J345" s="999"/>
      <c r="K345" s="302"/>
      <c r="L345" s="363"/>
      <c r="M345" s="330"/>
      <c r="N345" s="331"/>
      <c r="O345" s="338"/>
      <c r="P345" s="339"/>
      <c r="Q345" s="346"/>
      <c r="R345" s="347"/>
      <c r="S345" s="354"/>
      <c r="T345" s="355"/>
      <c r="U345" s="302"/>
    </row>
    <row r="346" spans="2:21" ht="14.1" customHeight="1" x14ac:dyDescent="0.15">
      <c r="B346" s="302"/>
      <c r="C346" s="325">
        <v>333</v>
      </c>
      <c r="D346" s="997"/>
      <c r="E346" s="998"/>
      <c r="F346" s="998"/>
      <c r="G346" s="998"/>
      <c r="H346" s="998"/>
      <c r="I346" s="998"/>
      <c r="J346" s="999"/>
      <c r="K346" s="302"/>
      <c r="L346" s="363"/>
      <c r="M346" s="330"/>
      <c r="N346" s="331"/>
      <c r="O346" s="338"/>
      <c r="P346" s="339"/>
      <c r="Q346" s="346"/>
      <c r="R346" s="347"/>
      <c r="S346" s="354"/>
      <c r="T346" s="355"/>
      <c r="U346" s="302"/>
    </row>
    <row r="347" spans="2:21" ht="14.1" customHeight="1" x14ac:dyDescent="0.15">
      <c r="B347" s="302"/>
      <c r="C347" s="325">
        <v>334</v>
      </c>
      <c r="D347" s="997"/>
      <c r="E347" s="998"/>
      <c r="F347" s="998"/>
      <c r="G347" s="998"/>
      <c r="H347" s="998"/>
      <c r="I347" s="998"/>
      <c r="J347" s="999"/>
      <c r="K347" s="302"/>
      <c r="L347" s="363"/>
      <c r="M347" s="330"/>
      <c r="N347" s="331"/>
      <c r="O347" s="338"/>
      <c r="P347" s="339"/>
      <c r="Q347" s="346"/>
      <c r="R347" s="347"/>
      <c r="S347" s="354"/>
      <c r="T347" s="355"/>
      <c r="U347" s="302"/>
    </row>
    <row r="348" spans="2:21" ht="14.1" customHeight="1" x14ac:dyDescent="0.15">
      <c r="B348" s="302"/>
      <c r="C348" s="325">
        <v>335</v>
      </c>
      <c r="D348" s="997"/>
      <c r="E348" s="998"/>
      <c r="F348" s="998"/>
      <c r="G348" s="998"/>
      <c r="H348" s="998"/>
      <c r="I348" s="998"/>
      <c r="J348" s="999"/>
      <c r="K348" s="302"/>
      <c r="L348" s="363"/>
      <c r="M348" s="330"/>
      <c r="N348" s="331"/>
      <c r="O348" s="338"/>
      <c r="P348" s="339"/>
      <c r="Q348" s="346"/>
      <c r="R348" s="347"/>
      <c r="S348" s="354"/>
      <c r="T348" s="355"/>
      <c r="U348" s="302"/>
    </row>
    <row r="349" spans="2:21" ht="14.1" customHeight="1" x14ac:dyDescent="0.15">
      <c r="B349" s="302"/>
      <c r="C349" s="325">
        <v>336</v>
      </c>
      <c r="D349" s="997"/>
      <c r="E349" s="998"/>
      <c r="F349" s="998"/>
      <c r="G349" s="998"/>
      <c r="H349" s="998"/>
      <c r="I349" s="998"/>
      <c r="J349" s="999"/>
      <c r="K349" s="302"/>
      <c r="L349" s="363"/>
      <c r="M349" s="330"/>
      <c r="N349" s="331"/>
      <c r="O349" s="338"/>
      <c r="P349" s="339"/>
      <c r="Q349" s="346"/>
      <c r="R349" s="347"/>
      <c r="S349" s="354"/>
      <c r="T349" s="355"/>
      <c r="U349" s="302"/>
    </row>
    <row r="350" spans="2:21" ht="14.1" customHeight="1" x14ac:dyDescent="0.15">
      <c r="B350" s="302"/>
      <c r="C350" s="325">
        <v>337</v>
      </c>
      <c r="D350" s="997"/>
      <c r="E350" s="998"/>
      <c r="F350" s="998"/>
      <c r="G350" s="998"/>
      <c r="H350" s="998"/>
      <c r="I350" s="998"/>
      <c r="J350" s="999"/>
      <c r="K350" s="302"/>
      <c r="L350" s="363"/>
      <c r="M350" s="330"/>
      <c r="N350" s="331"/>
      <c r="O350" s="338"/>
      <c r="P350" s="339"/>
      <c r="Q350" s="346"/>
      <c r="R350" s="347"/>
      <c r="S350" s="354"/>
      <c r="T350" s="355"/>
      <c r="U350" s="302"/>
    </row>
    <row r="351" spans="2:21" ht="14.1" customHeight="1" x14ac:dyDescent="0.15">
      <c r="B351" s="302"/>
      <c r="C351" s="325">
        <v>338</v>
      </c>
      <c r="D351" s="997"/>
      <c r="E351" s="998"/>
      <c r="F351" s="998"/>
      <c r="G351" s="998"/>
      <c r="H351" s="998"/>
      <c r="I351" s="998"/>
      <c r="J351" s="999"/>
      <c r="K351" s="302"/>
      <c r="L351" s="363"/>
      <c r="M351" s="330"/>
      <c r="N351" s="331"/>
      <c r="O351" s="338"/>
      <c r="P351" s="339"/>
      <c r="Q351" s="346"/>
      <c r="R351" s="347"/>
      <c r="S351" s="354"/>
      <c r="T351" s="355"/>
      <c r="U351" s="302"/>
    </row>
    <row r="352" spans="2:21" ht="14.1" customHeight="1" x14ac:dyDescent="0.15">
      <c r="B352" s="302"/>
      <c r="C352" s="325">
        <v>339</v>
      </c>
      <c r="D352" s="997"/>
      <c r="E352" s="998"/>
      <c r="F352" s="998"/>
      <c r="G352" s="998"/>
      <c r="H352" s="998"/>
      <c r="I352" s="998"/>
      <c r="J352" s="999"/>
      <c r="K352" s="302"/>
      <c r="L352" s="363"/>
      <c r="M352" s="330"/>
      <c r="N352" s="331"/>
      <c r="O352" s="338"/>
      <c r="P352" s="339"/>
      <c r="Q352" s="346"/>
      <c r="R352" s="347"/>
      <c r="S352" s="354"/>
      <c r="T352" s="355"/>
      <c r="U352" s="302"/>
    </row>
    <row r="353" spans="2:21" ht="14.1" customHeight="1" x14ac:dyDescent="0.15">
      <c r="B353" s="302"/>
      <c r="C353" s="325">
        <v>340</v>
      </c>
      <c r="D353" s="997"/>
      <c r="E353" s="998"/>
      <c r="F353" s="998"/>
      <c r="G353" s="998"/>
      <c r="H353" s="998"/>
      <c r="I353" s="998"/>
      <c r="J353" s="999"/>
      <c r="K353" s="302"/>
      <c r="L353" s="363"/>
      <c r="M353" s="330"/>
      <c r="N353" s="331"/>
      <c r="O353" s="338"/>
      <c r="P353" s="339"/>
      <c r="Q353" s="346"/>
      <c r="R353" s="347"/>
      <c r="S353" s="354"/>
      <c r="T353" s="355"/>
      <c r="U353" s="302"/>
    </row>
    <row r="354" spans="2:21" ht="14.1" customHeight="1" x14ac:dyDescent="0.15">
      <c r="B354" s="302"/>
      <c r="C354" s="325">
        <v>341</v>
      </c>
      <c r="D354" s="997"/>
      <c r="E354" s="998"/>
      <c r="F354" s="998"/>
      <c r="G354" s="998"/>
      <c r="H354" s="998"/>
      <c r="I354" s="998"/>
      <c r="J354" s="999"/>
      <c r="K354" s="302"/>
      <c r="L354" s="363"/>
      <c r="M354" s="330"/>
      <c r="N354" s="331"/>
      <c r="O354" s="338"/>
      <c r="P354" s="339"/>
      <c r="Q354" s="346"/>
      <c r="R354" s="347"/>
      <c r="S354" s="354"/>
      <c r="T354" s="355"/>
      <c r="U354" s="302"/>
    </row>
    <row r="355" spans="2:21" ht="14.1" customHeight="1" x14ac:dyDescent="0.15">
      <c r="B355" s="302"/>
      <c r="C355" s="325">
        <v>342</v>
      </c>
      <c r="D355" s="997"/>
      <c r="E355" s="998"/>
      <c r="F355" s="998"/>
      <c r="G355" s="998"/>
      <c r="H355" s="998"/>
      <c r="I355" s="998"/>
      <c r="J355" s="999"/>
      <c r="K355" s="302"/>
      <c r="L355" s="363"/>
      <c r="M355" s="330"/>
      <c r="N355" s="331"/>
      <c r="O355" s="338"/>
      <c r="P355" s="339"/>
      <c r="Q355" s="346"/>
      <c r="R355" s="347"/>
      <c r="S355" s="354"/>
      <c r="T355" s="355"/>
      <c r="U355" s="302"/>
    </row>
    <row r="356" spans="2:21" ht="14.1" customHeight="1" x14ac:dyDescent="0.15">
      <c r="B356" s="302"/>
      <c r="C356" s="325">
        <v>343</v>
      </c>
      <c r="D356" s="997"/>
      <c r="E356" s="998"/>
      <c r="F356" s="998"/>
      <c r="G356" s="998"/>
      <c r="H356" s="998"/>
      <c r="I356" s="998"/>
      <c r="J356" s="999"/>
      <c r="K356" s="302"/>
      <c r="L356" s="363"/>
      <c r="M356" s="330"/>
      <c r="N356" s="331"/>
      <c r="O356" s="338"/>
      <c r="P356" s="339"/>
      <c r="Q356" s="346"/>
      <c r="R356" s="347"/>
      <c r="S356" s="354"/>
      <c r="T356" s="355"/>
      <c r="U356" s="302"/>
    </row>
    <row r="357" spans="2:21" ht="14.1" customHeight="1" x14ac:dyDescent="0.15">
      <c r="B357" s="302"/>
      <c r="C357" s="325">
        <v>344</v>
      </c>
      <c r="D357" s="997"/>
      <c r="E357" s="998"/>
      <c r="F357" s="998"/>
      <c r="G357" s="998"/>
      <c r="H357" s="998"/>
      <c r="I357" s="998"/>
      <c r="J357" s="999"/>
      <c r="K357" s="302"/>
      <c r="L357" s="363"/>
      <c r="M357" s="330"/>
      <c r="N357" s="331"/>
      <c r="O357" s="338"/>
      <c r="P357" s="339"/>
      <c r="Q357" s="346"/>
      <c r="R357" s="347"/>
      <c r="S357" s="354"/>
      <c r="T357" s="355"/>
      <c r="U357" s="302"/>
    </row>
    <row r="358" spans="2:21" ht="14.1" customHeight="1" x14ac:dyDescent="0.15">
      <c r="B358" s="302"/>
      <c r="C358" s="325">
        <v>345</v>
      </c>
      <c r="D358" s="997"/>
      <c r="E358" s="998"/>
      <c r="F358" s="998"/>
      <c r="G358" s="998"/>
      <c r="H358" s="998"/>
      <c r="I358" s="998"/>
      <c r="J358" s="999"/>
      <c r="K358" s="302"/>
      <c r="L358" s="363"/>
      <c r="M358" s="330"/>
      <c r="N358" s="331"/>
      <c r="O358" s="338"/>
      <c r="P358" s="339"/>
      <c r="Q358" s="346"/>
      <c r="R358" s="347"/>
      <c r="S358" s="354"/>
      <c r="T358" s="355"/>
      <c r="U358" s="302"/>
    </row>
    <row r="359" spans="2:21" ht="14.1" customHeight="1" x14ac:dyDescent="0.15">
      <c r="B359" s="302"/>
      <c r="C359" s="325">
        <v>346</v>
      </c>
      <c r="D359" s="997"/>
      <c r="E359" s="998"/>
      <c r="F359" s="998"/>
      <c r="G359" s="998"/>
      <c r="H359" s="998"/>
      <c r="I359" s="998"/>
      <c r="J359" s="999"/>
      <c r="K359" s="302"/>
      <c r="L359" s="363"/>
      <c r="M359" s="330"/>
      <c r="N359" s="331"/>
      <c r="O359" s="338"/>
      <c r="P359" s="339"/>
      <c r="Q359" s="346"/>
      <c r="R359" s="347"/>
      <c r="S359" s="354"/>
      <c r="T359" s="355"/>
      <c r="U359" s="302"/>
    </row>
    <row r="360" spans="2:21" ht="14.1" customHeight="1" x14ac:dyDescent="0.15">
      <c r="B360" s="302"/>
      <c r="C360" s="325">
        <v>347</v>
      </c>
      <c r="D360" s="997"/>
      <c r="E360" s="998"/>
      <c r="F360" s="998"/>
      <c r="G360" s="998"/>
      <c r="H360" s="998"/>
      <c r="I360" s="998"/>
      <c r="J360" s="999"/>
      <c r="K360" s="302"/>
      <c r="L360" s="363"/>
      <c r="M360" s="330"/>
      <c r="N360" s="331"/>
      <c r="O360" s="338"/>
      <c r="P360" s="339"/>
      <c r="Q360" s="346"/>
      <c r="R360" s="347"/>
      <c r="S360" s="354"/>
      <c r="T360" s="355"/>
      <c r="U360" s="302"/>
    </row>
    <row r="361" spans="2:21" ht="14.1" customHeight="1" x14ac:dyDescent="0.15">
      <c r="B361" s="302"/>
      <c r="C361" s="325">
        <v>348</v>
      </c>
      <c r="D361" s="997"/>
      <c r="E361" s="998"/>
      <c r="F361" s="998"/>
      <c r="G361" s="998"/>
      <c r="H361" s="998"/>
      <c r="I361" s="998"/>
      <c r="J361" s="999"/>
      <c r="K361" s="302"/>
      <c r="L361" s="363"/>
      <c r="M361" s="330"/>
      <c r="N361" s="331"/>
      <c r="O361" s="338"/>
      <c r="P361" s="339"/>
      <c r="Q361" s="346"/>
      <c r="R361" s="347"/>
      <c r="S361" s="354"/>
      <c r="T361" s="355"/>
      <c r="U361" s="302"/>
    </row>
    <row r="362" spans="2:21" ht="14.1" customHeight="1" x14ac:dyDescent="0.15">
      <c r="B362" s="302"/>
      <c r="C362" s="325">
        <v>349</v>
      </c>
      <c r="D362" s="997"/>
      <c r="E362" s="998"/>
      <c r="F362" s="998"/>
      <c r="G362" s="998"/>
      <c r="H362" s="998"/>
      <c r="I362" s="998"/>
      <c r="J362" s="999"/>
      <c r="K362" s="302"/>
      <c r="L362" s="363"/>
      <c r="M362" s="330"/>
      <c r="N362" s="331"/>
      <c r="O362" s="338"/>
      <c r="P362" s="339"/>
      <c r="Q362" s="346"/>
      <c r="R362" s="347"/>
      <c r="S362" s="354"/>
      <c r="T362" s="355"/>
      <c r="U362" s="302"/>
    </row>
    <row r="363" spans="2:21" ht="14.1" customHeight="1" x14ac:dyDescent="0.15">
      <c r="B363" s="302"/>
      <c r="C363" s="325">
        <v>350</v>
      </c>
      <c r="D363" s="997"/>
      <c r="E363" s="998"/>
      <c r="F363" s="998"/>
      <c r="G363" s="998"/>
      <c r="H363" s="998"/>
      <c r="I363" s="998"/>
      <c r="J363" s="999"/>
      <c r="K363" s="302"/>
      <c r="L363" s="363"/>
      <c r="M363" s="330"/>
      <c r="N363" s="331"/>
      <c r="O363" s="338"/>
      <c r="P363" s="339"/>
      <c r="Q363" s="346"/>
      <c r="R363" s="347"/>
      <c r="S363" s="354"/>
      <c r="T363" s="355"/>
      <c r="U363" s="302"/>
    </row>
    <row r="364" spans="2:21" ht="14.1" customHeight="1" x14ac:dyDescent="0.15">
      <c r="B364" s="302"/>
      <c r="C364" s="325">
        <v>351</v>
      </c>
      <c r="D364" s="997"/>
      <c r="E364" s="998"/>
      <c r="F364" s="998"/>
      <c r="G364" s="998"/>
      <c r="H364" s="998"/>
      <c r="I364" s="998"/>
      <c r="J364" s="999"/>
      <c r="K364" s="302"/>
      <c r="L364" s="363"/>
      <c r="M364" s="330"/>
      <c r="N364" s="331"/>
      <c r="O364" s="338"/>
      <c r="P364" s="339"/>
      <c r="Q364" s="346"/>
      <c r="R364" s="347"/>
      <c r="S364" s="354"/>
      <c r="T364" s="355"/>
      <c r="U364" s="302"/>
    </row>
    <row r="365" spans="2:21" ht="14.1" customHeight="1" x14ac:dyDescent="0.15">
      <c r="B365" s="302"/>
      <c r="C365" s="325">
        <v>352</v>
      </c>
      <c r="D365" s="997"/>
      <c r="E365" s="998"/>
      <c r="F365" s="998"/>
      <c r="G365" s="998"/>
      <c r="H365" s="998"/>
      <c r="I365" s="998"/>
      <c r="J365" s="999"/>
      <c r="K365" s="302"/>
      <c r="L365" s="363"/>
      <c r="M365" s="330"/>
      <c r="N365" s="331"/>
      <c r="O365" s="338"/>
      <c r="P365" s="339"/>
      <c r="Q365" s="346"/>
      <c r="R365" s="347"/>
      <c r="S365" s="354"/>
      <c r="T365" s="355"/>
      <c r="U365" s="302"/>
    </row>
    <row r="366" spans="2:21" ht="14.1" customHeight="1" x14ac:dyDescent="0.15">
      <c r="B366" s="302"/>
      <c r="C366" s="325">
        <v>353</v>
      </c>
      <c r="D366" s="997"/>
      <c r="E366" s="998"/>
      <c r="F366" s="998"/>
      <c r="G366" s="998"/>
      <c r="H366" s="998"/>
      <c r="I366" s="998"/>
      <c r="J366" s="999"/>
      <c r="K366" s="302"/>
      <c r="L366" s="363"/>
      <c r="M366" s="330"/>
      <c r="N366" s="331"/>
      <c r="O366" s="338"/>
      <c r="P366" s="339"/>
      <c r="Q366" s="346"/>
      <c r="R366" s="347"/>
      <c r="S366" s="354"/>
      <c r="T366" s="355"/>
      <c r="U366" s="302"/>
    </row>
    <row r="367" spans="2:21" ht="14.1" customHeight="1" x14ac:dyDescent="0.15">
      <c r="B367" s="302"/>
      <c r="C367" s="325">
        <v>354</v>
      </c>
      <c r="D367" s="997"/>
      <c r="E367" s="998"/>
      <c r="F367" s="998"/>
      <c r="G367" s="998"/>
      <c r="H367" s="998"/>
      <c r="I367" s="998"/>
      <c r="J367" s="999"/>
      <c r="K367" s="302"/>
      <c r="L367" s="363"/>
      <c r="M367" s="330"/>
      <c r="N367" s="331"/>
      <c r="O367" s="338"/>
      <c r="P367" s="339"/>
      <c r="Q367" s="346"/>
      <c r="R367" s="347"/>
      <c r="S367" s="354"/>
      <c r="T367" s="355"/>
      <c r="U367" s="302"/>
    </row>
    <row r="368" spans="2:21" ht="14.1" customHeight="1" x14ac:dyDescent="0.15">
      <c r="B368" s="302"/>
      <c r="C368" s="325">
        <v>355</v>
      </c>
      <c r="D368" s="997"/>
      <c r="E368" s="998"/>
      <c r="F368" s="998"/>
      <c r="G368" s="998"/>
      <c r="H368" s="998"/>
      <c r="I368" s="998"/>
      <c r="J368" s="999"/>
      <c r="K368" s="302"/>
      <c r="L368" s="363"/>
      <c r="M368" s="330"/>
      <c r="N368" s="331"/>
      <c r="O368" s="338"/>
      <c r="P368" s="339"/>
      <c r="Q368" s="346"/>
      <c r="R368" s="347"/>
      <c r="S368" s="354"/>
      <c r="T368" s="355"/>
      <c r="U368" s="302"/>
    </row>
    <row r="369" spans="2:21" ht="14.1" customHeight="1" x14ac:dyDescent="0.15">
      <c r="B369" s="302"/>
      <c r="C369" s="325">
        <v>356</v>
      </c>
      <c r="D369" s="997"/>
      <c r="E369" s="998"/>
      <c r="F369" s="998"/>
      <c r="G369" s="998"/>
      <c r="H369" s="998"/>
      <c r="I369" s="998"/>
      <c r="J369" s="999"/>
      <c r="K369" s="302"/>
      <c r="L369" s="363"/>
      <c r="M369" s="330"/>
      <c r="N369" s="331"/>
      <c r="O369" s="338"/>
      <c r="P369" s="339"/>
      <c r="Q369" s="346"/>
      <c r="R369" s="347"/>
      <c r="S369" s="354"/>
      <c r="T369" s="355"/>
      <c r="U369" s="302"/>
    </row>
    <row r="370" spans="2:21" ht="14.1" customHeight="1" x14ac:dyDescent="0.15">
      <c r="B370" s="302"/>
      <c r="C370" s="325">
        <v>357</v>
      </c>
      <c r="D370" s="997"/>
      <c r="E370" s="998"/>
      <c r="F370" s="998"/>
      <c r="G370" s="998"/>
      <c r="H370" s="998"/>
      <c r="I370" s="998"/>
      <c r="J370" s="999"/>
      <c r="K370" s="302"/>
      <c r="L370" s="363"/>
      <c r="M370" s="330"/>
      <c r="N370" s="331"/>
      <c r="O370" s="338"/>
      <c r="P370" s="339"/>
      <c r="Q370" s="346"/>
      <c r="R370" s="347"/>
      <c r="S370" s="354"/>
      <c r="T370" s="355"/>
      <c r="U370" s="302"/>
    </row>
    <row r="371" spans="2:21" ht="14.1" customHeight="1" x14ac:dyDescent="0.15">
      <c r="B371" s="302"/>
      <c r="C371" s="325">
        <v>358</v>
      </c>
      <c r="D371" s="997"/>
      <c r="E371" s="998"/>
      <c r="F371" s="998"/>
      <c r="G371" s="998"/>
      <c r="H371" s="998"/>
      <c r="I371" s="998"/>
      <c r="J371" s="999"/>
      <c r="K371" s="302"/>
      <c r="L371" s="363"/>
      <c r="M371" s="330"/>
      <c r="N371" s="331"/>
      <c r="O371" s="338"/>
      <c r="P371" s="339"/>
      <c r="Q371" s="346"/>
      <c r="R371" s="347"/>
      <c r="S371" s="354"/>
      <c r="T371" s="355"/>
      <c r="U371" s="302"/>
    </row>
    <row r="372" spans="2:21" ht="14.1" customHeight="1" x14ac:dyDescent="0.15">
      <c r="B372" s="302"/>
      <c r="C372" s="325">
        <v>359</v>
      </c>
      <c r="D372" s="997"/>
      <c r="E372" s="998"/>
      <c r="F372" s="998"/>
      <c r="G372" s="998"/>
      <c r="H372" s="998"/>
      <c r="I372" s="998"/>
      <c r="J372" s="999"/>
      <c r="K372" s="302"/>
      <c r="L372" s="363"/>
      <c r="M372" s="330"/>
      <c r="N372" s="331"/>
      <c r="O372" s="338"/>
      <c r="P372" s="339"/>
      <c r="Q372" s="346"/>
      <c r="R372" s="347"/>
      <c r="S372" s="354"/>
      <c r="T372" s="355"/>
      <c r="U372" s="302"/>
    </row>
    <row r="373" spans="2:21" ht="14.1" customHeight="1" x14ac:dyDescent="0.15">
      <c r="B373" s="302"/>
      <c r="C373" s="325">
        <v>360</v>
      </c>
      <c r="D373" s="997"/>
      <c r="E373" s="998"/>
      <c r="F373" s="998"/>
      <c r="G373" s="998"/>
      <c r="H373" s="998"/>
      <c r="I373" s="998"/>
      <c r="J373" s="999"/>
      <c r="K373" s="302"/>
      <c r="L373" s="363"/>
      <c r="M373" s="330"/>
      <c r="N373" s="331"/>
      <c r="O373" s="338"/>
      <c r="P373" s="339"/>
      <c r="Q373" s="346"/>
      <c r="R373" s="347"/>
      <c r="S373" s="354"/>
      <c r="T373" s="355"/>
      <c r="U373" s="302"/>
    </row>
    <row r="374" spans="2:21" ht="14.1" customHeight="1" x14ac:dyDescent="0.15">
      <c r="B374" s="302"/>
      <c r="C374" s="325">
        <v>361</v>
      </c>
      <c r="D374" s="997"/>
      <c r="E374" s="998"/>
      <c r="F374" s="998"/>
      <c r="G374" s="998"/>
      <c r="H374" s="998"/>
      <c r="I374" s="998"/>
      <c r="J374" s="999"/>
      <c r="K374" s="302"/>
      <c r="L374" s="363"/>
      <c r="M374" s="330"/>
      <c r="N374" s="331"/>
      <c r="O374" s="338"/>
      <c r="P374" s="339"/>
      <c r="Q374" s="346"/>
      <c r="R374" s="347"/>
      <c r="S374" s="354"/>
      <c r="T374" s="355"/>
      <c r="U374" s="302"/>
    </row>
    <row r="375" spans="2:21" ht="14.1" customHeight="1" x14ac:dyDescent="0.15">
      <c r="B375" s="302"/>
      <c r="C375" s="325">
        <v>362</v>
      </c>
      <c r="D375" s="997"/>
      <c r="E375" s="998"/>
      <c r="F375" s="998"/>
      <c r="G375" s="998"/>
      <c r="H375" s="998"/>
      <c r="I375" s="998"/>
      <c r="J375" s="999"/>
      <c r="K375" s="302"/>
      <c r="L375" s="363"/>
      <c r="M375" s="330"/>
      <c r="N375" s="331"/>
      <c r="O375" s="338"/>
      <c r="P375" s="339"/>
      <c r="Q375" s="346"/>
      <c r="R375" s="347"/>
      <c r="S375" s="354"/>
      <c r="T375" s="355"/>
      <c r="U375" s="302"/>
    </row>
    <row r="376" spans="2:21" ht="14.1" customHeight="1" x14ac:dyDescent="0.15">
      <c r="B376" s="302"/>
      <c r="C376" s="325">
        <v>363</v>
      </c>
      <c r="D376" s="997"/>
      <c r="E376" s="998"/>
      <c r="F376" s="998"/>
      <c r="G376" s="998"/>
      <c r="H376" s="998"/>
      <c r="I376" s="998"/>
      <c r="J376" s="999"/>
      <c r="K376" s="302"/>
      <c r="L376" s="363"/>
      <c r="M376" s="330"/>
      <c r="N376" s="331"/>
      <c r="O376" s="338"/>
      <c r="P376" s="339"/>
      <c r="Q376" s="346"/>
      <c r="R376" s="347"/>
      <c r="S376" s="354"/>
      <c r="T376" s="355"/>
      <c r="U376" s="302"/>
    </row>
    <row r="377" spans="2:21" ht="14.1" customHeight="1" x14ac:dyDescent="0.15">
      <c r="B377" s="302"/>
      <c r="C377" s="325">
        <v>364</v>
      </c>
      <c r="D377" s="997"/>
      <c r="E377" s="998"/>
      <c r="F377" s="998"/>
      <c r="G377" s="998"/>
      <c r="H377" s="998"/>
      <c r="I377" s="998"/>
      <c r="J377" s="999"/>
      <c r="K377" s="302"/>
      <c r="L377" s="363"/>
      <c r="M377" s="330"/>
      <c r="N377" s="331"/>
      <c r="O377" s="338"/>
      <c r="P377" s="339"/>
      <c r="Q377" s="346"/>
      <c r="R377" s="347"/>
      <c r="S377" s="354"/>
      <c r="T377" s="355"/>
      <c r="U377" s="302"/>
    </row>
    <row r="378" spans="2:21" ht="14.1" customHeight="1" x14ac:dyDescent="0.15">
      <c r="B378" s="302"/>
      <c r="C378" s="325">
        <v>365</v>
      </c>
      <c r="D378" s="997"/>
      <c r="E378" s="998"/>
      <c r="F378" s="998"/>
      <c r="G378" s="998"/>
      <c r="H378" s="998"/>
      <c r="I378" s="998"/>
      <c r="J378" s="999"/>
      <c r="K378" s="302"/>
      <c r="L378" s="363"/>
      <c r="M378" s="330"/>
      <c r="N378" s="331"/>
      <c r="O378" s="338"/>
      <c r="P378" s="339"/>
      <c r="Q378" s="346"/>
      <c r="R378" s="347"/>
      <c r="S378" s="354"/>
      <c r="T378" s="355"/>
      <c r="U378" s="302"/>
    </row>
    <row r="379" spans="2:21" ht="14.1" customHeight="1" x14ac:dyDescent="0.15">
      <c r="B379" s="302"/>
      <c r="C379" s="325">
        <v>366</v>
      </c>
      <c r="D379" s="997"/>
      <c r="E379" s="998"/>
      <c r="F379" s="998"/>
      <c r="G379" s="998"/>
      <c r="H379" s="998"/>
      <c r="I379" s="998"/>
      <c r="J379" s="999"/>
      <c r="K379" s="302"/>
      <c r="L379" s="363"/>
      <c r="M379" s="330"/>
      <c r="N379" s="331"/>
      <c r="O379" s="338"/>
      <c r="P379" s="339"/>
      <c r="Q379" s="346"/>
      <c r="R379" s="347"/>
      <c r="S379" s="354"/>
      <c r="T379" s="355"/>
      <c r="U379" s="302"/>
    </row>
    <row r="380" spans="2:21" ht="14.1" customHeight="1" x14ac:dyDescent="0.15">
      <c r="B380" s="302"/>
      <c r="C380" s="325">
        <v>367</v>
      </c>
      <c r="D380" s="997"/>
      <c r="E380" s="998"/>
      <c r="F380" s="998"/>
      <c r="G380" s="998"/>
      <c r="H380" s="998"/>
      <c r="I380" s="998"/>
      <c r="J380" s="999"/>
      <c r="K380" s="302"/>
      <c r="L380" s="363"/>
      <c r="M380" s="330"/>
      <c r="N380" s="331"/>
      <c r="O380" s="338"/>
      <c r="P380" s="339"/>
      <c r="Q380" s="346"/>
      <c r="R380" s="347"/>
      <c r="S380" s="354"/>
      <c r="T380" s="355"/>
      <c r="U380" s="302"/>
    </row>
    <row r="381" spans="2:21" ht="14.1" customHeight="1" x14ac:dyDescent="0.15">
      <c r="B381" s="302"/>
      <c r="C381" s="325">
        <v>368</v>
      </c>
      <c r="D381" s="997"/>
      <c r="E381" s="998"/>
      <c r="F381" s="998"/>
      <c r="G381" s="998"/>
      <c r="H381" s="998"/>
      <c r="I381" s="998"/>
      <c r="J381" s="999"/>
      <c r="K381" s="302"/>
      <c r="L381" s="363"/>
      <c r="M381" s="330"/>
      <c r="N381" s="331"/>
      <c r="O381" s="338"/>
      <c r="P381" s="339"/>
      <c r="Q381" s="346"/>
      <c r="R381" s="347"/>
      <c r="S381" s="354"/>
      <c r="T381" s="355"/>
      <c r="U381" s="302"/>
    </row>
    <row r="382" spans="2:21" ht="14.1" customHeight="1" x14ac:dyDescent="0.15">
      <c r="B382" s="302"/>
      <c r="C382" s="325">
        <v>369</v>
      </c>
      <c r="D382" s="997"/>
      <c r="E382" s="998"/>
      <c r="F382" s="998"/>
      <c r="G382" s="998"/>
      <c r="H382" s="998"/>
      <c r="I382" s="998"/>
      <c r="J382" s="999"/>
      <c r="K382" s="302"/>
      <c r="L382" s="363"/>
      <c r="M382" s="330"/>
      <c r="N382" s="331"/>
      <c r="O382" s="338"/>
      <c r="P382" s="339"/>
      <c r="Q382" s="346"/>
      <c r="R382" s="347"/>
      <c r="S382" s="354"/>
      <c r="T382" s="355"/>
      <c r="U382" s="302"/>
    </row>
    <row r="383" spans="2:21" ht="14.1" customHeight="1" x14ac:dyDescent="0.15">
      <c r="B383" s="302"/>
      <c r="C383" s="325">
        <v>370</v>
      </c>
      <c r="D383" s="997"/>
      <c r="E383" s="998"/>
      <c r="F383" s="998"/>
      <c r="G383" s="998"/>
      <c r="H383" s="998"/>
      <c r="I383" s="998"/>
      <c r="J383" s="999"/>
      <c r="K383" s="302"/>
      <c r="L383" s="363"/>
      <c r="M383" s="330"/>
      <c r="N383" s="331"/>
      <c r="O383" s="338"/>
      <c r="P383" s="339"/>
      <c r="Q383" s="346"/>
      <c r="R383" s="347"/>
      <c r="S383" s="354"/>
      <c r="T383" s="355"/>
      <c r="U383" s="302"/>
    </row>
    <row r="384" spans="2:21" ht="14.1" customHeight="1" x14ac:dyDescent="0.15">
      <c r="B384" s="302"/>
      <c r="C384" s="325">
        <v>371</v>
      </c>
      <c r="D384" s="997"/>
      <c r="E384" s="998"/>
      <c r="F384" s="998"/>
      <c r="G384" s="998"/>
      <c r="H384" s="998"/>
      <c r="I384" s="998"/>
      <c r="J384" s="999"/>
      <c r="K384" s="302"/>
      <c r="L384" s="363"/>
      <c r="M384" s="330"/>
      <c r="N384" s="331"/>
      <c r="O384" s="338"/>
      <c r="P384" s="339"/>
      <c r="Q384" s="346"/>
      <c r="R384" s="347"/>
      <c r="S384" s="354"/>
      <c r="T384" s="355"/>
      <c r="U384" s="302"/>
    </row>
    <row r="385" spans="2:21" ht="14.1" customHeight="1" x14ac:dyDescent="0.15">
      <c r="B385" s="302"/>
      <c r="C385" s="325">
        <v>372</v>
      </c>
      <c r="D385" s="997"/>
      <c r="E385" s="998"/>
      <c r="F385" s="998"/>
      <c r="G385" s="998"/>
      <c r="H385" s="998"/>
      <c r="I385" s="998"/>
      <c r="J385" s="999"/>
      <c r="K385" s="302"/>
      <c r="L385" s="363"/>
      <c r="M385" s="330"/>
      <c r="N385" s="331"/>
      <c r="O385" s="338"/>
      <c r="P385" s="339"/>
      <c r="Q385" s="346"/>
      <c r="R385" s="347"/>
      <c r="S385" s="354"/>
      <c r="T385" s="355"/>
      <c r="U385" s="302"/>
    </row>
    <row r="386" spans="2:21" ht="14.1" customHeight="1" x14ac:dyDescent="0.15">
      <c r="B386" s="302"/>
      <c r="C386" s="325">
        <v>373</v>
      </c>
      <c r="D386" s="997"/>
      <c r="E386" s="998"/>
      <c r="F386" s="998"/>
      <c r="G386" s="998"/>
      <c r="H386" s="998"/>
      <c r="I386" s="998"/>
      <c r="J386" s="999"/>
      <c r="K386" s="302"/>
      <c r="L386" s="363"/>
      <c r="M386" s="330"/>
      <c r="N386" s="331"/>
      <c r="O386" s="338"/>
      <c r="P386" s="339"/>
      <c r="Q386" s="346"/>
      <c r="R386" s="347"/>
      <c r="S386" s="354"/>
      <c r="T386" s="355"/>
      <c r="U386" s="302"/>
    </row>
    <row r="387" spans="2:21" ht="14.1" customHeight="1" x14ac:dyDescent="0.15">
      <c r="B387" s="302"/>
      <c r="C387" s="325">
        <v>374</v>
      </c>
      <c r="D387" s="997"/>
      <c r="E387" s="998"/>
      <c r="F387" s="998"/>
      <c r="G387" s="998"/>
      <c r="H387" s="998"/>
      <c r="I387" s="998"/>
      <c r="J387" s="999"/>
      <c r="K387" s="302"/>
      <c r="L387" s="363"/>
      <c r="M387" s="330"/>
      <c r="N387" s="331"/>
      <c r="O387" s="338"/>
      <c r="P387" s="339"/>
      <c r="Q387" s="346"/>
      <c r="R387" s="347"/>
      <c r="S387" s="354"/>
      <c r="T387" s="355"/>
      <c r="U387" s="302"/>
    </row>
    <row r="388" spans="2:21" ht="14.1" customHeight="1" x14ac:dyDescent="0.15">
      <c r="B388" s="302"/>
      <c r="C388" s="325">
        <v>375</v>
      </c>
      <c r="D388" s="997"/>
      <c r="E388" s="998"/>
      <c r="F388" s="998"/>
      <c r="G388" s="998"/>
      <c r="H388" s="998"/>
      <c r="I388" s="998"/>
      <c r="J388" s="999"/>
      <c r="K388" s="302"/>
      <c r="L388" s="363"/>
      <c r="M388" s="330"/>
      <c r="N388" s="331"/>
      <c r="O388" s="338"/>
      <c r="P388" s="339"/>
      <c r="Q388" s="346"/>
      <c r="R388" s="347"/>
      <c r="S388" s="354"/>
      <c r="T388" s="355"/>
      <c r="U388" s="302"/>
    </row>
    <row r="389" spans="2:21" ht="14.1" customHeight="1" x14ac:dyDescent="0.15">
      <c r="B389" s="302"/>
      <c r="C389" s="325">
        <v>376</v>
      </c>
      <c r="D389" s="997"/>
      <c r="E389" s="998"/>
      <c r="F389" s="998"/>
      <c r="G389" s="998"/>
      <c r="H389" s="998"/>
      <c r="I389" s="998"/>
      <c r="J389" s="999"/>
      <c r="K389" s="302"/>
      <c r="L389" s="363"/>
      <c r="M389" s="330"/>
      <c r="N389" s="331"/>
      <c r="O389" s="338"/>
      <c r="P389" s="339"/>
      <c r="Q389" s="346"/>
      <c r="R389" s="347"/>
      <c r="S389" s="354"/>
      <c r="T389" s="355"/>
      <c r="U389" s="302"/>
    </row>
    <row r="390" spans="2:21" ht="14.1" customHeight="1" x14ac:dyDescent="0.15">
      <c r="B390" s="302"/>
      <c r="C390" s="325">
        <v>377</v>
      </c>
      <c r="D390" s="997"/>
      <c r="E390" s="998"/>
      <c r="F390" s="998"/>
      <c r="G390" s="998"/>
      <c r="H390" s="998"/>
      <c r="I390" s="998"/>
      <c r="J390" s="999"/>
      <c r="K390" s="302"/>
      <c r="L390" s="363"/>
      <c r="M390" s="330"/>
      <c r="N390" s="331"/>
      <c r="O390" s="338"/>
      <c r="P390" s="339"/>
      <c r="Q390" s="346"/>
      <c r="R390" s="347"/>
      <c r="S390" s="354"/>
      <c r="T390" s="355"/>
      <c r="U390" s="302"/>
    </row>
    <row r="391" spans="2:21" ht="14.1" customHeight="1" x14ac:dyDescent="0.15">
      <c r="B391" s="302"/>
      <c r="C391" s="325">
        <v>378</v>
      </c>
      <c r="D391" s="997"/>
      <c r="E391" s="998"/>
      <c r="F391" s="998"/>
      <c r="G391" s="998"/>
      <c r="H391" s="998"/>
      <c r="I391" s="998"/>
      <c r="J391" s="999"/>
      <c r="K391" s="302"/>
      <c r="L391" s="363"/>
      <c r="M391" s="330"/>
      <c r="N391" s="331"/>
      <c r="O391" s="338"/>
      <c r="P391" s="339"/>
      <c r="Q391" s="346"/>
      <c r="R391" s="347"/>
      <c r="S391" s="354"/>
      <c r="T391" s="355"/>
      <c r="U391" s="302"/>
    </row>
    <row r="392" spans="2:21" ht="14.1" customHeight="1" x14ac:dyDescent="0.15">
      <c r="B392" s="302"/>
      <c r="C392" s="325">
        <v>379</v>
      </c>
      <c r="D392" s="997"/>
      <c r="E392" s="998"/>
      <c r="F392" s="998"/>
      <c r="G392" s="998"/>
      <c r="H392" s="998"/>
      <c r="I392" s="998"/>
      <c r="J392" s="999"/>
      <c r="K392" s="302"/>
      <c r="L392" s="363"/>
      <c r="M392" s="330"/>
      <c r="N392" s="331"/>
      <c r="O392" s="338"/>
      <c r="P392" s="339"/>
      <c r="Q392" s="346"/>
      <c r="R392" s="347"/>
      <c r="S392" s="354"/>
      <c r="T392" s="355"/>
      <c r="U392" s="302"/>
    </row>
    <row r="393" spans="2:21" ht="14.1" customHeight="1" x14ac:dyDescent="0.15">
      <c r="B393" s="302"/>
      <c r="C393" s="325">
        <v>380</v>
      </c>
      <c r="D393" s="997"/>
      <c r="E393" s="998"/>
      <c r="F393" s="998"/>
      <c r="G393" s="998"/>
      <c r="H393" s="998"/>
      <c r="I393" s="998"/>
      <c r="J393" s="999"/>
      <c r="K393" s="302"/>
      <c r="L393" s="363"/>
      <c r="M393" s="330"/>
      <c r="N393" s="331"/>
      <c r="O393" s="338"/>
      <c r="P393" s="339"/>
      <c r="Q393" s="346"/>
      <c r="R393" s="347"/>
      <c r="S393" s="354"/>
      <c r="T393" s="355"/>
      <c r="U393" s="302"/>
    </row>
    <row r="394" spans="2:21" ht="14.1" customHeight="1" x14ac:dyDescent="0.15">
      <c r="B394" s="302"/>
      <c r="C394" s="325">
        <v>381</v>
      </c>
      <c r="D394" s="997"/>
      <c r="E394" s="998"/>
      <c r="F394" s="998"/>
      <c r="G394" s="998"/>
      <c r="H394" s="998"/>
      <c r="I394" s="998"/>
      <c r="J394" s="999"/>
      <c r="K394" s="302"/>
      <c r="L394" s="363"/>
      <c r="M394" s="330"/>
      <c r="N394" s="331"/>
      <c r="O394" s="338"/>
      <c r="P394" s="339"/>
      <c r="Q394" s="346"/>
      <c r="R394" s="347"/>
      <c r="S394" s="354"/>
      <c r="T394" s="355"/>
      <c r="U394" s="302"/>
    </row>
    <row r="395" spans="2:21" ht="14.1" customHeight="1" x14ac:dyDescent="0.15">
      <c r="B395" s="302"/>
      <c r="C395" s="325">
        <v>382</v>
      </c>
      <c r="D395" s="997"/>
      <c r="E395" s="998"/>
      <c r="F395" s="998"/>
      <c r="G395" s="998"/>
      <c r="H395" s="998"/>
      <c r="I395" s="998"/>
      <c r="J395" s="999"/>
      <c r="K395" s="302"/>
      <c r="L395" s="363"/>
      <c r="M395" s="330"/>
      <c r="N395" s="331"/>
      <c r="O395" s="338"/>
      <c r="P395" s="339"/>
      <c r="Q395" s="346"/>
      <c r="R395" s="347"/>
      <c r="S395" s="354"/>
      <c r="T395" s="355"/>
      <c r="U395" s="302"/>
    </row>
    <row r="396" spans="2:21" ht="14.1" customHeight="1" x14ac:dyDescent="0.15">
      <c r="B396" s="302"/>
      <c r="C396" s="325">
        <v>383</v>
      </c>
      <c r="D396" s="997"/>
      <c r="E396" s="998"/>
      <c r="F396" s="998"/>
      <c r="G396" s="998"/>
      <c r="H396" s="998"/>
      <c r="I396" s="998"/>
      <c r="J396" s="999"/>
      <c r="K396" s="302"/>
      <c r="L396" s="363"/>
      <c r="M396" s="330"/>
      <c r="N396" s="331"/>
      <c r="O396" s="338"/>
      <c r="P396" s="339"/>
      <c r="Q396" s="346"/>
      <c r="R396" s="347"/>
      <c r="S396" s="354"/>
      <c r="T396" s="355"/>
      <c r="U396" s="302"/>
    </row>
    <row r="397" spans="2:21" ht="14.1" customHeight="1" x14ac:dyDescent="0.15">
      <c r="B397" s="302"/>
      <c r="C397" s="325">
        <v>384</v>
      </c>
      <c r="D397" s="997"/>
      <c r="E397" s="998"/>
      <c r="F397" s="998"/>
      <c r="G397" s="998"/>
      <c r="H397" s="998"/>
      <c r="I397" s="998"/>
      <c r="J397" s="999"/>
      <c r="K397" s="302"/>
      <c r="L397" s="363"/>
      <c r="M397" s="330"/>
      <c r="N397" s="331"/>
      <c r="O397" s="338"/>
      <c r="P397" s="339"/>
      <c r="Q397" s="346"/>
      <c r="R397" s="347"/>
      <c r="S397" s="354"/>
      <c r="T397" s="355"/>
      <c r="U397" s="302"/>
    </row>
    <row r="398" spans="2:21" ht="14.1" customHeight="1" x14ac:dyDescent="0.15">
      <c r="B398" s="302"/>
      <c r="C398" s="325">
        <v>385</v>
      </c>
      <c r="D398" s="997"/>
      <c r="E398" s="998"/>
      <c r="F398" s="998"/>
      <c r="G398" s="998"/>
      <c r="H398" s="998"/>
      <c r="I398" s="998"/>
      <c r="J398" s="999"/>
      <c r="K398" s="302"/>
      <c r="L398" s="363"/>
      <c r="M398" s="330"/>
      <c r="N398" s="331"/>
      <c r="O398" s="338"/>
      <c r="P398" s="339"/>
      <c r="Q398" s="346"/>
      <c r="R398" s="347"/>
      <c r="S398" s="354"/>
      <c r="T398" s="355"/>
      <c r="U398" s="302"/>
    </row>
    <row r="399" spans="2:21" ht="14.1" customHeight="1" x14ac:dyDescent="0.15">
      <c r="B399" s="302"/>
      <c r="C399" s="325">
        <v>386</v>
      </c>
      <c r="D399" s="997"/>
      <c r="E399" s="998"/>
      <c r="F399" s="998"/>
      <c r="G399" s="998"/>
      <c r="H399" s="998"/>
      <c r="I399" s="998"/>
      <c r="J399" s="999"/>
      <c r="K399" s="302"/>
      <c r="L399" s="363"/>
      <c r="M399" s="330"/>
      <c r="N399" s="331"/>
      <c r="O399" s="338"/>
      <c r="P399" s="339"/>
      <c r="Q399" s="346"/>
      <c r="R399" s="347"/>
      <c r="S399" s="354"/>
      <c r="T399" s="355"/>
      <c r="U399" s="302"/>
    </row>
    <row r="400" spans="2:21" ht="14.1" customHeight="1" x14ac:dyDescent="0.15">
      <c r="B400" s="302"/>
      <c r="C400" s="325">
        <v>387</v>
      </c>
      <c r="D400" s="997"/>
      <c r="E400" s="998"/>
      <c r="F400" s="998"/>
      <c r="G400" s="998"/>
      <c r="H400" s="998"/>
      <c r="I400" s="998"/>
      <c r="J400" s="999"/>
      <c r="K400" s="302"/>
      <c r="L400" s="363"/>
      <c r="M400" s="330"/>
      <c r="N400" s="331"/>
      <c r="O400" s="338"/>
      <c r="P400" s="339"/>
      <c r="Q400" s="346"/>
      <c r="R400" s="347"/>
      <c r="S400" s="354"/>
      <c r="T400" s="355"/>
      <c r="U400" s="302"/>
    </row>
    <row r="401" spans="2:21" ht="14.1" customHeight="1" x14ac:dyDescent="0.15">
      <c r="B401" s="302"/>
      <c r="C401" s="325">
        <v>388</v>
      </c>
      <c r="D401" s="997"/>
      <c r="E401" s="998"/>
      <c r="F401" s="998"/>
      <c r="G401" s="998"/>
      <c r="H401" s="998"/>
      <c r="I401" s="998"/>
      <c r="J401" s="999"/>
      <c r="K401" s="302"/>
      <c r="L401" s="363"/>
      <c r="M401" s="330"/>
      <c r="N401" s="331"/>
      <c r="O401" s="338"/>
      <c r="P401" s="339"/>
      <c r="Q401" s="346"/>
      <c r="R401" s="347"/>
      <c r="S401" s="354"/>
      <c r="T401" s="355"/>
      <c r="U401" s="302"/>
    </row>
    <row r="402" spans="2:21" ht="14.1" customHeight="1" x14ac:dyDescent="0.15">
      <c r="B402" s="302"/>
      <c r="C402" s="325">
        <v>389</v>
      </c>
      <c r="D402" s="997"/>
      <c r="E402" s="998"/>
      <c r="F402" s="998"/>
      <c r="G402" s="998"/>
      <c r="H402" s="998"/>
      <c r="I402" s="998"/>
      <c r="J402" s="999"/>
      <c r="K402" s="302"/>
      <c r="L402" s="363"/>
      <c r="M402" s="330"/>
      <c r="N402" s="331"/>
      <c r="O402" s="338"/>
      <c r="P402" s="339"/>
      <c r="Q402" s="346"/>
      <c r="R402" s="347"/>
      <c r="S402" s="354"/>
      <c r="T402" s="355"/>
      <c r="U402" s="302"/>
    </row>
    <row r="403" spans="2:21" ht="14.1" customHeight="1" x14ac:dyDescent="0.15">
      <c r="B403" s="302"/>
      <c r="C403" s="325">
        <v>390</v>
      </c>
      <c r="D403" s="997"/>
      <c r="E403" s="998"/>
      <c r="F403" s="998"/>
      <c r="G403" s="998"/>
      <c r="H403" s="998"/>
      <c r="I403" s="998"/>
      <c r="J403" s="999"/>
      <c r="K403" s="302"/>
      <c r="L403" s="363"/>
      <c r="M403" s="330"/>
      <c r="N403" s="331"/>
      <c r="O403" s="338"/>
      <c r="P403" s="339"/>
      <c r="Q403" s="346"/>
      <c r="R403" s="347"/>
      <c r="S403" s="354"/>
      <c r="T403" s="355"/>
      <c r="U403" s="302"/>
    </row>
    <row r="404" spans="2:21" ht="14.1" customHeight="1" x14ac:dyDescent="0.15">
      <c r="B404" s="302"/>
      <c r="C404" s="325">
        <v>391</v>
      </c>
      <c r="D404" s="997"/>
      <c r="E404" s="998"/>
      <c r="F404" s="998"/>
      <c r="G404" s="998"/>
      <c r="H404" s="998"/>
      <c r="I404" s="998"/>
      <c r="J404" s="999"/>
      <c r="K404" s="302"/>
      <c r="L404" s="363"/>
      <c r="M404" s="330"/>
      <c r="N404" s="331"/>
      <c r="O404" s="338"/>
      <c r="P404" s="339"/>
      <c r="Q404" s="346"/>
      <c r="R404" s="347"/>
      <c r="S404" s="354"/>
      <c r="T404" s="355"/>
      <c r="U404" s="302"/>
    </row>
    <row r="405" spans="2:21" ht="14.1" customHeight="1" x14ac:dyDescent="0.15">
      <c r="B405" s="302"/>
      <c r="C405" s="325">
        <v>392</v>
      </c>
      <c r="D405" s="997"/>
      <c r="E405" s="998"/>
      <c r="F405" s="998"/>
      <c r="G405" s="998"/>
      <c r="H405" s="998"/>
      <c r="I405" s="998"/>
      <c r="J405" s="999"/>
      <c r="K405" s="302"/>
      <c r="L405" s="363"/>
      <c r="M405" s="330"/>
      <c r="N405" s="331"/>
      <c r="O405" s="338"/>
      <c r="P405" s="339"/>
      <c r="Q405" s="346"/>
      <c r="R405" s="347"/>
      <c r="S405" s="354"/>
      <c r="T405" s="355"/>
      <c r="U405" s="302"/>
    </row>
    <row r="406" spans="2:21" ht="14.1" customHeight="1" x14ac:dyDescent="0.15">
      <c r="B406" s="302"/>
      <c r="C406" s="325">
        <v>393</v>
      </c>
      <c r="D406" s="997"/>
      <c r="E406" s="998"/>
      <c r="F406" s="998"/>
      <c r="G406" s="998"/>
      <c r="H406" s="998"/>
      <c r="I406" s="998"/>
      <c r="J406" s="999"/>
      <c r="K406" s="302"/>
      <c r="L406" s="363"/>
      <c r="M406" s="330"/>
      <c r="N406" s="331"/>
      <c r="O406" s="338"/>
      <c r="P406" s="339"/>
      <c r="Q406" s="346"/>
      <c r="R406" s="347"/>
      <c r="S406" s="354"/>
      <c r="T406" s="355"/>
      <c r="U406" s="302"/>
    </row>
    <row r="407" spans="2:21" ht="14.1" customHeight="1" x14ac:dyDescent="0.15">
      <c r="B407" s="302"/>
      <c r="C407" s="325">
        <v>394</v>
      </c>
      <c r="D407" s="997"/>
      <c r="E407" s="998"/>
      <c r="F407" s="998"/>
      <c r="G407" s="998"/>
      <c r="H407" s="998"/>
      <c r="I407" s="998"/>
      <c r="J407" s="999"/>
      <c r="K407" s="302"/>
      <c r="L407" s="363"/>
      <c r="M407" s="330"/>
      <c r="N407" s="331"/>
      <c r="O407" s="338"/>
      <c r="P407" s="339"/>
      <c r="Q407" s="346"/>
      <c r="R407" s="347"/>
      <c r="S407" s="354"/>
      <c r="T407" s="355"/>
      <c r="U407" s="302"/>
    </row>
    <row r="408" spans="2:21" ht="14.1" customHeight="1" x14ac:dyDescent="0.15">
      <c r="B408" s="302"/>
      <c r="C408" s="325">
        <v>395</v>
      </c>
      <c r="D408" s="997"/>
      <c r="E408" s="998"/>
      <c r="F408" s="998"/>
      <c r="G408" s="998"/>
      <c r="H408" s="998"/>
      <c r="I408" s="998"/>
      <c r="J408" s="999"/>
      <c r="K408" s="302"/>
      <c r="L408" s="363"/>
      <c r="M408" s="330"/>
      <c r="N408" s="331"/>
      <c r="O408" s="338"/>
      <c r="P408" s="339"/>
      <c r="Q408" s="346"/>
      <c r="R408" s="347"/>
      <c r="S408" s="354"/>
      <c r="T408" s="355"/>
      <c r="U408" s="302"/>
    </row>
    <row r="409" spans="2:21" ht="14.1" customHeight="1" x14ac:dyDescent="0.15">
      <c r="B409" s="302"/>
      <c r="C409" s="325">
        <v>396</v>
      </c>
      <c r="D409" s="997"/>
      <c r="E409" s="998"/>
      <c r="F409" s="998"/>
      <c r="G409" s="998"/>
      <c r="H409" s="998"/>
      <c r="I409" s="998"/>
      <c r="J409" s="999"/>
      <c r="K409" s="302"/>
      <c r="L409" s="363"/>
      <c r="M409" s="330"/>
      <c r="N409" s="331"/>
      <c r="O409" s="338"/>
      <c r="P409" s="339"/>
      <c r="Q409" s="346"/>
      <c r="R409" s="347"/>
      <c r="S409" s="354"/>
      <c r="T409" s="355"/>
      <c r="U409" s="302"/>
    </row>
    <row r="410" spans="2:21" ht="14.1" customHeight="1" x14ac:dyDescent="0.15">
      <c r="B410" s="302"/>
      <c r="C410" s="325">
        <v>397</v>
      </c>
      <c r="D410" s="997"/>
      <c r="E410" s="998"/>
      <c r="F410" s="998"/>
      <c r="G410" s="998"/>
      <c r="H410" s="998"/>
      <c r="I410" s="998"/>
      <c r="J410" s="999"/>
      <c r="K410" s="302"/>
      <c r="L410" s="363"/>
      <c r="M410" s="330"/>
      <c r="N410" s="331"/>
      <c r="O410" s="338"/>
      <c r="P410" s="339"/>
      <c r="Q410" s="346"/>
      <c r="R410" s="347"/>
      <c r="S410" s="354"/>
      <c r="T410" s="355"/>
      <c r="U410" s="302"/>
    </row>
    <row r="411" spans="2:21" ht="14.1" customHeight="1" x14ac:dyDescent="0.15">
      <c r="B411" s="302"/>
      <c r="C411" s="325">
        <v>398</v>
      </c>
      <c r="D411" s="997"/>
      <c r="E411" s="998"/>
      <c r="F411" s="998"/>
      <c r="G411" s="998"/>
      <c r="H411" s="998"/>
      <c r="I411" s="998"/>
      <c r="J411" s="999"/>
      <c r="K411" s="302"/>
      <c r="L411" s="363"/>
      <c r="M411" s="330"/>
      <c r="N411" s="331"/>
      <c r="O411" s="338"/>
      <c r="P411" s="339"/>
      <c r="Q411" s="346"/>
      <c r="R411" s="347"/>
      <c r="S411" s="354"/>
      <c r="T411" s="355"/>
      <c r="U411" s="302"/>
    </row>
    <row r="412" spans="2:21" ht="14.1" customHeight="1" x14ac:dyDescent="0.15">
      <c r="B412" s="302"/>
      <c r="C412" s="325">
        <v>399</v>
      </c>
      <c r="D412" s="997"/>
      <c r="E412" s="998"/>
      <c r="F412" s="998"/>
      <c r="G412" s="998"/>
      <c r="H412" s="998"/>
      <c r="I412" s="998"/>
      <c r="J412" s="999"/>
      <c r="K412" s="302"/>
      <c r="L412" s="363"/>
      <c r="M412" s="330"/>
      <c r="N412" s="331"/>
      <c r="O412" s="338"/>
      <c r="P412" s="339"/>
      <c r="Q412" s="346"/>
      <c r="R412" s="347"/>
      <c r="S412" s="354"/>
      <c r="T412" s="355"/>
      <c r="U412" s="302"/>
    </row>
    <row r="413" spans="2:21" ht="14.1" customHeight="1" x14ac:dyDescent="0.15">
      <c r="B413" s="302"/>
      <c r="C413" s="325">
        <v>400</v>
      </c>
      <c r="D413" s="997"/>
      <c r="E413" s="998"/>
      <c r="F413" s="998"/>
      <c r="G413" s="998"/>
      <c r="H413" s="998"/>
      <c r="I413" s="998"/>
      <c r="J413" s="999"/>
      <c r="K413" s="302"/>
      <c r="L413" s="364"/>
      <c r="M413" s="332"/>
      <c r="N413" s="333"/>
      <c r="O413" s="340"/>
      <c r="P413" s="341"/>
      <c r="Q413" s="348"/>
      <c r="R413" s="349"/>
      <c r="S413" s="358"/>
      <c r="T413" s="359"/>
      <c r="U413" s="302"/>
    </row>
    <row r="414" spans="2:21" ht="14.1" customHeight="1" x14ac:dyDescent="0.15">
      <c r="B414" s="302"/>
      <c r="C414" s="325">
        <v>401</v>
      </c>
      <c r="D414" s="997"/>
      <c r="E414" s="998"/>
      <c r="F414" s="998"/>
      <c r="G414" s="998"/>
      <c r="H414" s="998"/>
      <c r="I414" s="998"/>
      <c r="J414" s="999"/>
      <c r="K414" s="302"/>
      <c r="L414" s="364"/>
      <c r="M414" s="332"/>
      <c r="N414" s="333"/>
      <c r="O414" s="340"/>
      <c r="P414" s="341"/>
      <c r="Q414" s="348"/>
      <c r="R414" s="349"/>
      <c r="S414" s="358"/>
      <c r="T414" s="359"/>
      <c r="U414" s="302"/>
    </row>
    <row r="415" spans="2:21" ht="14.1" customHeight="1" x14ac:dyDescent="0.15">
      <c r="B415" s="302"/>
      <c r="C415" s="325">
        <v>402</v>
      </c>
      <c r="D415" s="997"/>
      <c r="E415" s="998"/>
      <c r="F415" s="998"/>
      <c r="G415" s="998"/>
      <c r="H415" s="998"/>
      <c r="I415" s="998"/>
      <c r="J415" s="999"/>
      <c r="K415" s="302"/>
      <c r="L415" s="364"/>
      <c r="M415" s="332"/>
      <c r="N415" s="333"/>
      <c r="O415" s="340"/>
      <c r="P415" s="341"/>
      <c r="Q415" s="348"/>
      <c r="R415" s="349"/>
      <c r="S415" s="358"/>
      <c r="T415" s="359"/>
      <c r="U415" s="302"/>
    </row>
    <row r="416" spans="2:21" ht="14.1" customHeight="1" x14ac:dyDescent="0.15">
      <c r="B416" s="302"/>
      <c r="C416" s="325">
        <v>403</v>
      </c>
      <c r="D416" s="997"/>
      <c r="E416" s="998"/>
      <c r="F416" s="998"/>
      <c r="G416" s="998"/>
      <c r="H416" s="998"/>
      <c r="I416" s="998"/>
      <c r="J416" s="999"/>
      <c r="K416" s="302"/>
      <c r="L416" s="364"/>
      <c r="M416" s="332"/>
      <c r="N416" s="333"/>
      <c r="O416" s="340"/>
      <c r="P416" s="341"/>
      <c r="Q416" s="348"/>
      <c r="R416" s="349"/>
      <c r="S416" s="358"/>
      <c r="T416" s="359"/>
      <c r="U416" s="302"/>
    </row>
    <row r="417" spans="2:21" ht="14.1" customHeight="1" x14ac:dyDescent="0.15">
      <c r="B417" s="302"/>
      <c r="C417" s="325">
        <v>404</v>
      </c>
      <c r="D417" s="997"/>
      <c r="E417" s="998"/>
      <c r="F417" s="998"/>
      <c r="G417" s="998"/>
      <c r="H417" s="998"/>
      <c r="I417" s="998"/>
      <c r="J417" s="999"/>
      <c r="K417" s="302"/>
      <c r="L417" s="364"/>
      <c r="M417" s="332"/>
      <c r="N417" s="333"/>
      <c r="O417" s="340"/>
      <c r="P417" s="341"/>
      <c r="Q417" s="348"/>
      <c r="R417" s="349"/>
      <c r="S417" s="358"/>
      <c r="T417" s="359"/>
      <c r="U417" s="302"/>
    </row>
    <row r="418" spans="2:21" ht="14.1" customHeight="1" x14ac:dyDescent="0.15">
      <c r="B418" s="302"/>
      <c r="C418" s="325">
        <v>405</v>
      </c>
      <c r="D418" s="997"/>
      <c r="E418" s="998"/>
      <c r="F418" s="998"/>
      <c r="G418" s="998"/>
      <c r="H418" s="998"/>
      <c r="I418" s="998"/>
      <c r="J418" s="999"/>
      <c r="K418" s="302"/>
      <c r="L418" s="364"/>
      <c r="M418" s="332"/>
      <c r="N418" s="333"/>
      <c r="O418" s="340"/>
      <c r="P418" s="341"/>
      <c r="Q418" s="348"/>
      <c r="R418" s="349"/>
      <c r="S418" s="358"/>
      <c r="T418" s="359"/>
      <c r="U418" s="302"/>
    </row>
    <row r="419" spans="2:21" ht="14.1" customHeight="1" x14ac:dyDescent="0.15">
      <c r="B419" s="302"/>
      <c r="C419" s="325">
        <v>406</v>
      </c>
      <c r="D419" s="997"/>
      <c r="E419" s="998"/>
      <c r="F419" s="998"/>
      <c r="G419" s="998"/>
      <c r="H419" s="998"/>
      <c r="I419" s="998"/>
      <c r="J419" s="999"/>
      <c r="K419" s="302"/>
      <c r="L419" s="364"/>
      <c r="M419" s="332"/>
      <c r="N419" s="333"/>
      <c r="O419" s="340"/>
      <c r="P419" s="341"/>
      <c r="Q419" s="348"/>
      <c r="R419" s="349"/>
      <c r="S419" s="358"/>
      <c r="T419" s="359"/>
      <c r="U419" s="302"/>
    </row>
    <row r="420" spans="2:21" ht="14.1" customHeight="1" x14ac:dyDescent="0.15">
      <c r="B420" s="302"/>
      <c r="C420" s="325">
        <v>407</v>
      </c>
      <c r="D420" s="997"/>
      <c r="E420" s="998"/>
      <c r="F420" s="998"/>
      <c r="G420" s="998"/>
      <c r="H420" s="998"/>
      <c r="I420" s="998"/>
      <c r="J420" s="999"/>
      <c r="K420" s="302"/>
      <c r="L420" s="364"/>
      <c r="M420" s="332"/>
      <c r="N420" s="333"/>
      <c r="O420" s="340"/>
      <c r="P420" s="341"/>
      <c r="Q420" s="348"/>
      <c r="R420" s="349"/>
      <c r="S420" s="358"/>
      <c r="T420" s="359"/>
      <c r="U420" s="302"/>
    </row>
    <row r="421" spans="2:21" ht="14.1" customHeight="1" x14ac:dyDescent="0.15">
      <c r="B421" s="302"/>
      <c r="C421" s="325">
        <v>408</v>
      </c>
      <c r="D421" s="997"/>
      <c r="E421" s="998"/>
      <c r="F421" s="998"/>
      <c r="G421" s="998"/>
      <c r="H421" s="998"/>
      <c r="I421" s="998"/>
      <c r="J421" s="999"/>
      <c r="K421" s="302"/>
      <c r="L421" s="364"/>
      <c r="M421" s="332"/>
      <c r="N421" s="333"/>
      <c r="O421" s="340"/>
      <c r="P421" s="341"/>
      <c r="Q421" s="348"/>
      <c r="R421" s="349"/>
      <c r="S421" s="358"/>
      <c r="T421" s="359"/>
      <c r="U421" s="302"/>
    </row>
    <row r="422" spans="2:21" ht="14.1" customHeight="1" x14ac:dyDescent="0.15">
      <c r="B422" s="302"/>
      <c r="C422" s="325">
        <v>409</v>
      </c>
      <c r="D422" s="997"/>
      <c r="E422" s="998"/>
      <c r="F422" s="998"/>
      <c r="G422" s="998"/>
      <c r="H422" s="998"/>
      <c r="I422" s="998"/>
      <c r="J422" s="999"/>
      <c r="K422" s="302"/>
      <c r="L422" s="364"/>
      <c r="M422" s="332"/>
      <c r="N422" s="333"/>
      <c r="O422" s="340"/>
      <c r="P422" s="341"/>
      <c r="Q422" s="348"/>
      <c r="R422" s="349"/>
      <c r="S422" s="358"/>
      <c r="T422" s="359"/>
      <c r="U422" s="302"/>
    </row>
    <row r="423" spans="2:21" ht="14.1" customHeight="1" x14ac:dyDescent="0.15">
      <c r="B423" s="302"/>
      <c r="C423" s="325">
        <v>410</v>
      </c>
      <c r="D423" s="997"/>
      <c r="E423" s="998"/>
      <c r="F423" s="998"/>
      <c r="G423" s="998"/>
      <c r="H423" s="998"/>
      <c r="I423" s="998"/>
      <c r="J423" s="999"/>
      <c r="K423" s="302"/>
      <c r="L423" s="364"/>
      <c r="M423" s="332"/>
      <c r="N423" s="333"/>
      <c r="O423" s="340"/>
      <c r="P423" s="341"/>
      <c r="Q423" s="348"/>
      <c r="R423" s="349"/>
      <c r="S423" s="358"/>
      <c r="T423" s="359"/>
      <c r="U423" s="302"/>
    </row>
    <row r="424" spans="2:21" ht="14.1" customHeight="1" x14ac:dyDescent="0.15">
      <c r="B424" s="302"/>
      <c r="C424" s="325">
        <v>411</v>
      </c>
      <c r="D424" s="997"/>
      <c r="E424" s="998"/>
      <c r="F424" s="998"/>
      <c r="G424" s="998"/>
      <c r="H424" s="998"/>
      <c r="I424" s="998"/>
      <c r="J424" s="999"/>
      <c r="K424" s="302"/>
      <c r="L424" s="364"/>
      <c r="M424" s="332"/>
      <c r="N424" s="333"/>
      <c r="O424" s="340"/>
      <c r="P424" s="341"/>
      <c r="Q424" s="348"/>
      <c r="R424" s="349"/>
      <c r="S424" s="358"/>
      <c r="T424" s="359"/>
      <c r="U424" s="302"/>
    </row>
    <row r="425" spans="2:21" ht="14.1" customHeight="1" x14ac:dyDescent="0.15">
      <c r="B425" s="302"/>
      <c r="C425" s="325">
        <v>412</v>
      </c>
      <c r="D425" s="997"/>
      <c r="E425" s="998"/>
      <c r="F425" s="998"/>
      <c r="G425" s="998"/>
      <c r="H425" s="998"/>
      <c r="I425" s="998"/>
      <c r="J425" s="999"/>
      <c r="K425" s="302"/>
      <c r="L425" s="364"/>
      <c r="M425" s="332"/>
      <c r="N425" s="333"/>
      <c r="O425" s="340"/>
      <c r="P425" s="341"/>
      <c r="Q425" s="348"/>
      <c r="R425" s="349"/>
      <c r="S425" s="358"/>
      <c r="T425" s="359"/>
      <c r="U425" s="302"/>
    </row>
    <row r="426" spans="2:21" ht="14.1" customHeight="1" x14ac:dyDescent="0.15">
      <c r="B426" s="302"/>
      <c r="C426" s="325">
        <v>413</v>
      </c>
      <c r="D426" s="997"/>
      <c r="E426" s="998"/>
      <c r="F426" s="998"/>
      <c r="G426" s="998"/>
      <c r="H426" s="998"/>
      <c r="I426" s="998"/>
      <c r="J426" s="999"/>
      <c r="K426" s="302"/>
      <c r="L426" s="364"/>
      <c r="M426" s="332"/>
      <c r="N426" s="333"/>
      <c r="O426" s="340"/>
      <c r="P426" s="341"/>
      <c r="Q426" s="348"/>
      <c r="R426" s="349"/>
      <c r="S426" s="358"/>
      <c r="T426" s="359"/>
      <c r="U426" s="302"/>
    </row>
    <row r="427" spans="2:21" ht="14.1" customHeight="1" x14ac:dyDescent="0.15">
      <c r="B427" s="302"/>
      <c r="C427" s="325">
        <v>414</v>
      </c>
      <c r="D427" s="997"/>
      <c r="E427" s="998"/>
      <c r="F427" s="998"/>
      <c r="G427" s="998"/>
      <c r="H427" s="998"/>
      <c r="I427" s="998"/>
      <c r="J427" s="999"/>
      <c r="K427" s="302"/>
      <c r="L427" s="364"/>
      <c r="M427" s="332"/>
      <c r="N427" s="333"/>
      <c r="O427" s="340"/>
      <c r="P427" s="341"/>
      <c r="Q427" s="348"/>
      <c r="R427" s="349"/>
      <c r="S427" s="358"/>
      <c r="T427" s="359"/>
      <c r="U427" s="302"/>
    </row>
    <row r="428" spans="2:21" ht="14.1" customHeight="1" x14ac:dyDescent="0.15">
      <c r="B428" s="302"/>
      <c r="C428" s="325">
        <v>415</v>
      </c>
      <c r="D428" s="997"/>
      <c r="E428" s="998"/>
      <c r="F428" s="998"/>
      <c r="G428" s="998"/>
      <c r="H428" s="998"/>
      <c r="I428" s="998"/>
      <c r="J428" s="999"/>
      <c r="K428" s="302"/>
      <c r="L428" s="364"/>
      <c r="M428" s="332"/>
      <c r="N428" s="333"/>
      <c r="O428" s="340"/>
      <c r="P428" s="341"/>
      <c r="Q428" s="348"/>
      <c r="R428" s="349"/>
      <c r="S428" s="358"/>
      <c r="T428" s="359"/>
      <c r="U428" s="302"/>
    </row>
    <row r="429" spans="2:21" ht="14.1" customHeight="1" x14ac:dyDescent="0.15">
      <c r="B429" s="302"/>
      <c r="C429" s="325">
        <v>416</v>
      </c>
      <c r="D429" s="997"/>
      <c r="E429" s="998"/>
      <c r="F429" s="998"/>
      <c r="G429" s="998"/>
      <c r="H429" s="998"/>
      <c r="I429" s="998"/>
      <c r="J429" s="999"/>
      <c r="K429" s="302"/>
      <c r="L429" s="364"/>
      <c r="M429" s="332"/>
      <c r="N429" s="333"/>
      <c r="O429" s="340"/>
      <c r="P429" s="341"/>
      <c r="Q429" s="348"/>
      <c r="R429" s="349"/>
      <c r="S429" s="358"/>
      <c r="T429" s="359"/>
      <c r="U429" s="302"/>
    </row>
    <row r="430" spans="2:21" ht="14.1" customHeight="1" x14ac:dyDescent="0.15">
      <c r="B430" s="302"/>
      <c r="C430" s="325">
        <v>417</v>
      </c>
      <c r="D430" s="997"/>
      <c r="E430" s="998"/>
      <c r="F430" s="998"/>
      <c r="G430" s="998"/>
      <c r="H430" s="998"/>
      <c r="I430" s="998"/>
      <c r="J430" s="999"/>
      <c r="K430" s="302"/>
      <c r="L430" s="364"/>
      <c r="M430" s="332"/>
      <c r="N430" s="333"/>
      <c r="O430" s="340"/>
      <c r="P430" s="341"/>
      <c r="Q430" s="348"/>
      <c r="R430" s="349"/>
      <c r="S430" s="358"/>
      <c r="T430" s="359"/>
      <c r="U430" s="302"/>
    </row>
    <row r="431" spans="2:21" ht="14.1" customHeight="1" x14ac:dyDescent="0.15">
      <c r="B431" s="302"/>
      <c r="C431" s="325">
        <v>418</v>
      </c>
      <c r="D431" s="997"/>
      <c r="E431" s="998"/>
      <c r="F431" s="998"/>
      <c r="G431" s="998"/>
      <c r="H431" s="998"/>
      <c r="I431" s="998"/>
      <c r="J431" s="999"/>
      <c r="K431" s="302"/>
      <c r="L431" s="364"/>
      <c r="M431" s="332"/>
      <c r="N431" s="333"/>
      <c r="O431" s="340"/>
      <c r="P431" s="341"/>
      <c r="Q431" s="348"/>
      <c r="R431" s="349"/>
      <c r="S431" s="358"/>
      <c r="T431" s="359"/>
      <c r="U431" s="302"/>
    </row>
    <row r="432" spans="2:21" ht="14.1" customHeight="1" x14ac:dyDescent="0.15">
      <c r="B432" s="302"/>
      <c r="C432" s="325">
        <v>419</v>
      </c>
      <c r="D432" s="997"/>
      <c r="E432" s="998"/>
      <c r="F432" s="998"/>
      <c r="G432" s="998"/>
      <c r="H432" s="998"/>
      <c r="I432" s="998"/>
      <c r="J432" s="999"/>
      <c r="K432" s="302"/>
      <c r="L432" s="364"/>
      <c r="M432" s="332"/>
      <c r="N432" s="333"/>
      <c r="O432" s="340"/>
      <c r="P432" s="341"/>
      <c r="Q432" s="348"/>
      <c r="R432" s="349"/>
      <c r="S432" s="358"/>
      <c r="T432" s="359"/>
      <c r="U432" s="302"/>
    </row>
    <row r="433" spans="2:21" ht="14.1" customHeight="1" x14ac:dyDescent="0.15">
      <c r="B433" s="302"/>
      <c r="C433" s="325">
        <v>420</v>
      </c>
      <c r="D433" s="997"/>
      <c r="E433" s="998"/>
      <c r="F433" s="998"/>
      <c r="G433" s="998"/>
      <c r="H433" s="998"/>
      <c r="I433" s="998"/>
      <c r="J433" s="999"/>
      <c r="K433" s="302"/>
      <c r="L433" s="364"/>
      <c r="M433" s="332"/>
      <c r="N433" s="333"/>
      <c r="O433" s="340"/>
      <c r="P433" s="341"/>
      <c r="Q433" s="348"/>
      <c r="R433" s="349"/>
      <c r="S433" s="358"/>
      <c r="T433" s="359"/>
      <c r="U433" s="302"/>
    </row>
    <row r="434" spans="2:21" ht="14.1" customHeight="1" x14ac:dyDescent="0.15">
      <c r="B434" s="302"/>
      <c r="C434" s="325">
        <v>421</v>
      </c>
      <c r="D434" s="997"/>
      <c r="E434" s="998"/>
      <c r="F434" s="998"/>
      <c r="G434" s="998"/>
      <c r="H434" s="998"/>
      <c r="I434" s="998"/>
      <c r="J434" s="999"/>
      <c r="K434" s="302"/>
      <c r="L434" s="364"/>
      <c r="M434" s="332"/>
      <c r="N434" s="333"/>
      <c r="O434" s="340"/>
      <c r="P434" s="341"/>
      <c r="Q434" s="348"/>
      <c r="R434" s="349"/>
      <c r="S434" s="358"/>
      <c r="T434" s="359"/>
      <c r="U434" s="302"/>
    </row>
    <row r="435" spans="2:21" ht="14.1" customHeight="1" x14ac:dyDescent="0.15">
      <c r="B435" s="302"/>
      <c r="C435" s="325">
        <v>422</v>
      </c>
      <c r="D435" s="997"/>
      <c r="E435" s="998"/>
      <c r="F435" s="998"/>
      <c r="G435" s="998"/>
      <c r="H435" s="998"/>
      <c r="I435" s="998"/>
      <c r="J435" s="999"/>
      <c r="K435" s="302"/>
      <c r="L435" s="364"/>
      <c r="M435" s="332"/>
      <c r="N435" s="333"/>
      <c r="O435" s="340"/>
      <c r="P435" s="341"/>
      <c r="Q435" s="348"/>
      <c r="R435" s="349"/>
      <c r="S435" s="358"/>
      <c r="T435" s="359"/>
      <c r="U435" s="302"/>
    </row>
    <row r="436" spans="2:21" ht="14.1" customHeight="1" x14ac:dyDescent="0.15">
      <c r="B436" s="302"/>
      <c r="C436" s="325">
        <v>423</v>
      </c>
      <c r="D436" s="997"/>
      <c r="E436" s="998"/>
      <c r="F436" s="998"/>
      <c r="G436" s="998"/>
      <c r="H436" s="998"/>
      <c r="I436" s="998"/>
      <c r="J436" s="999"/>
      <c r="K436" s="302"/>
      <c r="L436" s="364"/>
      <c r="M436" s="332"/>
      <c r="N436" s="333"/>
      <c r="O436" s="340"/>
      <c r="P436" s="341"/>
      <c r="Q436" s="348"/>
      <c r="R436" s="349"/>
      <c r="S436" s="358"/>
      <c r="T436" s="359"/>
      <c r="U436" s="302"/>
    </row>
    <row r="437" spans="2:21" ht="14.1" customHeight="1" x14ac:dyDescent="0.15">
      <c r="B437" s="302"/>
      <c r="C437" s="325">
        <v>424</v>
      </c>
      <c r="D437" s="997"/>
      <c r="E437" s="998"/>
      <c r="F437" s="998"/>
      <c r="G437" s="998"/>
      <c r="H437" s="998"/>
      <c r="I437" s="998"/>
      <c r="J437" s="999"/>
      <c r="K437" s="302"/>
      <c r="L437" s="364"/>
      <c r="M437" s="332"/>
      <c r="N437" s="333"/>
      <c r="O437" s="340"/>
      <c r="P437" s="341"/>
      <c r="Q437" s="348"/>
      <c r="R437" s="349"/>
      <c r="S437" s="358"/>
      <c r="T437" s="359"/>
      <c r="U437" s="302"/>
    </row>
    <row r="438" spans="2:21" ht="14.1" customHeight="1" x14ac:dyDescent="0.15">
      <c r="B438" s="302"/>
      <c r="C438" s="325">
        <v>425</v>
      </c>
      <c r="D438" s="997"/>
      <c r="E438" s="998"/>
      <c r="F438" s="998"/>
      <c r="G438" s="998"/>
      <c r="H438" s="998"/>
      <c r="I438" s="998"/>
      <c r="J438" s="999"/>
      <c r="K438" s="302"/>
      <c r="L438" s="364"/>
      <c r="M438" s="332"/>
      <c r="N438" s="333"/>
      <c r="O438" s="340"/>
      <c r="P438" s="341"/>
      <c r="Q438" s="348"/>
      <c r="R438" s="349"/>
      <c r="S438" s="358"/>
      <c r="T438" s="359"/>
      <c r="U438" s="302"/>
    </row>
    <row r="439" spans="2:21" ht="14.1" customHeight="1" x14ac:dyDescent="0.15">
      <c r="B439" s="302"/>
      <c r="C439" s="325">
        <v>426</v>
      </c>
      <c r="D439" s="997"/>
      <c r="E439" s="998"/>
      <c r="F439" s="998"/>
      <c r="G439" s="998"/>
      <c r="H439" s="998"/>
      <c r="I439" s="998"/>
      <c r="J439" s="999"/>
      <c r="K439" s="302"/>
      <c r="L439" s="364"/>
      <c r="M439" s="332"/>
      <c r="N439" s="333"/>
      <c r="O439" s="340"/>
      <c r="P439" s="341"/>
      <c r="Q439" s="348"/>
      <c r="R439" s="349"/>
      <c r="S439" s="358"/>
      <c r="T439" s="359"/>
      <c r="U439" s="302"/>
    </row>
    <row r="440" spans="2:21" ht="14.1" customHeight="1" x14ac:dyDescent="0.15">
      <c r="B440" s="302"/>
      <c r="C440" s="325">
        <v>427</v>
      </c>
      <c r="D440" s="997"/>
      <c r="E440" s="998"/>
      <c r="F440" s="998"/>
      <c r="G440" s="998"/>
      <c r="H440" s="998"/>
      <c r="I440" s="998"/>
      <c r="J440" s="999"/>
      <c r="K440" s="302"/>
      <c r="L440" s="364"/>
      <c r="M440" s="332"/>
      <c r="N440" s="333"/>
      <c r="O440" s="340"/>
      <c r="P440" s="341"/>
      <c r="Q440" s="348"/>
      <c r="R440" s="349"/>
      <c r="S440" s="358"/>
      <c r="T440" s="359"/>
      <c r="U440" s="302"/>
    </row>
    <row r="441" spans="2:21" ht="14.1" customHeight="1" x14ac:dyDescent="0.15">
      <c r="B441" s="302"/>
      <c r="C441" s="325">
        <v>428</v>
      </c>
      <c r="D441" s="997"/>
      <c r="E441" s="998"/>
      <c r="F441" s="998"/>
      <c r="G441" s="998"/>
      <c r="H441" s="998"/>
      <c r="I441" s="998"/>
      <c r="J441" s="999"/>
      <c r="K441" s="302"/>
      <c r="L441" s="364"/>
      <c r="M441" s="332"/>
      <c r="N441" s="333"/>
      <c r="O441" s="340"/>
      <c r="P441" s="341"/>
      <c r="Q441" s="348"/>
      <c r="R441" s="349"/>
      <c r="S441" s="358"/>
      <c r="T441" s="359"/>
      <c r="U441" s="302"/>
    </row>
    <row r="442" spans="2:21" ht="14.1" customHeight="1" x14ac:dyDescent="0.15">
      <c r="B442" s="302"/>
      <c r="C442" s="325">
        <v>429</v>
      </c>
      <c r="D442" s="997"/>
      <c r="E442" s="998"/>
      <c r="F442" s="998"/>
      <c r="G442" s="998"/>
      <c r="H442" s="998"/>
      <c r="I442" s="998"/>
      <c r="J442" s="999"/>
      <c r="K442" s="302"/>
      <c r="L442" s="364"/>
      <c r="M442" s="332"/>
      <c r="N442" s="333"/>
      <c r="O442" s="340"/>
      <c r="P442" s="341"/>
      <c r="Q442" s="348"/>
      <c r="R442" s="349"/>
      <c r="S442" s="358"/>
      <c r="T442" s="359"/>
      <c r="U442" s="302"/>
    </row>
    <row r="443" spans="2:21" ht="14.1" customHeight="1" x14ac:dyDescent="0.15">
      <c r="B443" s="302"/>
      <c r="C443" s="325">
        <v>430</v>
      </c>
      <c r="D443" s="997"/>
      <c r="E443" s="998"/>
      <c r="F443" s="998"/>
      <c r="G443" s="998"/>
      <c r="H443" s="998"/>
      <c r="I443" s="998"/>
      <c r="J443" s="999"/>
      <c r="K443" s="302"/>
      <c r="L443" s="364"/>
      <c r="M443" s="332"/>
      <c r="N443" s="333"/>
      <c r="O443" s="340"/>
      <c r="P443" s="341"/>
      <c r="Q443" s="348"/>
      <c r="R443" s="349"/>
      <c r="S443" s="358"/>
      <c r="T443" s="359"/>
      <c r="U443" s="302"/>
    </row>
    <row r="444" spans="2:21" ht="14.1" customHeight="1" x14ac:dyDescent="0.15">
      <c r="B444" s="302"/>
      <c r="C444" s="325">
        <v>431</v>
      </c>
      <c r="D444" s="997"/>
      <c r="E444" s="998"/>
      <c r="F444" s="998"/>
      <c r="G444" s="998"/>
      <c r="H444" s="998"/>
      <c r="I444" s="998"/>
      <c r="J444" s="999"/>
      <c r="K444" s="302"/>
      <c r="L444" s="364"/>
      <c r="M444" s="332"/>
      <c r="N444" s="333"/>
      <c r="O444" s="340"/>
      <c r="P444" s="341"/>
      <c r="Q444" s="348"/>
      <c r="R444" s="349"/>
      <c r="S444" s="358"/>
      <c r="T444" s="359"/>
      <c r="U444" s="302"/>
    </row>
    <row r="445" spans="2:21" ht="14.1" customHeight="1" x14ac:dyDescent="0.15">
      <c r="B445" s="302"/>
      <c r="C445" s="325">
        <v>432</v>
      </c>
      <c r="D445" s="997"/>
      <c r="E445" s="998"/>
      <c r="F445" s="998"/>
      <c r="G445" s="998"/>
      <c r="H445" s="998"/>
      <c r="I445" s="998"/>
      <c r="J445" s="999"/>
      <c r="K445" s="302"/>
      <c r="L445" s="364"/>
      <c r="M445" s="332"/>
      <c r="N445" s="333"/>
      <c r="O445" s="340"/>
      <c r="P445" s="341"/>
      <c r="Q445" s="348"/>
      <c r="R445" s="349"/>
      <c r="S445" s="358"/>
      <c r="T445" s="359"/>
      <c r="U445" s="302"/>
    </row>
    <row r="446" spans="2:21" ht="14.1" customHeight="1" x14ac:dyDescent="0.15">
      <c r="B446" s="302"/>
      <c r="C446" s="325">
        <v>433</v>
      </c>
      <c r="D446" s="997"/>
      <c r="E446" s="998"/>
      <c r="F446" s="998"/>
      <c r="G446" s="998"/>
      <c r="H446" s="998"/>
      <c r="I446" s="998"/>
      <c r="J446" s="999"/>
      <c r="K446" s="302"/>
      <c r="L446" s="364"/>
      <c r="M446" s="332"/>
      <c r="N446" s="333"/>
      <c r="O446" s="340"/>
      <c r="P446" s="341"/>
      <c r="Q446" s="348"/>
      <c r="R446" s="349"/>
      <c r="S446" s="358"/>
      <c r="T446" s="359"/>
      <c r="U446" s="302"/>
    </row>
    <row r="447" spans="2:21" ht="14.1" customHeight="1" x14ac:dyDescent="0.15">
      <c r="B447" s="302"/>
      <c r="C447" s="325">
        <v>434</v>
      </c>
      <c r="D447" s="997"/>
      <c r="E447" s="998"/>
      <c r="F447" s="998"/>
      <c r="G447" s="998"/>
      <c r="H447" s="998"/>
      <c r="I447" s="998"/>
      <c r="J447" s="999"/>
      <c r="K447" s="302"/>
      <c r="L447" s="364"/>
      <c r="M447" s="332"/>
      <c r="N447" s="333"/>
      <c r="O447" s="340"/>
      <c r="P447" s="341"/>
      <c r="Q447" s="348"/>
      <c r="R447" s="349"/>
      <c r="S447" s="358"/>
      <c r="T447" s="359"/>
      <c r="U447" s="302"/>
    </row>
    <row r="448" spans="2:21" ht="14.1" customHeight="1" x14ac:dyDescent="0.15">
      <c r="B448" s="302"/>
      <c r="C448" s="325">
        <v>435</v>
      </c>
      <c r="D448" s="997"/>
      <c r="E448" s="998"/>
      <c r="F448" s="998"/>
      <c r="G448" s="998"/>
      <c r="H448" s="998"/>
      <c r="I448" s="998"/>
      <c r="J448" s="999"/>
      <c r="K448" s="302"/>
      <c r="L448" s="364"/>
      <c r="M448" s="332"/>
      <c r="N448" s="333"/>
      <c r="O448" s="340"/>
      <c r="P448" s="341"/>
      <c r="Q448" s="348"/>
      <c r="R448" s="349"/>
      <c r="S448" s="358"/>
      <c r="T448" s="359"/>
      <c r="U448" s="302"/>
    </row>
    <row r="449" spans="2:21" ht="14.1" customHeight="1" x14ac:dyDescent="0.15">
      <c r="B449" s="302"/>
      <c r="C449" s="325">
        <v>436</v>
      </c>
      <c r="D449" s="997"/>
      <c r="E449" s="998"/>
      <c r="F449" s="998"/>
      <c r="G449" s="998"/>
      <c r="H449" s="998"/>
      <c r="I449" s="998"/>
      <c r="J449" s="999"/>
      <c r="K449" s="302"/>
      <c r="L449" s="364"/>
      <c r="M449" s="332"/>
      <c r="N449" s="333"/>
      <c r="O449" s="340"/>
      <c r="P449" s="341"/>
      <c r="Q449" s="348"/>
      <c r="R449" s="349"/>
      <c r="S449" s="358"/>
      <c r="T449" s="359"/>
      <c r="U449" s="302"/>
    </row>
    <row r="450" spans="2:21" ht="14.1" customHeight="1" x14ac:dyDescent="0.15">
      <c r="B450" s="302"/>
      <c r="C450" s="325">
        <v>437</v>
      </c>
      <c r="D450" s="997"/>
      <c r="E450" s="998"/>
      <c r="F450" s="998"/>
      <c r="G450" s="998"/>
      <c r="H450" s="998"/>
      <c r="I450" s="998"/>
      <c r="J450" s="999"/>
      <c r="K450" s="302"/>
      <c r="L450" s="364"/>
      <c r="M450" s="332"/>
      <c r="N450" s="333"/>
      <c r="O450" s="340"/>
      <c r="P450" s="341"/>
      <c r="Q450" s="348"/>
      <c r="R450" s="349"/>
      <c r="S450" s="358"/>
      <c r="T450" s="359"/>
      <c r="U450" s="302"/>
    </row>
    <row r="451" spans="2:21" ht="14.1" customHeight="1" x14ac:dyDescent="0.15">
      <c r="B451" s="302"/>
      <c r="C451" s="325">
        <v>438</v>
      </c>
      <c r="D451" s="997"/>
      <c r="E451" s="998"/>
      <c r="F451" s="998"/>
      <c r="G451" s="998"/>
      <c r="H451" s="998"/>
      <c r="I451" s="998"/>
      <c r="J451" s="999"/>
      <c r="K451" s="302"/>
      <c r="L451" s="364"/>
      <c r="M451" s="332"/>
      <c r="N451" s="333"/>
      <c r="O451" s="340"/>
      <c r="P451" s="341"/>
      <c r="Q451" s="348"/>
      <c r="R451" s="349"/>
      <c r="S451" s="358"/>
      <c r="T451" s="359"/>
      <c r="U451" s="302"/>
    </row>
    <row r="452" spans="2:21" ht="14.1" customHeight="1" x14ac:dyDescent="0.15">
      <c r="B452" s="302"/>
      <c r="C452" s="325">
        <v>439</v>
      </c>
      <c r="D452" s="997"/>
      <c r="E452" s="998"/>
      <c r="F452" s="998"/>
      <c r="G452" s="998"/>
      <c r="H452" s="998"/>
      <c r="I452" s="998"/>
      <c r="J452" s="999"/>
      <c r="K452" s="302"/>
      <c r="L452" s="364"/>
      <c r="M452" s="332"/>
      <c r="N452" s="333"/>
      <c r="O452" s="340"/>
      <c r="P452" s="341"/>
      <c r="Q452" s="348"/>
      <c r="R452" s="349"/>
      <c r="S452" s="358"/>
      <c r="T452" s="359"/>
      <c r="U452" s="302"/>
    </row>
    <row r="453" spans="2:21" ht="14.1" customHeight="1" x14ac:dyDescent="0.15">
      <c r="B453" s="302"/>
      <c r="C453" s="325">
        <v>440</v>
      </c>
      <c r="D453" s="997"/>
      <c r="E453" s="998"/>
      <c r="F453" s="998"/>
      <c r="G453" s="998"/>
      <c r="H453" s="998"/>
      <c r="I453" s="998"/>
      <c r="J453" s="999"/>
      <c r="K453" s="302"/>
      <c r="L453" s="364"/>
      <c r="M453" s="332"/>
      <c r="N453" s="333"/>
      <c r="O453" s="340"/>
      <c r="P453" s="341"/>
      <c r="Q453" s="348"/>
      <c r="R453" s="349"/>
      <c r="S453" s="358"/>
      <c r="T453" s="359"/>
      <c r="U453" s="302"/>
    </row>
    <row r="454" spans="2:21" ht="14.1" customHeight="1" x14ac:dyDescent="0.15">
      <c r="B454" s="302"/>
      <c r="C454" s="325">
        <v>441</v>
      </c>
      <c r="D454" s="997"/>
      <c r="E454" s="998"/>
      <c r="F454" s="998"/>
      <c r="G454" s="998"/>
      <c r="H454" s="998"/>
      <c r="I454" s="998"/>
      <c r="J454" s="999"/>
      <c r="K454" s="302"/>
      <c r="L454" s="364"/>
      <c r="M454" s="332"/>
      <c r="N454" s="333"/>
      <c r="O454" s="340"/>
      <c r="P454" s="341"/>
      <c r="Q454" s="348"/>
      <c r="R454" s="349"/>
      <c r="S454" s="358"/>
      <c r="T454" s="359"/>
      <c r="U454" s="302"/>
    </row>
    <row r="455" spans="2:21" ht="14.1" customHeight="1" x14ac:dyDescent="0.15">
      <c r="B455" s="302"/>
      <c r="C455" s="325">
        <v>442</v>
      </c>
      <c r="D455" s="997"/>
      <c r="E455" s="998"/>
      <c r="F455" s="998"/>
      <c r="G455" s="998"/>
      <c r="H455" s="998"/>
      <c r="I455" s="998"/>
      <c r="J455" s="999"/>
      <c r="K455" s="302"/>
      <c r="L455" s="364"/>
      <c r="M455" s="332"/>
      <c r="N455" s="333"/>
      <c r="O455" s="340"/>
      <c r="P455" s="341"/>
      <c r="Q455" s="348"/>
      <c r="R455" s="349"/>
      <c r="S455" s="358"/>
      <c r="T455" s="359"/>
      <c r="U455" s="302"/>
    </row>
    <row r="456" spans="2:21" ht="14.1" customHeight="1" x14ac:dyDescent="0.15">
      <c r="B456" s="302"/>
      <c r="C456" s="325">
        <v>443</v>
      </c>
      <c r="D456" s="997"/>
      <c r="E456" s="998"/>
      <c r="F456" s="998"/>
      <c r="G456" s="998"/>
      <c r="H456" s="998"/>
      <c r="I456" s="998"/>
      <c r="J456" s="999"/>
      <c r="K456" s="302"/>
      <c r="L456" s="364"/>
      <c r="M456" s="332"/>
      <c r="N456" s="333"/>
      <c r="O456" s="340"/>
      <c r="P456" s="341"/>
      <c r="Q456" s="348"/>
      <c r="R456" s="349"/>
      <c r="S456" s="358"/>
      <c r="T456" s="359"/>
      <c r="U456" s="302"/>
    </row>
    <row r="457" spans="2:21" ht="14.1" customHeight="1" x14ac:dyDescent="0.15">
      <c r="B457" s="302"/>
      <c r="C457" s="325">
        <v>444</v>
      </c>
      <c r="D457" s="997"/>
      <c r="E457" s="998"/>
      <c r="F457" s="998"/>
      <c r="G457" s="998"/>
      <c r="H457" s="998"/>
      <c r="I457" s="998"/>
      <c r="J457" s="999"/>
      <c r="K457" s="302"/>
      <c r="L457" s="364"/>
      <c r="M457" s="332"/>
      <c r="N457" s="333"/>
      <c r="O457" s="340"/>
      <c r="P457" s="341"/>
      <c r="Q457" s="348"/>
      <c r="R457" s="349"/>
      <c r="S457" s="358"/>
      <c r="T457" s="359"/>
      <c r="U457" s="302"/>
    </row>
    <row r="458" spans="2:21" ht="14.1" customHeight="1" x14ac:dyDescent="0.15">
      <c r="B458" s="302"/>
      <c r="C458" s="325">
        <v>445</v>
      </c>
      <c r="D458" s="997"/>
      <c r="E458" s="998"/>
      <c r="F458" s="998"/>
      <c r="G458" s="998"/>
      <c r="H458" s="998"/>
      <c r="I458" s="998"/>
      <c r="J458" s="999"/>
      <c r="K458" s="302"/>
      <c r="L458" s="364"/>
      <c r="M458" s="332"/>
      <c r="N458" s="333"/>
      <c r="O458" s="340"/>
      <c r="P458" s="341"/>
      <c r="Q458" s="348"/>
      <c r="R458" s="349"/>
      <c r="S458" s="358"/>
      <c r="T458" s="359"/>
      <c r="U458" s="302"/>
    </row>
    <row r="459" spans="2:21" ht="14.1" customHeight="1" x14ac:dyDescent="0.15">
      <c r="B459" s="302"/>
      <c r="C459" s="325">
        <v>446</v>
      </c>
      <c r="D459" s="997"/>
      <c r="E459" s="998"/>
      <c r="F459" s="998"/>
      <c r="G459" s="998"/>
      <c r="H459" s="998"/>
      <c r="I459" s="998"/>
      <c r="J459" s="999"/>
      <c r="K459" s="302"/>
      <c r="L459" s="364"/>
      <c r="M459" s="332"/>
      <c r="N459" s="333"/>
      <c r="O459" s="340"/>
      <c r="P459" s="341"/>
      <c r="Q459" s="348"/>
      <c r="R459" s="349"/>
      <c r="S459" s="358"/>
      <c r="T459" s="359"/>
      <c r="U459" s="302"/>
    </row>
    <row r="460" spans="2:21" ht="14.1" customHeight="1" x14ac:dyDescent="0.15">
      <c r="B460" s="302"/>
      <c r="C460" s="325">
        <v>447</v>
      </c>
      <c r="D460" s="997"/>
      <c r="E460" s="998"/>
      <c r="F460" s="998"/>
      <c r="G460" s="998"/>
      <c r="H460" s="998"/>
      <c r="I460" s="998"/>
      <c r="J460" s="999"/>
      <c r="K460" s="302"/>
      <c r="L460" s="364"/>
      <c r="M460" s="332"/>
      <c r="N460" s="333"/>
      <c r="O460" s="340"/>
      <c r="P460" s="341"/>
      <c r="Q460" s="348"/>
      <c r="R460" s="349"/>
      <c r="S460" s="358"/>
      <c r="T460" s="359"/>
      <c r="U460" s="302"/>
    </row>
    <row r="461" spans="2:21" ht="14.1" customHeight="1" x14ac:dyDescent="0.15">
      <c r="B461" s="302"/>
      <c r="C461" s="325">
        <v>448</v>
      </c>
      <c r="D461" s="997"/>
      <c r="E461" s="998"/>
      <c r="F461" s="998"/>
      <c r="G461" s="998"/>
      <c r="H461" s="998"/>
      <c r="I461" s="998"/>
      <c r="J461" s="999"/>
      <c r="K461" s="302"/>
      <c r="L461" s="364"/>
      <c r="M461" s="332"/>
      <c r="N461" s="333"/>
      <c r="O461" s="340"/>
      <c r="P461" s="341"/>
      <c r="Q461" s="348"/>
      <c r="R461" s="349"/>
      <c r="S461" s="358"/>
      <c r="T461" s="359"/>
      <c r="U461" s="302"/>
    </row>
    <row r="462" spans="2:21" ht="14.1" customHeight="1" x14ac:dyDescent="0.15">
      <c r="B462" s="302"/>
      <c r="C462" s="325">
        <v>449</v>
      </c>
      <c r="D462" s="997"/>
      <c r="E462" s="998"/>
      <c r="F462" s="998"/>
      <c r="G462" s="998"/>
      <c r="H462" s="998"/>
      <c r="I462" s="998"/>
      <c r="J462" s="999"/>
      <c r="K462" s="302"/>
      <c r="L462" s="364"/>
      <c r="M462" s="332"/>
      <c r="N462" s="333"/>
      <c r="O462" s="340"/>
      <c r="P462" s="341"/>
      <c r="Q462" s="348"/>
      <c r="R462" s="349"/>
      <c r="S462" s="358"/>
      <c r="T462" s="359"/>
      <c r="U462" s="302"/>
    </row>
    <row r="463" spans="2:21" ht="14.1" customHeight="1" x14ac:dyDescent="0.15">
      <c r="B463" s="302"/>
      <c r="C463" s="325">
        <v>450</v>
      </c>
      <c r="D463" s="997"/>
      <c r="E463" s="998"/>
      <c r="F463" s="998"/>
      <c r="G463" s="998"/>
      <c r="H463" s="998"/>
      <c r="I463" s="998"/>
      <c r="J463" s="999"/>
      <c r="K463" s="302"/>
      <c r="L463" s="364"/>
      <c r="M463" s="332"/>
      <c r="N463" s="333"/>
      <c r="O463" s="340"/>
      <c r="P463" s="341"/>
      <c r="Q463" s="348"/>
      <c r="R463" s="349"/>
      <c r="S463" s="358"/>
      <c r="T463" s="359"/>
      <c r="U463" s="302"/>
    </row>
    <row r="464" spans="2:21" ht="14.1" customHeight="1" x14ac:dyDescent="0.15">
      <c r="B464" s="302"/>
      <c r="C464" s="325">
        <v>451</v>
      </c>
      <c r="D464" s="997"/>
      <c r="E464" s="998"/>
      <c r="F464" s="998"/>
      <c r="G464" s="998"/>
      <c r="H464" s="998"/>
      <c r="I464" s="998"/>
      <c r="J464" s="999"/>
      <c r="K464" s="302"/>
      <c r="L464" s="364"/>
      <c r="M464" s="332"/>
      <c r="N464" s="333"/>
      <c r="O464" s="340"/>
      <c r="P464" s="341"/>
      <c r="Q464" s="348"/>
      <c r="R464" s="349"/>
      <c r="S464" s="358"/>
      <c r="T464" s="359"/>
      <c r="U464" s="302"/>
    </row>
    <row r="465" spans="2:21" ht="14.1" customHeight="1" x14ac:dyDescent="0.15">
      <c r="B465" s="302"/>
      <c r="C465" s="325">
        <v>452</v>
      </c>
      <c r="D465" s="997"/>
      <c r="E465" s="998"/>
      <c r="F465" s="998"/>
      <c r="G465" s="998"/>
      <c r="H465" s="998"/>
      <c r="I465" s="998"/>
      <c r="J465" s="999"/>
      <c r="K465" s="302"/>
      <c r="L465" s="364"/>
      <c r="M465" s="332"/>
      <c r="N465" s="333"/>
      <c r="O465" s="340"/>
      <c r="P465" s="341"/>
      <c r="Q465" s="348"/>
      <c r="R465" s="349"/>
      <c r="S465" s="358"/>
      <c r="T465" s="359"/>
      <c r="U465" s="302"/>
    </row>
    <row r="466" spans="2:21" ht="14.1" customHeight="1" x14ac:dyDescent="0.15">
      <c r="B466" s="302"/>
      <c r="C466" s="325">
        <v>453</v>
      </c>
      <c r="D466" s="997"/>
      <c r="E466" s="998"/>
      <c r="F466" s="998"/>
      <c r="G466" s="998"/>
      <c r="H466" s="998"/>
      <c r="I466" s="998"/>
      <c r="J466" s="999"/>
      <c r="K466" s="302"/>
      <c r="L466" s="364"/>
      <c r="M466" s="332"/>
      <c r="N466" s="333"/>
      <c r="O466" s="340"/>
      <c r="P466" s="341"/>
      <c r="Q466" s="348"/>
      <c r="R466" s="349"/>
      <c r="S466" s="358"/>
      <c r="T466" s="359"/>
      <c r="U466" s="302"/>
    </row>
    <row r="467" spans="2:21" ht="14.1" customHeight="1" x14ac:dyDescent="0.15">
      <c r="B467" s="302"/>
      <c r="C467" s="325">
        <v>454</v>
      </c>
      <c r="D467" s="997"/>
      <c r="E467" s="998"/>
      <c r="F467" s="998"/>
      <c r="G467" s="998"/>
      <c r="H467" s="998"/>
      <c r="I467" s="998"/>
      <c r="J467" s="999"/>
      <c r="K467" s="302"/>
      <c r="L467" s="364"/>
      <c r="M467" s="332"/>
      <c r="N467" s="333"/>
      <c r="O467" s="340"/>
      <c r="P467" s="341"/>
      <c r="Q467" s="348"/>
      <c r="R467" s="349"/>
      <c r="S467" s="358"/>
      <c r="T467" s="359"/>
      <c r="U467" s="302"/>
    </row>
    <row r="468" spans="2:21" ht="14.1" customHeight="1" x14ac:dyDescent="0.15">
      <c r="B468" s="302"/>
      <c r="C468" s="325">
        <v>455</v>
      </c>
      <c r="D468" s="997"/>
      <c r="E468" s="998"/>
      <c r="F468" s="998"/>
      <c r="G468" s="998"/>
      <c r="H468" s="998"/>
      <c r="I468" s="998"/>
      <c r="J468" s="999"/>
      <c r="K468" s="302"/>
      <c r="L468" s="364"/>
      <c r="M468" s="332"/>
      <c r="N468" s="333"/>
      <c r="O468" s="340"/>
      <c r="P468" s="341"/>
      <c r="Q468" s="348"/>
      <c r="R468" s="349"/>
      <c r="S468" s="358"/>
      <c r="T468" s="359"/>
      <c r="U468" s="302"/>
    </row>
    <row r="469" spans="2:21" ht="14.1" customHeight="1" x14ac:dyDescent="0.15">
      <c r="B469" s="302"/>
      <c r="C469" s="325">
        <v>456</v>
      </c>
      <c r="D469" s="997"/>
      <c r="E469" s="998"/>
      <c r="F469" s="998"/>
      <c r="G469" s="998"/>
      <c r="H469" s="998"/>
      <c r="I469" s="998"/>
      <c r="J469" s="999"/>
      <c r="K469" s="302"/>
      <c r="L469" s="364"/>
      <c r="M469" s="332"/>
      <c r="N469" s="333"/>
      <c r="O469" s="340"/>
      <c r="P469" s="341"/>
      <c r="Q469" s="348"/>
      <c r="R469" s="349"/>
      <c r="S469" s="358"/>
      <c r="T469" s="359"/>
      <c r="U469" s="302"/>
    </row>
    <row r="470" spans="2:21" ht="14.1" customHeight="1" x14ac:dyDescent="0.15">
      <c r="B470" s="302"/>
      <c r="C470" s="325">
        <v>457</v>
      </c>
      <c r="D470" s="997"/>
      <c r="E470" s="998"/>
      <c r="F470" s="998"/>
      <c r="G470" s="998"/>
      <c r="H470" s="998"/>
      <c r="I470" s="998"/>
      <c r="J470" s="999"/>
      <c r="K470" s="302"/>
      <c r="L470" s="364"/>
      <c r="M470" s="332"/>
      <c r="N470" s="333"/>
      <c r="O470" s="340"/>
      <c r="P470" s="341"/>
      <c r="Q470" s="348"/>
      <c r="R470" s="349"/>
      <c r="S470" s="358"/>
      <c r="T470" s="359"/>
      <c r="U470" s="302"/>
    </row>
    <row r="471" spans="2:21" ht="14.1" customHeight="1" x14ac:dyDescent="0.15">
      <c r="B471" s="302"/>
      <c r="C471" s="325">
        <v>458</v>
      </c>
      <c r="D471" s="997"/>
      <c r="E471" s="998"/>
      <c r="F471" s="998"/>
      <c r="G471" s="998"/>
      <c r="H471" s="998"/>
      <c r="I471" s="998"/>
      <c r="J471" s="999"/>
      <c r="K471" s="302"/>
      <c r="L471" s="364"/>
      <c r="M471" s="332"/>
      <c r="N471" s="333"/>
      <c r="O471" s="340"/>
      <c r="P471" s="341"/>
      <c r="Q471" s="348"/>
      <c r="R471" s="349"/>
      <c r="S471" s="358"/>
      <c r="T471" s="359"/>
      <c r="U471" s="302"/>
    </row>
    <row r="472" spans="2:21" ht="14.1" customHeight="1" x14ac:dyDescent="0.15">
      <c r="B472" s="302"/>
      <c r="C472" s="325">
        <v>459</v>
      </c>
      <c r="D472" s="997"/>
      <c r="E472" s="998"/>
      <c r="F472" s="998"/>
      <c r="G472" s="998"/>
      <c r="H472" s="998"/>
      <c r="I472" s="998"/>
      <c r="J472" s="999"/>
      <c r="K472" s="302"/>
      <c r="L472" s="364"/>
      <c r="M472" s="332"/>
      <c r="N472" s="333"/>
      <c r="O472" s="340"/>
      <c r="P472" s="341"/>
      <c r="Q472" s="348"/>
      <c r="R472" s="349"/>
      <c r="S472" s="358"/>
      <c r="T472" s="359"/>
      <c r="U472" s="302"/>
    </row>
    <row r="473" spans="2:21" ht="14.1" customHeight="1" x14ac:dyDescent="0.15">
      <c r="B473" s="302"/>
      <c r="C473" s="325">
        <v>460</v>
      </c>
      <c r="D473" s="997"/>
      <c r="E473" s="998"/>
      <c r="F473" s="998"/>
      <c r="G473" s="998"/>
      <c r="H473" s="998"/>
      <c r="I473" s="998"/>
      <c r="J473" s="999"/>
      <c r="K473" s="302"/>
      <c r="L473" s="364"/>
      <c r="M473" s="332"/>
      <c r="N473" s="333"/>
      <c r="O473" s="340"/>
      <c r="P473" s="341"/>
      <c r="Q473" s="348"/>
      <c r="R473" s="349"/>
      <c r="S473" s="358"/>
      <c r="T473" s="359"/>
      <c r="U473" s="302"/>
    </row>
    <row r="474" spans="2:21" ht="14.1" customHeight="1" x14ac:dyDescent="0.15">
      <c r="B474" s="302"/>
      <c r="C474" s="325">
        <v>461</v>
      </c>
      <c r="D474" s="997"/>
      <c r="E474" s="998"/>
      <c r="F474" s="998"/>
      <c r="G474" s="998"/>
      <c r="H474" s="998"/>
      <c r="I474" s="998"/>
      <c r="J474" s="999"/>
      <c r="K474" s="302"/>
      <c r="L474" s="364"/>
      <c r="M474" s="332"/>
      <c r="N474" s="333"/>
      <c r="O474" s="340"/>
      <c r="P474" s="341"/>
      <c r="Q474" s="348"/>
      <c r="R474" s="349"/>
      <c r="S474" s="358"/>
      <c r="T474" s="359"/>
      <c r="U474" s="302"/>
    </row>
    <row r="475" spans="2:21" ht="14.1" customHeight="1" x14ac:dyDescent="0.15">
      <c r="B475" s="302"/>
      <c r="C475" s="325">
        <v>462</v>
      </c>
      <c r="D475" s="997"/>
      <c r="E475" s="998"/>
      <c r="F475" s="998"/>
      <c r="G475" s="998"/>
      <c r="H475" s="998"/>
      <c r="I475" s="998"/>
      <c r="J475" s="999"/>
      <c r="K475" s="302"/>
      <c r="L475" s="364"/>
      <c r="M475" s="332"/>
      <c r="N475" s="333"/>
      <c r="O475" s="340"/>
      <c r="P475" s="341"/>
      <c r="Q475" s="348"/>
      <c r="R475" s="349"/>
      <c r="S475" s="358"/>
      <c r="T475" s="359"/>
      <c r="U475" s="302"/>
    </row>
    <row r="476" spans="2:21" ht="14.1" customHeight="1" x14ac:dyDescent="0.15">
      <c r="B476" s="302"/>
      <c r="C476" s="325">
        <v>463</v>
      </c>
      <c r="D476" s="997"/>
      <c r="E476" s="998"/>
      <c r="F476" s="998"/>
      <c r="G476" s="998"/>
      <c r="H476" s="998"/>
      <c r="I476" s="998"/>
      <c r="J476" s="999"/>
      <c r="K476" s="302"/>
      <c r="L476" s="364"/>
      <c r="M476" s="332"/>
      <c r="N476" s="333"/>
      <c r="O476" s="340"/>
      <c r="P476" s="341"/>
      <c r="Q476" s="348"/>
      <c r="R476" s="349"/>
      <c r="S476" s="358"/>
      <c r="T476" s="359"/>
      <c r="U476" s="302"/>
    </row>
    <row r="477" spans="2:21" ht="14.1" customHeight="1" x14ac:dyDescent="0.15">
      <c r="B477" s="302"/>
      <c r="C477" s="325">
        <v>464</v>
      </c>
      <c r="D477" s="997"/>
      <c r="E477" s="998"/>
      <c r="F477" s="998"/>
      <c r="G477" s="998"/>
      <c r="H477" s="998"/>
      <c r="I477" s="998"/>
      <c r="J477" s="999"/>
      <c r="K477" s="302"/>
      <c r="L477" s="364"/>
      <c r="M477" s="332"/>
      <c r="N477" s="333"/>
      <c r="O477" s="340"/>
      <c r="P477" s="341"/>
      <c r="Q477" s="348"/>
      <c r="R477" s="349"/>
      <c r="S477" s="358"/>
      <c r="T477" s="359"/>
      <c r="U477" s="302"/>
    </row>
    <row r="478" spans="2:21" ht="14.1" customHeight="1" x14ac:dyDescent="0.15">
      <c r="B478" s="302"/>
      <c r="C478" s="325">
        <v>465</v>
      </c>
      <c r="D478" s="997"/>
      <c r="E478" s="998"/>
      <c r="F478" s="998"/>
      <c r="G478" s="998"/>
      <c r="H478" s="998"/>
      <c r="I478" s="998"/>
      <c r="J478" s="999"/>
      <c r="K478" s="302"/>
      <c r="L478" s="364"/>
      <c r="M478" s="332"/>
      <c r="N478" s="333"/>
      <c r="O478" s="340"/>
      <c r="P478" s="341"/>
      <c r="Q478" s="348"/>
      <c r="R478" s="349"/>
      <c r="S478" s="358"/>
      <c r="T478" s="359"/>
      <c r="U478" s="302"/>
    </row>
    <row r="479" spans="2:21" ht="14.1" customHeight="1" x14ac:dyDescent="0.15">
      <c r="B479" s="302"/>
      <c r="C479" s="325">
        <v>466</v>
      </c>
      <c r="D479" s="997"/>
      <c r="E479" s="998"/>
      <c r="F479" s="998"/>
      <c r="G479" s="998"/>
      <c r="H479" s="998"/>
      <c r="I479" s="998"/>
      <c r="J479" s="999"/>
      <c r="K479" s="302"/>
      <c r="L479" s="364"/>
      <c r="M479" s="332"/>
      <c r="N479" s="333"/>
      <c r="O479" s="340"/>
      <c r="P479" s="341"/>
      <c r="Q479" s="348"/>
      <c r="R479" s="349"/>
      <c r="S479" s="358"/>
      <c r="T479" s="359"/>
      <c r="U479" s="302"/>
    </row>
    <row r="480" spans="2:21" ht="14.1" customHeight="1" x14ac:dyDescent="0.15">
      <c r="B480" s="302"/>
      <c r="C480" s="325">
        <v>467</v>
      </c>
      <c r="D480" s="997"/>
      <c r="E480" s="998"/>
      <c r="F480" s="998"/>
      <c r="G480" s="998"/>
      <c r="H480" s="998"/>
      <c r="I480" s="998"/>
      <c r="J480" s="999"/>
      <c r="K480" s="302"/>
      <c r="L480" s="364"/>
      <c r="M480" s="332"/>
      <c r="N480" s="333"/>
      <c r="O480" s="340"/>
      <c r="P480" s="341"/>
      <c r="Q480" s="348"/>
      <c r="R480" s="349"/>
      <c r="S480" s="358"/>
      <c r="T480" s="359"/>
      <c r="U480" s="302"/>
    </row>
    <row r="481" spans="2:21" ht="14.1" customHeight="1" x14ac:dyDescent="0.15">
      <c r="B481" s="302"/>
      <c r="C481" s="325">
        <v>468</v>
      </c>
      <c r="D481" s="997"/>
      <c r="E481" s="998"/>
      <c r="F481" s="998"/>
      <c r="G481" s="998"/>
      <c r="H481" s="998"/>
      <c r="I481" s="998"/>
      <c r="J481" s="999"/>
      <c r="K481" s="302"/>
      <c r="L481" s="364"/>
      <c r="M481" s="332"/>
      <c r="N481" s="333"/>
      <c r="O481" s="340"/>
      <c r="P481" s="341"/>
      <c r="Q481" s="348"/>
      <c r="R481" s="349"/>
      <c r="S481" s="358"/>
      <c r="T481" s="359"/>
      <c r="U481" s="302"/>
    </row>
    <row r="482" spans="2:21" ht="14.1" customHeight="1" x14ac:dyDescent="0.15">
      <c r="B482" s="302"/>
      <c r="C482" s="325">
        <v>469</v>
      </c>
      <c r="D482" s="997"/>
      <c r="E482" s="998"/>
      <c r="F482" s="998"/>
      <c r="G482" s="998"/>
      <c r="H482" s="998"/>
      <c r="I482" s="998"/>
      <c r="J482" s="999"/>
      <c r="K482" s="302"/>
      <c r="L482" s="364"/>
      <c r="M482" s="332"/>
      <c r="N482" s="333"/>
      <c r="O482" s="340"/>
      <c r="P482" s="341"/>
      <c r="Q482" s="348"/>
      <c r="R482" s="349"/>
      <c r="S482" s="358"/>
      <c r="T482" s="359"/>
      <c r="U482" s="302"/>
    </row>
    <row r="483" spans="2:21" ht="14.1" customHeight="1" x14ac:dyDescent="0.15">
      <c r="B483" s="302"/>
      <c r="C483" s="325">
        <v>470</v>
      </c>
      <c r="D483" s="997"/>
      <c r="E483" s="998"/>
      <c r="F483" s="998"/>
      <c r="G483" s="998"/>
      <c r="H483" s="998"/>
      <c r="I483" s="998"/>
      <c r="J483" s="999"/>
      <c r="K483" s="302"/>
      <c r="L483" s="364"/>
      <c r="M483" s="332"/>
      <c r="N483" s="333"/>
      <c r="O483" s="340"/>
      <c r="P483" s="341"/>
      <c r="Q483" s="348"/>
      <c r="R483" s="349"/>
      <c r="S483" s="358"/>
      <c r="T483" s="359"/>
      <c r="U483" s="302"/>
    </row>
    <row r="484" spans="2:21" ht="14.1" customHeight="1" x14ac:dyDescent="0.15">
      <c r="B484" s="302"/>
      <c r="C484" s="325">
        <v>471</v>
      </c>
      <c r="D484" s="997"/>
      <c r="E484" s="998"/>
      <c r="F484" s="998"/>
      <c r="G484" s="998"/>
      <c r="H484" s="998"/>
      <c r="I484" s="998"/>
      <c r="J484" s="999"/>
      <c r="K484" s="302"/>
      <c r="L484" s="364"/>
      <c r="M484" s="332"/>
      <c r="N484" s="333"/>
      <c r="O484" s="340"/>
      <c r="P484" s="341"/>
      <c r="Q484" s="348"/>
      <c r="R484" s="349"/>
      <c r="S484" s="358"/>
      <c r="T484" s="359"/>
      <c r="U484" s="302"/>
    </row>
    <row r="485" spans="2:21" ht="14.1" customHeight="1" x14ac:dyDescent="0.15">
      <c r="B485" s="302"/>
      <c r="C485" s="325">
        <v>472</v>
      </c>
      <c r="D485" s="997"/>
      <c r="E485" s="998"/>
      <c r="F485" s="998"/>
      <c r="G485" s="998"/>
      <c r="H485" s="998"/>
      <c r="I485" s="998"/>
      <c r="J485" s="999"/>
      <c r="K485" s="302"/>
      <c r="L485" s="364"/>
      <c r="M485" s="332"/>
      <c r="N485" s="333"/>
      <c r="O485" s="340"/>
      <c r="P485" s="341"/>
      <c r="Q485" s="348"/>
      <c r="R485" s="349"/>
      <c r="S485" s="358"/>
      <c r="T485" s="359"/>
      <c r="U485" s="302"/>
    </row>
    <row r="486" spans="2:21" ht="14.1" customHeight="1" x14ac:dyDescent="0.15">
      <c r="B486" s="302"/>
      <c r="C486" s="325">
        <v>473</v>
      </c>
      <c r="D486" s="997"/>
      <c r="E486" s="998"/>
      <c r="F486" s="998"/>
      <c r="G486" s="998"/>
      <c r="H486" s="998"/>
      <c r="I486" s="998"/>
      <c r="J486" s="999"/>
      <c r="K486" s="302"/>
      <c r="L486" s="364"/>
      <c r="M486" s="332"/>
      <c r="N486" s="333"/>
      <c r="O486" s="340"/>
      <c r="P486" s="341"/>
      <c r="Q486" s="348"/>
      <c r="R486" s="349"/>
      <c r="S486" s="358"/>
      <c r="T486" s="359"/>
      <c r="U486" s="302"/>
    </row>
    <row r="487" spans="2:21" ht="14.1" customHeight="1" x14ac:dyDescent="0.15">
      <c r="B487" s="302"/>
      <c r="C487" s="325">
        <v>474</v>
      </c>
      <c r="D487" s="997"/>
      <c r="E487" s="998"/>
      <c r="F487" s="998"/>
      <c r="G487" s="998"/>
      <c r="H487" s="998"/>
      <c r="I487" s="998"/>
      <c r="J487" s="999"/>
      <c r="K487" s="302"/>
      <c r="L487" s="364"/>
      <c r="M487" s="332"/>
      <c r="N487" s="333"/>
      <c r="O487" s="340"/>
      <c r="P487" s="341"/>
      <c r="Q487" s="348"/>
      <c r="R487" s="349"/>
      <c r="S487" s="358"/>
      <c r="T487" s="359"/>
      <c r="U487" s="302"/>
    </row>
    <row r="488" spans="2:21" ht="14.1" customHeight="1" x14ac:dyDescent="0.15">
      <c r="B488" s="302"/>
      <c r="C488" s="325">
        <v>475</v>
      </c>
      <c r="D488" s="997"/>
      <c r="E488" s="998"/>
      <c r="F488" s="998"/>
      <c r="G488" s="998"/>
      <c r="H488" s="998"/>
      <c r="I488" s="998"/>
      <c r="J488" s="999"/>
      <c r="K488" s="302"/>
      <c r="L488" s="364"/>
      <c r="M488" s="332"/>
      <c r="N488" s="333"/>
      <c r="O488" s="340"/>
      <c r="P488" s="341"/>
      <c r="Q488" s="348"/>
      <c r="R488" s="349"/>
      <c r="S488" s="358"/>
      <c r="T488" s="359"/>
      <c r="U488" s="302"/>
    </row>
    <row r="489" spans="2:21" ht="14.1" customHeight="1" x14ac:dyDescent="0.15">
      <c r="B489" s="302"/>
      <c r="C489" s="325">
        <v>476</v>
      </c>
      <c r="D489" s="997"/>
      <c r="E489" s="998"/>
      <c r="F489" s="998"/>
      <c r="G489" s="998"/>
      <c r="H489" s="998"/>
      <c r="I489" s="998"/>
      <c r="J489" s="999"/>
      <c r="K489" s="302"/>
      <c r="L489" s="364"/>
      <c r="M489" s="332"/>
      <c r="N489" s="333"/>
      <c r="O489" s="340"/>
      <c r="P489" s="341"/>
      <c r="Q489" s="348"/>
      <c r="R489" s="349"/>
      <c r="S489" s="358"/>
      <c r="T489" s="359"/>
      <c r="U489" s="302"/>
    </row>
    <row r="490" spans="2:21" ht="14.1" customHeight="1" x14ac:dyDescent="0.15">
      <c r="B490" s="302"/>
      <c r="C490" s="325">
        <v>477</v>
      </c>
      <c r="D490" s="997"/>
      <c r="E490" s="998"/>
      <c r="F490" s="998"/>
      <c r="G490" s="998"/>
      <c r="H490" s="998"/>
      <c r="I490" s="998"/>
      <c r="J490" s="999"/>
      <c r="K490" s="302"/>
      <c r="L490" s="364"/>
      <c r="M490" s="332"/>
      <c r="N490" s="333"/>
      <c r="O490" s="340"/>
      <c r="P490" s="341"/>
      <c r="Q490" s="348"/>
      <c r="R490" s="349"/>
      <c r="S490" s="358"/>
      <c r="T490" s="359"/>
      <c r="U490" s="302"/>
    </row>
    <row r="491" spans="2:21" ht="14.1" customHeight="1" x14ac:dyDescent="0.15">
      <c r="B491" s="302"/>
      <c r="C491" s="325">
        <v>478</v>
      </c>
      <c r="D491" s="997"/>
      <c r="E491" s="998"/>
      <c r="F491" s="998"/>
      <c r="G491" s="998"/>
      <c r="H491" s="998"/>
      <c r="I491" s="998"/>
      <c r="J491" s="999"/>
      <c r="K491" s="302"/>
      <c r="L491" s="364"/>
      <c r="M491" s="332"/>
      <c r="N491" s="333"/>
      <c r="O491" s="340"/>
      <c r="P491" s="341"/>
      <c r="Q491" s="348"/>
      <c r="R491" s="349"/>
      <c r="S491" s="358"/>
      <c r="T491" s="359"/>
      <c r="U491" s="302"/>
    </row>
    <row r="492" spans="2:21" ht="14.1" customHeight="1" x14ac:dyDescent="0.15">
      <c r="B492" s="302"/>
      <c r="C492" s="325">
        <v>479</v>
      </c>
      <c r="D492" s="997"/>
      <c r="E492" s="998"/>
      <c r="F492" s="998"/>
      <c r="G492" s="998"/>
      <c r="H492" s="998"/>
      <c r="I492" s="998"/>
      <c r="J492" s="999"/>
      <c r="K492" s="302"/>
      <c r="L492" s="364"/>
      <c r="M492" s="332"/>
      <c r="N492" s="333"/>
      <c r="O492" s="340"/>
      <c r="P492" s="341"/>
      <c r="Q492" s="348"/>
      <c r="R492" s="349"/>
      <c r="S492" s="358"/>
      <c r="T492" s="359"/>
      <c r="U492" s="302"/>
    </row>
    <row r="493" spans="2:21" ht="14.1" customHeight="1" x14ac:dyDescent="0.15">
      <c r="B493" s="302"/>
      <c r="C493" s="325">
        <v>480</v>
      </c>
      <c r="D493" s="997"/>
      <c r="E493" s="998"/>
      <c r="F493" s="998"/>
      <c r="G493" s="998"/>
      <c r="H493" s="998"/>
      <c r="I493" s="998"/>
      <c r="J493" s="999"/>
      <c r="K493" s="302"/>
      <c r="L493" s="364"/>
      <c r="M493" s="332"/>
      <c r="N493" s="333"/>
      <c r="O493" s="340"/>
      <c r="P493" s="341"/>
      <c r="Q493" s="348"/>
      <c r="R493" s="349"/>
      <c r="S493" s="358"/>
      <c r="T493" s="359"/>
      <c r="U493" s="302"/>
    </row>
    <row r="494" spans="2:21" ht="14.1" customHeight="1" x14ac:dyDescent="0.15">
      <c r="B494" s="302"/>
      <c r="C494" s="325">
        <v>481</v>
      </c>
      <c r="D494" s="997"/>
      <c r="E494" s="998"/>
      <c r="F494" s="998"/>
      <c r="G494" s="998"/>
      <c r="H494" s="998"/>
      <c r="I494" s="998"/>
      <c r="J494" s="999"/>
      <c r="K494" s="302"/>
      <c r="L494" s="364"/>
      <c r="M494" s="332"/>
      <c r="N494" s="333"/>
      <c r="O494" s="340"/>
      <c r="P494" s="341"/>
      <c r="Q494" s="348"/>
      <c r="R494" s="349"/>
      <c r="S494" s="358"/>
      <c r="T494" s="359"/>
      <c r="U494" s="302"/>
    </row>
    <row r="495" spans="2:21" ht="14.1" customHeight="1" x14ac:dyDescent="0.15">
      <c r="B495" s="302"/>
      <c r="C495" s="325">
        <v>482</v>
      </c>
      <c r="D495" s="997"/>
      <c r="E495" s="998"/>
      <c r="F495" s="998"/>
      <c r="G495" s="998"/>
      <c r="H495" s="998"/>
      <c r="I495" s="998"/>
      <c r="J495" s="999"/>
      <c r="K495" s="302"/>
      <c r="L495" s="364"/>
      <c r="M495" s="332"/>
      <c r="N495" s="333"/>
      <c r="O495" s="340"/>
      <c r="P495" s="341"/>
      <c r="Q495" s="348"/>
      <c r="R495" s="349"/>
      <c r="S495" s="358"/>
      <c r="T495" s="359"/>
      <c r="U495" s="302"/>
    </row>
    <row r="496" spans="2:21" ht="14.1" customHeight="1" x14ac:dyDescent="0.15">
      <c r="B496" s="302"/>
      <c r="C496" s="325">
        <v>483</v>
      </c>
      <c r="D496" s="997"/>
      <c r="E496" s="998"/>
      <c r="F496" s="998"/>
      <c r="G496" s="998"/>
      <c r="H496" s="998"/>
      <c r="I496" s="998"/>
      <c r="J496" s="999"/>
      <c r="K496" s="302"/>
      <c r="L496" s="364"/>
      <c r="M496" s="332"/>
      <c r="N496" s="333"/>
      <c r="O496" s="340"/>
      <c r="P496" s="341"/>
      <c r="Q496" s="348"/>
      <c r="R496" s="349"/>
      <c r="S496" s="358"/>
      <c r="T496" s="359"/>
      <c r="U496" s="302"/>
    </row>
    <row r="497" spans="2:21" ht="14.1" customHeight="1" x14ac:dyDescent="0.15">
      <c r="B497" s="302"/>
      <c r="C497" s="325">
        <v>484</v>
      </c>
      <c r="D497" s="997"/>
      <c r="E497" s="998"/>
      <c r="F497" s="998"/>
      <c r="G497" s="998"/>
      <c r="H497" s="998"/>
      <c r="I497" s="998"/>
      <c r="J497" s="999"/>
      <c r="K497" s="302"/>
      <c r="L497" s="364"/>
      <c r="M497" s="332"/>
      <c r="N497" s="333"/>
      <c r="O497" s="340"/>
      <c r="P497" s="341"/>
      <c r="Q497" s="348"/>
      <c r="R497" s="349"/>
      <c r="S497" s="358"/>
      <c r="T497" s="359"/>
      <c r="U497" s="302"/>
    </row>
    <row r="498" spans="2:21" ht="14.1" customHeight="1" x14ac:dyDescent="0.15">
      <c r="B498" s="302"/>
      <c r="C498" s="325">
        <v>485</v>
      </c>
      <c r="D498" s="997"/>
      <c r="E498" s="998"/>
      <c r="F498" s="998"/>
      <c r="G498" s="998"/>
      <c r="H498" s="998"/>
      <c r="I498" s="998"/>
      <c r="J498" s="999"/>
      <c r="K498" s="302"/>
      <c r="L498" s="364"/>
      <c r="M498" s="332"/>
      <c r="N498" s="333"/>
      <c r="O498" s="340"/>
      <c r="P498" s="341"/>
      <c r="Q498" s="348"/>
      <c r="R498" s="349"/>
      <c r="S498" s="358"/>
      <c r="T498" s="359"/>
      <c r="U498" s="302"/>
    </row>
    <row r="499" spans="2:21" ht="14.1" customHeight="1" x14ac:dyDescent="0.15">
      <c r="B499" s="302"/>
      <c r="C499" s="325">
        <v>486</v>
      </c>
      <c r="D499" s="997"/>
      <c r="E499" s="998"/>
      <c r="F499" s="998"/>
      <c r="G499" s="998"/>
      <c r="H499" s="998"/>
      <c r="I499" s="998"/>
      <c r="J499" s="999"/>
      <c r="K499" s="302"/>
      <c r="L499" s="364"/>
      <c r="M499" s="332"/>
      <c r="N499" s="333"/>
      <c r="O499" s="340"/>
      <c r="P499" s="341"/>
      <c r="Q499" s="348"/>
      <c r="R499" s="349"/>
      <c r="S499" s="358"/>
      <c r="T499" s="359"/>
      <c r="U499" s="302"/>
    </row>
    <row r="500" spans="2:21" ht="14.1" customHeight="1" x14ac:dyDescent="0.15">
      <c r="B500" s="302"/>
      <c r="C500" s="325">
        <v>487</v>
      </c>
      <c r="D500" s="997"/>
      <c r="E500" s="998"/>
      <c r="F500" s="998"/>
      <c r="G500" s="998"/>
      <c r="H500" s="998"/>
      <c r="I500" s="998"/>
      <c r="J500" s="999"/>
      <c r="K500" s="302"/>
      <c r="L500" s="364"/>
      <c r="M500" s="332"/>
      <c r="N500" s="333"/>
      <c r="O500" s="340"/>
      <c r="P500" s="341"/>
      <c r="Q500" s="348"/>
      <c r="R500" s="349"/>
      <c r="S500" s="358"/>
      <c r="T500" s="359"/>
      <c r="U500" s="302"/>
    </row>
    <row r="501" spans="2:21" ht="14.1" customHeight="1" x14ac:dyDescent="0.15">
      <c r="B501" s="302"/>
      <c r="C501" s="325">
        <v>488</v>
      </c>
      <c r="D501" s="997"/>
      <c r="E501" s="998"/>
      <c r="F501" s="998"/>
      <c r="G501" s="998"/>
      <c r="H501" s="998"/>
      <c r="I501" s="998"/>
      <c r="J501" s="999"/>
      <c r="K501" s="302"/>
      <c r="L501" s="364"/>
      <c r="M501" s="332"/>
      <c r="N501" s="333"/>
      <c r="O501" s="340"/>
      <c r="P501" s="341"/>
      <c r="Q501" s="348"/>
      <c r="R501" s="349"/>
      <c r="S501" s="358"/>
      <c r="T501" s="359"/>
      <c r="U501" s="302"/>
    </row>
    <row r="502" spans="2:21" ht="14.1" customHeight="1" x14ac:dyDescent="0.15">
      <c r="B502" s="302"/>
      <c r="C502" s="325">
        <v>489</v>
      </c>
      <c r="D502" s="997"/>
      <c r="E502" s="998"/>
      <c r="F502" s="998"/>
      <c r="G502" s="998"/>
      <c r="H502" s="998"/>
      <c r="I502" s="998"/>
      <c r="J502" s="999"/>
      <c r="K502" s="302"/>
      <c r="L502" s="364"/>
      <c r="M502" s="332"/>
      <c r="N502" s="333"/>
      <c r="O502" s="340"/>
      <c r="P502" s="341"/>
      <c r="Q502" s="348"/>
      <c r="R502" s="349"/>
      <c r="S502" s="358"/>
      <c r="T502" s="359"/>
      <c r="U502" s="302"/>
    </row>
    <row r="503" spans="2:21" ht="14.1" customHeight="1" x14ac:dyDescent="0.15">
      <c r="B503" s="302"/>
      <c r="C503" s="325">
        <v>490</v>
      </c>
      <c r="D503" s="997"/>
      <c r="E503" s="998"/>
      <c r="F503" s="998"/>
      <c r="G503" s="998"/>
      <c r="H503" s="998"/>
      <c r="I503" s="998"/>
      <c r="J503" s="999"/>
      <c r="K503" s="302"/>
      <c r="L503" s="364"/>
      <c r="M503" s="332"/>
      <c r="N503" s="333"/>
      <c r="O503" s="340"/>
      <c r="P503" s="341"/>
      <c r="Q503" s="348"/>
      <c r="R503" s="349"/>
      <c r="S503" s="358"/>
      <c r="T503" s="359"/>
      <c r="U503" s="302"/>
    </row>
    <row r="504" spans="2:21" ht="14.1" customHeight="1" x14ac:dyDescent="0.15">
      <c r="B504" s="302"/>
      <c r="C504" s="325">
        <v>491</v>
      </c>
      <c r="D504" s="997"/>
      <c r="E504" s="998"/>
      <c r="F504" s="998"/>
      <c r="G504" s="998"/>
      <c r="H504" s="998"/>
      <c r="I504" s="998"/>
      <c r="J504" s="999"/>
      <c r="K504" s="302"/>
      <c r="L504" s="364"/>
      <c r="M504" s="332"/>
      <c r="N504" s="333"/>
      <c r="O504" s="340"/>
      <c r="P504" s="341"/>
      <c r="Q504" s="348"/>
      <c r="R504" s="349"/>
      <c r="S504" s="358"/>
      <c r="T504" s="359"/>
      <c r="U504" s="302"/>
    </row>
    <row r="505" spans="2:21" ht="14.1" customHeight="1" x14ac:dyDescent="0.15">
      <c r="B505" s="302"/>
      <c r="C505" s="325">
        <v>492</v>
      </c>
      <c r="D505" s="997"/>
      <c r="E505" s="998"/>
      <c r="F505" s="998"/>
      <c r="G505" s="998"/>
      <c r="H505" s="998"/>
      <c r="I505" s="998"/>
      <c r="J505" s="999"/>
      <c r="K505" s="302"/>
      <c r="L505" s="364"/>
      <c r="M505" s="332"/>
      <c r="N505" s="333"/>
      <c r="O505" s="340"/>
      <c r="P505" s="341"/>
      <c r="Q505" s="348"/>
      <c r="R505" s="349"/>
      <c r="S505" s="358"/>
      <c r="T505" s="359"/>
      <c r="U505" s="302"/>
    </row>
    <row r="506" spans="2:21" ht="14.1" customHeight="1" x14ac:dyDescent="0.15">
      <c r="B506" s="302"/>
      <c r="C506" s="325">
        <v>493</v>
      </c>
      <c r="D506" s="997"/>
      <c r="E506" s="998"/>
      <c r="F506" s="998"/>
      <c r="G506" s="998"/>
      <c r="H506" s="998"/>
      <c r="I506" s="998"/>
      <c r="J506" s="999"/>
      <c r="K506" s="302"/>
      <c r="L506" s="364"/>
      <c r="M506" s="332"/>
      <c r="N506" s="333"/>
      <c r="O506" s="340"/>
      <c r="P506" s="341"/>
      <c r="Q506" s="348"/>
      <c r="R506" s="349"/>
      <c r="S506" s="358"/>
      <c r="T506" s="359"/>
      <c r="U506" s="302"/>
    </row>
    <row r="507" spans="2:21" ht="14.1" customHeight="1" x14ac:dyDescent="0.15">
      <c r="B507" s="302"/>
      <c r="C507" s="325">
        <v>494</v>
      </c>
      <c r="D507" s="997"/>
      <c r="E507" s="998"/>
      <c r="F507" s="998"/>
      <c r="G507" s="998"/>
      <c r="H507" s="998"/>
      <c r="I507" s="998"/>
      <c r="J507" s="999"/>
      <c r="K507" s="302"/>
      <c r="L507" s="364"/>
      <c r="M507" s="332"/>
      <c r="N507" s="333"/>
      <c r="O507" s="340"/>
      <c r="P507" s="341"/>
      <c r="Q507" s="348"/>
      <c r="R507" s="349"/>
      <c r="S507" s="358"/>
      <c r="T507" s="359"/>
      <c r="U507" s="302"/>
    </row>
    <row r="508" spans="2:21" ht="14.1" customHeight="1" x14ac:dyDescent="0.15">
      <c r="B508" s="302"/>
      <c r="C508" s="325">
        <v>495</v>
      </c>
      <c r="D508" s="997"/>
      <c r="E508" s="998"/>
      <c r="F508" s="998"/>
      <c r="G508" s="998"/>
      <c r="H508" s="998"/>
      <c r="I508" s="998"/>
      <c r="J508" s="999"/>
      <c r="K508" s="302"/>
      <c r="L508" s="364"/>
      <c r="M508" s="332"/>
      <c r="N508" s="333"/>
      <c r="O508" s="340"/>
      <c r="P508" s="341"/>
      <c r="Q508" s="348"/>
      <c r="R508" s="349"/>
      <c r="S508" s="358"/>
      <c r="T508" s="359"/>
      <c r="U508" s="302"/>
    </row>
    <row r="509" spans="2:21" ht="14.1" customHeight="1" x14ac:dyDescent="0.15">
      <c r="B509" s="302"/>
      <c r="C509" s="325">
        <v>496</v>
      </c>
      <c r="D509" s="997"/>
      <c r="E509" s="998"/>
      <c r="F509" s="998"/>
      <c r="G509" s="998"/>
      <c r="H509" s="998"/>
      <c r="I509" s="998"/>
      <c r="J509" s="999"/>
      <c r="K509" s="302"/>
      <c r="L509" s="364"/>
      <c r="M509" s="332"/>
      <c r="N509" s="333"/>
      <c r="O509" s="340"/>
      <c r="P509" s="341"/>
      <c r="Q509" s="348"/>
      <c r="R509" s="349"/>
      <c r="S509" s="358"/>
      <c r="T509" s="359"/>
      <c r="U509" s="302"/>
    </row>
    <row r="510" spans="2:21" ht="14.1" customHeight="1" x14ac:dyDescent="0.15">
      <c r="B510" s="302"/>
      <c r="C510" s="325">
        <v>497</v>
      </c>
      <c r="D510" s="997"/>
      <c r="E510" s="998"/>
      <c r="F510" s="998"/>
      <c r="G510" s="998"/>
      <c r="H510" s="998"/>
      <c r="I510" s="998"/>
      <c r="J510" s="999"/>
      <c r="K510" s="302"/>
      <c r="L510" s="364"/>
      <c r="M510" s="332"/>
      <c r="N510" s="333"/>
      <c r="O510" s="340"/>
      <c r="P510" s="341"/>
      <c r="Q510" s="348"/>
      <c r="R510" s="349"/>
      <c r="S510" s="358"/>
      <c r="T510" s="359"/>
      <c r="U510" s="302"/>
    </row>
    <row r="511" spans="2:21" ht="14.1" customHeight="1" x14ac:dyDescent="0.15">
      <c r="B511" s="302"/>
      <c r="C511" s="325">
        <v>498</v>
      </c>
      <c r="D511" s="997"/>
      <c r="E511" s="998"/>
      <c r="F511" s="998"/>
      <c r="G511" s="998"/>
      <c r="H511" s="998"/>
      <c r="I511" s="998"/>
      <c r="J511" s="999"/>
      <c r="K511" s="302"/>
      <c r="L511" s="364"/>
      <c r="M511" s="332"/>
      <c r="N511" s="333"/>
      <c r="O511" s="340"/>
      <c r="P511" s="341"/>
      <c r="Q511" s="348"/>
      <c r="R511" s="349"/>
      <c r="S511" s="358"/>
      <c r="T511" s="359"/>
      <c r="U511" s="302"/>
    </row>
    <row r="512" spans="2:21" ht="14.1" customHeight="1" x14ac:dyDescent="0.15">
      <c r="B512" s="302"/>
      <c r="C512" s="325">
        <v>499</v>
      </c>
      <c r="D512" s="997"/>
      <c r="E512" s="998"/>
      <c r="F512" s="998"/>
      <c r="G512" s="998"/>
      <c r="H512" s="998"/>
      <c r="I512" s="998"/>
      <c r="J512" s="999"/>
      <c r="K512" s="302"/>
      <c r="L512" s="364"/>
      <c r="M512" s="332"/>
      <c r="N512" s="333"/>
      <c r="O512" s="340"/>
      <c r="P512" s="341"/>
      <c r="Q512" s="348"/>
      <c r="R512" s="349"/>
      <c r="S512" s="358"/>
      <c r="T512" s="359"/>
      <c r="U512" s="302"/>
    </row>
    <row r="513" spans="2:21" ht="14.1" customHeight="1" thickBot="1" x14ac:dyDescent="0.2">
      <c r="B513" s="302"/>
      <c r="C513" s="326">
        <v>500</v>
      </c>
      <c r="D513" s="1000"/>
      <c r="E513" s="1001"/>
      <c r="F513" s="1001"/>
      <c r="G513" s="1001"/>
      <c r="H513" s="1001"/>
      <c r="I513" s="1001"/>
      <c r="J513" s="1002"/>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7" sqref="B7"/>
    </sheetView>
  </sheetViews>
  <sheetFormatPr defaultColWidth="8.88671875" defaultRowHeight="12" x14ac:dyDescent="0.15"/>
  <cols>
    <col min="1" max="1" width="8.88671875" style="159" bestFit="1" customWidth="1"/>
    <col min="2" max="2" width="60.109375" style="159" bestFit="1" customWidth="1"/>
    <col min="3" max="3" width="3.5546875" style="159" bestFit="1" customWidth="1"/>
    <col min="4" max="4" width="50" style="159" bestFit="1" customWidth="1"/>
    <col min="5" max="5" width="3.5546875" style="159" bestFit="1" customWidth="1"/>
    <col min="6" max="6" width="50" style="159" bestFit="1" customWidth="1"/>
    <col min="7" max="7" width="3.5546875" style="159" bestFit="1" customWidth="1"/>
    <col min="8" max="8" width="50" style="159" bestFit="1" customWidth="1"/>
    <col min="9" max="9" width="16.44140625" style="159" bestFit="1" customWidth="1"/>
    <col min="10" max="16384" width="8.88671875" style="159"/>
  </cols>
  <sheetData>
    <row r="1" spans="1:9" ht="12.6"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6" thickBot="1" x14ac:dyDescent="0.2">
      <c r="A4" s="170"/>
      <c r="B4" s="171"/>
      <c r="C4" s="171"/>
      <c r="D4" s="171"/>
      <c r="E4" s="170"/>
      <c r="F4" s="170"/>
      <c r="G4" s="170"/>
      <c r="H4" s="170"/>
      <c r="I4" s="170"/>
    </row>
    <row r="5" spans="1:9" ht="114.9"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6" thickBot="1" x14ac:dyDescent="0.2">
      <c r="A6" s="170"/>
      <c r="B6" s="171"/>
      <c r="C6" s="171"/>
      <c r="D6" s="171"/>
      <c r="E6" s="170"/>
      <c r="F6" s="170"/>
      <c r="G6" s="170"/>
      <c r="H6" s="170"/>
      <c r="I6" s="170"/>
    </row>
    <row r="7" spans="1:9" ht="162.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2" t="s">
        <v>400</v>
      </c>
      <c r="E7" s="1062"/>
      <c r="F7" s="1062"/>
      <c r="G7" s="170"/>
      <c r="H7" s="170"/>
      <c r="I7" s="170"/>
    </row>
    <row r="8" spans="1:9" ht="16.8" thickBot="1" x14ac:dyDescent="0.2">
      <c r="A8" s="170"/>
      <c r="B8" s="171"/>
      <c r="C8" s="171"/>
      <c r="D8" s="172"/>
      <c r="E8" s="172"/>
      <c r="F8" s="172"/>
      <c r="G8" s="170"/>
      <c r="H8" s="170"/>
      <c r="I8" s="170"/>
    </row>
    <row r="9" spans="1:9" ht="162.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6" thickBot="1" x14ac:dyDescent="0.2">
      <c r="A10" s="170"/>
      <c r="B10" s="171"/>
      <c r="C10" s="171"/>
      <c r="D10" s="171"/>
      <c r="E10" s="170"/>
      <c r="F10" s="170"/>
      <c r="G10" s="170"/>
      <c r="H10" s="170"/>
      <c r="I10" s="170"/>
    </row>
    <row r="11" spans="1:9" ht="144.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64" customWidth="1"/>
    <col min="2" max="2" width="3.5546875" style="164" customWidth="1"/>
    <col min="3" max="3" width="9.5546875" style="164" customWidth="1"/>
    <col min="4" max="4" width="12" style="164" customWidth="1"/>
    <col min="5" max="5" width="8.44140625" style="164" customWidth="1"/>
    <col min="6" max="6" width="10.33203125" style="164" customWidth="1"/>
    <col min="7" max="7" width="12.44140625" style="164" customWidth="1"/>
    <col min="8" max="8" width="2.6640625" style="164" customWidth="1"/>
    <col min="9" max="9" width="9.5546875" style="164" customWidth="1"/>
    <col min="10" max="16" width="4.6640625" style="164" customWidth="1"/>
    <col min="17" max="17" width="8" style="164" customWidth="1"/>
    <col min="18" max="18" width="2.6640625" style="164" customWidth="1"/>
    <col min="19" max="19" width="9.5546875" style="164" customWidth="1"/>
    <col min="20" max="21" width="8.88671875" style="164"/>
    <col min="22" max="24" width="7.44140625" style="164" customWidth="1"/>
    <col min="25" max="25" width="2.6640625" style="164" customWidth="1"/>
    <col min="26" max="26" width="9.5546875" style="164" customWidth="1"/>
    <col min="27" max="29" width="8.88671875" style="164"/>
    <col min="30" max="31" width="7.44140625" style="164" customWidth="1"/>
    <col min="32" max="32" width="2.6640625" style="164" customWidth="1"/>
    <col min="33" max="33" width="6.33203125" style="164" customWidth="1"/>
    <col min="34" max="16384" width="8.88671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090" t="s">
        <v>653</v>
      </c>
      <c r="C2" s="1091"/>
      <c r="D2" s="1091"/>
      <c r="E2" s="1091"/>
      <c r="F2" s="1091"/>
      <c r="G2" s="1091"/>
      <c r="H2" s="1091"/>
      <c r="I2" s="1091"/>
      <c r="J2" s="1091"/>
      <c r="K2" s="1091"/>
      <c r="L2" s="1091"/>
      <c r="M2" s="1091"/>
      <c r="N2" s="1091"/>
      <c r="O2" s="1092"/>
      <c r="P2" s="1099" t="s">
        <v>1000</v>
      </c>
      <c r="Q2" s="1100"/>
      <c r="R2" s="1100"/>
      <c r="S2" s="1101"/>
      <c r="T2" s="1105"/>
      <c r="U2" s="1106"/>
      <c r="V2" s="1106"/>
      <c r="W2" s="1106"/>
      <c r="X2" s="1106"/>
      <c r="Y2" s="1106"/>
      <c r="Z2" s="1106"/>
      <c r="AA2" s="1106"/>
      <c r="AB2" s="1106"/>
      <c r="AC2" s="1106"/>
      <c r="AD2" s="1106"/>
      <c r="AE2" s="1106"/>
      <c r="AF2" s="1106"/>
      <c r="AG2" s="1107"/>
      <c r="AH2" s="486"/>
      <c r="AI2" s="486"/>
      <c r="AJ2" s="486"/>
      <c r="AK2" s="486"/>
      <c r="AL2" s="486"/>
      <c r="AM2" s="486"/>
      <c r="AN2" s="486"/>
      <c r="AO2" s="486"/>
      <c r="AP2" s="486"/>
      <c r="AQ2" s="486"/>
      <c r="AR2" s="486"/>
      <c r="AS2" s="486"/>
    </row>
    <row r="3" spans="1:45" ht="12" customHeight="1" thickBot="1" x14ac:dyDescent="0.2">
      <c r="A3" s="486"/>
      <c r="B3" s="1093"/>
      <c r="C3" s="1094"/>
      <c r="D3" s="1094"/>
      <c r="E3" s="1094"/>
      <c r="F3" s="1094"/>
      <c r="G3" s="1094"/>
      <c r="H3" s="1094"/>
      <c r="I3" s="1094"/>
      <c r="J3" s="1094"/>
      <c r="K3" s="1094"/>
      <c r="L3" s="1094"/>
      <c r="M3" s="1094"/>
      <c r="N3" s="1094"/>
      <c r="O3" s="1095"/>
      <c r="P3" s="1102"/>
      <c r="Q3" s="1103"/>
      <c r="R3" s="1103"/>
      <c r="S3" s="1104"/>
      <c r="T3" s="1108"/>
      <c r="U3" s="1109"/>
      <c r="V3" s="1109"/>
      <c r="W3" s="1109"/>
      <c r="X3" s="1109"/>
      <c r="Y3" s="1109"/>
      <c r="Z3" s="1109"/>
      <c r="AA3" s="1109"/>
      <c r="AB3" s="1109"/>
      <c r="AC3" s="1109"/>
      <c r="AD3" s="1109"/>
      <c r="AE3" s="1109"/>
      <c r="AF3" s="1109"/>
      <c r="AG3" s="1110"/>
      <c r="AH3" s="486"/>
      <c r="AI3" s="486"/>
      <c r="AJ3" s="486"/>
      <c r="AK3" s="486"/>
      <c r="AL3" s="486"/>
      <c r="AM3" s="486"/>
      <c r="AN3" s="486"/>
      <c r="AO3" s="486"/>
      <c r="AP3" s="486"/>
      <c r="AQ3" s="486"/>
      <c r="AR3" s="486"/>
      <c r="AS3" s="486"/>
    </row>
    <row r="4" spans="1:45" ht="12" customHeight="1" x14ac:dyDescent="0.15">
      <c r="A4" s="486"/>
      <c r="B4" s="1093"/>
      <c r="C4" s="1094"/>
      <c r="D4" s="1094"/>
      <c r="E4" s="1094"/>
      <c r="F4" s="1094"/>
      <c r="G4" s="1094"/>
      <c r="H4" s="1094"/>
      <c r="I4" s="1094"/>
      <c r="J4" s="1094"/>
      <c r="K4" s="1094"/>
      <c r="L4" s="1094"/>
      <c r="M4" s="1094"/>
      <c r="N4" s="1094"/>
      <c r="O4" s="1095"/>
      <c r="P4" s="1099" t="s">
        <v>1001</v>
      </c>
      <c r="Q4" s="1100"/>
      <c r="R4" s="1100"/>
      <c r="S4" s="1101"/>
      <c r="T4" s="1105"/>
      <c r="U4" s="1106"/>
      <c r="V4" s="1106"/>
      <c r="W4" s="1106"/>
      <c r="X4" s="1106"/>
      <c r="Y4" s="1106"/>
      <c r="Z4" s="1106"/>
      <c r="AA4" s="1106"/>
      <c r="AB4" s="1106"/>
      <c r="AC4" s="1106"/>
      <c r="AD4" s="1106"/>
      <c r="AE4" s="1106"/>
      <c r="AF4" s="1106"/>
      <c r="AG4" s="1107"/>
      <c r="AH4" s="486"/>
      <c r="AI4" s="486"/>
      <c r="AJ4" s="486"/>
      <c r="AK4" s="486"/>
      <c r="AL4" s="486"/>
      <c r="AM4" s="486"/>
      <c r="AN4" s="486"/>
      <c r="AO4" s="486"/>
      <c r="AP4" s="486"/>
      <c r="AQ4" s="486"/>
      <c r="AR4" s="486"/>
      <c r="AS4" s="486"/>
    </row>
    <row r="5" spans="1:45" ht="12" customHeight="1" thickBot="1" x14ac:dyDescent="0.2">
      <c r="A5" s="486"/>
      <c r="B5" s="1093"/>
      <c r="C5" s="1094"/>
      <c r="D5" s="1094"/>
      <c r="E5" s="1094"/>
      <c r="F5" s="1094"/>
      <c r="G5" s="1094"/>
      <c r="H5" s="1094"/>
      <c r="I5" s="1094"/>
      <c r="J5" s="1094"/>
      <c r="K5" s="1094"/>
      <c r="L5" s="1094"/>
      <c r="M5" s="1094"/>
      <c r="N5" s="1094"/>
      <c r="O5" s="1095"/>
      <c r="P5" s="1102"/>
      <c r="Q5" s="1103"/>
      <c r="R5" s="1103"/>
      <c r="S5" s="1104"/>
      <c r="T5" s="1108"/>
      <c r="U5" s="1109"/>
      <c r="V5" s="1109"/>
      <c r="W5" s="1109"/>
      <c r="X5" s="1109"/>
      <c r="Y5" s="1109"/>
      <c r="Z5" s="1109"/>
      <c r="AA5" s="1109"/>
      <c r="AB5" s="1109"/>
      <c r="AC5" s="1109"/>
      <c r="AD5" s="1109"/>
      <c r="AE5" s="1109"/>
      <c r="AF5" s="1109"/>
      <c r="AG5" s="1110"/>
      <c r="AH5" s="486"/>
      <c r="AI5" s="486"/>
      <c r="AJ5" s="486"/>
      <c r="AK5" s="486"/>
      <c r="AL5" s="486"/>
      <c r="AM5" s="486"/>
      <c r="AN5" s="486"/>
      <c r="AO5" s="486"/>
      <c r="AP5" s="486"/>
      <c r="AQ5" s="486"/>
      <c r="AR5" s="486"/>
      <c r="AS5" s="486"/>
    </row>
    <row r="6" spans="1:45" ht="12" customHeight="1" x14ac:dyDescent="0.15">
      <c r="A6" s="486"/>
      <c r="B6" s="1093"/>
      <c r="C6" s="1094"/>
      <c r="D6" s="1094"/>
      <c r="E6" s="1094"/>
      <c r="F6" s="1094"/>
      <c r="G6" s="1094"/>
      <c r="H6" s="1094"/>
      <c r="I6" s="1094"/>
      <c r="J6" s="1094"/>
      <c r="K6" s="1094"/>
      <c r="L6" s="1094"/>
      <c r="M6" s="1094"/>
      <c r="N6" s="1094"/>
      <c r="O6" s="1095"/>
      <c r="P6" s="1099" t="s">
        <v>1002</v>
      </c>
      <c r="Q6" s="1100"/>
      <c r="R6" s="1100"/>
      <c r="S6" s="1101"/>
      <c r="T6" s="1105"/>
      <c r="U6" s="1106"/>
      <c r="V6" s="1106"/>
      <c r="W6" s="1106"/>
      <c r="X6" s="1106"/>
      <c r="Y6" s="1106"/>
      <c r="Z6" s="1106"/>
      <c r="AA6" s="1106"/>
      <c r="AB6" s="1106"/>
      <c r="AC6" s="1106"/>
      <c r="AD6" s="1106"/>
      <c r="AE6" s="1106"/>
      <c r="AF6" s="1106"/>
      <c r="AG6" s="1107"/>
      <c r="AH6" s="486"/>
      <c r="AI6" s="486"/>
      <c r="AJ6" s="486"/>
      <c r="AK6" s="486"/>
      <c r="AL6" s="486"/>
      <c r="AM6" s="486"/>
      <c r="AN6" s="486"/>
      <c r="AO6" s="486"/>
      <c r="AP6" s="486"/>
      <c r="AQ6" s="486"/>
      <c r="AR6" s="486"/>
      <c r="AS6" s="486"/>
    </row>
    <row r="7" spans="1:45" ht="12" customHeight="1" x14ac:dyDescent="0.15">
      <c r="A7" s="486"/>
      <c r="B7" s="1093"/>
      <c r="C7" s="1094"/>
      <c r="D7" s="1094"/>
      <c r="E7" s="1094"/>
      <c r="F7" s="1094"/>
      <c r="G7" s="1094"/>
      <c r="H7" s="1094"/>
      <c r="I7" s="1094"/>
      <c r="J7" s="1094"/>
      <c r="K7" s="1094"/>
      <c r="L7" s="1094"/>
      <c r="M7" s="1094"/>
      <c r="N7" s="1094"/>
      <c r="O7" s="1095"/>
      <c r="P7" s="1111"/>
      <c r="Q7" s="1112"/>
      <c r="R7" s="1112"/>
      <c r="S7" s="1113"/>
      <c r="T7" s="1114"/>
      <c r="U7" s="1115"/>
      <c r="V7" s="1115"/>
      <c r="W7" s="1115"/>
      <c r="X7" s="1115"/>
      <c r="Y7" s="1115"/>
      <c r="Z7" s="1115"/>
      <c r="AA7" s="1115"/>
      <c r="AB7" s="1115"/>
      <c r="AC7" s="1115"/>
      <c r="AD7" s="1115"/>
      <c r="AE7" s="1115"/>
      <c r="AF7" s="1115"/>
      <c r="AG7" s="1116"/>
      <c r="AH7" s="486"/>
      <c r="AI7" s="486"/>
      <c r="AJ7" s="486"/>
      <c r="AK7" s="486"/>
      <c r="AL7" s="486"/>
      <c r="AM7" s="486"/>
      <c r="AN7" s="486"/>
      <c r="AO7" s="486"/>
      <c r="AP7" s="486"/>
      <c r="AQ7" s="486"/>
      <c r="AR7" s="486"/>
      <c r="AS7" s="486"/>
    </row>
    <row r="8" spans="1:45" ht="12" customHeight="1" x14ac:dyDescent="0.15">
      <c r="A8" s="486"/>
      <c r="B8" s="1093"/>
      <c r="C8" s="1094"/>
      <c r="D8" s="1094"/>
      <c r="E8" s="1094"/>
      <c r="F8" s="1094"/>
      <c r="G8" s="1094"/>
      <c r="H8" s="1094"/>
      <c r="I8" s="1094"/>
      <c r="J8" s="1094"/>
      <c r="K8" s="1094"/>
      <c r="L8" s="1094"/>
      <c r="M8" s="1094"/>
      <c r="N8" s="1094"/>
      <c r="O8" s="1095"/>
      <c r="P8" s="1111"/>
      <c r="Q8" s="1112"/>
      <c r="R8" s="1112"/>
      <c r="S8" s="1113"/>
      <c r="T8" s="1114"/>
      <c r="U8" s="1115"/>
      <c r="V8" s="1115"/>
      <c r="W8" s="1115"/>
      <c r="X8" s="1115"/>
      <c r="Y8" s="1115"/>
      <c r="Z8" s="1115"/>
      <c r="AA8" s="1115"/>
      <c r="AB8" s="1115"/>
      <c r="AC8" s="1115"/>
      <c r="AD8" s="1115"/>
      <c r="AE8" s="1115"/>
      <c r="AF8" s="1115"/>
      <c r="AG8" s="1116"/>
      <c r="AH8" s="486"/>
      <c r="AI8" s="486"/>
      <c r="AJ8" s="486"/>
      <c r="AK8" s="486"/>
      <c r="AL8" s="486"/>
      <c r="AM8" s="486"/>
      <c r="AN8" s="486"/>
      <c r="AO8" s="486"/>
      <c r="AP8" s="486"/>
      <c r="AQ8" s="486"/>
      <c r="AR8" s="486"/>
      <c r="AS8" s="486"/>
    </row>
    <row r="9" spans="1:45" ht="12" customHeight="1" thickBot="1" x14ac:dyDescent="0.2">
      <c r="A9" s="486"/>
      <c r="B9" s="1096"/>
      <c r="C9" s="1097"/>
      <c r="D9" s="1097"/>
      <c r="E9" s="1097"/>
      <c r="F9" s="1097"/>
      <c r="G9" s="1097"/>
      <c r="H9" s="1097"/>
      <c r="I9" s="1097"/>
      <c r="J9" s="1097"/>
      <c r="K9" s="1097"/>
      <c r="L9" s="1097"/>
      <c r="M9" s="1097"/>
      <c r="N9" s="1097"/>
      <c r="O9" s="1098"/>
      <c r="P9" s="1102"/>
      <c r="Q9" s="1103"/>
      <c r="R9" s="1103"/>
      <c r="S9" s="1104"/>
      <c r="T9" s="1108"/>
      <c r="U9" s="1109"/>
      <c r="V9" s="1109"/>
      <c r="W9" s="1109"/>
      <c r="X9" s="1109"/>
      <c r="Y9" s="1109"/>
      <c r="Z9" s="1109"/>
      <c r="AA9" s="1109"/>
      <c r="AB9" s="1109"/>
      <c r="AC9" s="1109"/>
      <c r="AD9" s="1109"/>
      <c r="AE9" s="1109"/>
      <c r="AF9" s="1109"/>
      <c r="AG9" s="1110"/>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129">
        <f>キャラシート!B3</f>
        <v>0</v>
      </c>
      <c r="E12" s="1130"/>
      <c r="F12" s="1130"/>
      <c r="G12" s="1131"/>
      <c r="H12" s="494"/>
      <c r="I12" s="414" t="s">
        <v>1003</v>
      </c>
      <c r="J12" s="495"/>
      <c r="K12" s="167"/>
      <c r="L12" s="167"/>
      <c r="M12" s="167"/>
      <c r="N12" s="167"/>
      <c r="O12" s="167"/>
      <c r="P12" s="167"/>
      <c r="Q12" s="416" t="s">
        <v>1004</v>
      </c>
      <c r="R12" s="494"/>
      <c r="S12" s="496" t="s">
        <v>503</v>
      </c>
      <c r="T12" s="1126">
        <f>キャラシート!J39</f>
        <v>0</v>
      </c>
      <c r="U12" s="1127"/>
      <c r="V12" s="1127"/>
      <c r="W12" s="1127"/>
      <c r="X12" s="1128"/>
      <c r="Y12" s="494"/>
      <c r="Z12" s="1076" t="s">
        <v>384</v>
      </c>
      <c r="AA12" s="1063"/>
      <c r="AB12" s="1064"/>
      <c r="AC12" s="1064"/>
      <c r="AD12" s="1064"/>
      <c r="AE12" s="1065"/>
      <c r="AF12" s="494"/>
      <c r="AG12" s="1072"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073" t="s">
        <v>3</v>
      </c>
      <c r="D13" s="1074"/>
      <c r="E13" s="1075" t="s">
        <v>5</v>
      </c>
      <c r="F13" s="1074"/>
      <c r="G13" s="497" t="s">
        <v>1006</v>
      </c>
      <c r="H13" s="494"/>
      <c r="I13" s="414" t="s">
        <v>1007</v>
      </c>
      <c r="J13" s="168"/>
      <c r="K13" s="167"/>
      <c r="L13" s="167"/>
      <c r="M13" s="167"/>
      <c r="N13" s="167"/>
      <c r="O13" s="167"/>
      <c r="P13" s="167"/>
      <c r="Q13" s="416" t="s">
        <v>1008</v>
      </c>
      <c r="R13" s="494"/>
      <c r="S13" s="1076" t="s">
        <v>513</v>
      </c>
      <c r="T13" s="1079">
        <f>キャラシート!J43</f>
        <v>0</v>
      </c>
      <c r="U13" s="1080"/>
      <c r="V13" s="1080"/>
      <c r="W13" s="1080"/>
      <c r="X13" s="1081"/>
      <c r="Y13" s="494"/>
      <c r="Z13" s="1077"/>
      <c r="AA13" s="1066"/>
      <c r="AB13" s="1067"/>
      <c r="AC13" s="1067"/>
      <c r="AD13" s="1067"/>
      <c r="AE13" s="1068"/>
      <c r="AF13" s="494"/>
      <c r="AG13" s="1072"/>
      <c r="AH13" s="487"/>
      <c r="AI13" s="487"/>
      <c r="AJ13" s="487"/>
      <c r="AK13" s="487"/>
      <c r="AL13" s="487"/>
      <c r="AM13" s="487"/>
      <c r="AN13" s="487"/>
      <c r="AO13" s="487"/>
      <c r="AP13" s="487"/>
      <c r="AQ13" s="487"/>
      <c r="AR13" s="487"/>
      <c r="AS13" s="487"/>
    </row>
    <row r="14" spans="1:45" s="165" customFormat="1" ht="24" customHeight="1" thickBot="1" x14ac:dyDescent="0.2">
      <c r="A14" s="487"/>
      <c r="B14" s="493"/>
      <c r="C14" s="1088" t="str">
        <f>キャラシート!K8</f>
        <v>－</v>
      </c>
      <c r="D14" s="1089"/>
      <c r="E14" s="1117" t="str">
        <f>キャラシート!K7</f>
        <v>－</v>
      </c>
      <c r="F14" s="1089"/>
      <c r="G14" s="169"/>
      <c r="H14" s="494"/>
      <c r="I14" s="414" t="s">
        <v>360</v>
      </c>
      <c r="J14" s="168"/>
      <c r="K14" s="167"/>
      <c r="L14" s="167"/>
      <c r="M14" s="167"/>
      <c r="N14" s="167"/>
      <c r="O14" s="167"/>
      <c r="P14" s="167"/>
      <c r="Q14" s="416" t="s">
        <v>1009</v>
      </c>
      <c r="R14" s="494"/>
      <c r="S14" s="1077"/>
      <c r="T14" s="1082"/>
      <c r="U14" s="1083"/>
      <c r="V14" s="1083"/>
      <c r="W14" s="1083"/>
      <c r="X14" s="1084"/>
      <c r="Y14" s="494"/>
      <c r="Z14" s="1077"/>
      <c r="AA14" s="1066"/>
      <c r="AB14" s="1067"/>
      <c r="AC14" s="1067"/>
      <c r="AD14" s="1067"/>
      <c r="AE14" s="1068"/>
      <c r="AF14" s="494"/>
      <c r="AG14" s="1072"/>
      <c r="AH14" s="487"/>
      <c r="AI14" s="487"/>
      <c r="AJ14" s="487"/>
      <c r="AK14" s="487"/>
      <c r="AL14" s="487"/>
      <c r="AM14" s="487"/>
      <c r="AN14" s="487"/>
      <c r="AO14" s="487"/>
      <c r="AP14" s="487"/>
      <c r="AQ14" s="487"/>
      <c r="AR14" s="487"/>
      <c r="AS14" s="487"/>
    </row>
    <row r="15" spans="1:45" s="165" customFormat="1" ht="24" customHeight="1" thickBot="1" x14ac:dyDescent="0.2">
      <c r="A15" s="487"/>
      <c r="B15" s="493"/>
      <c r="C15" s="1073" t="s">
        <v>413</v>
      </c>
      <c r="D15" s="1074"/>
      <c r="E15" s="498" t="s">
        <v>414</v>
      </c>
      <c r="F15" s="498" t="s">
        <v>1010</v>
      </c>
      <c r="G15" s="499" t="s">
        <v>412</v>
      </c>
      <c r="H15" s="494"/>
      <c r="I15" s="414" t="s">
        <v>1011</v>
      </c>
      <c r="J15" s="167"/>
      <c r="K15" s="167"/>
      <c r="L15" s="167"/>
      <c r="M15" s="167"/>
      <c r="N15" s="167"/>
      <c r="O15" s="167"/>
      <c r="P15" s="167"/>
      <c r="Q15" s="416" t="s">
        <v>1012</v>
      </c>
      <c r="R15" s="494"/>
      <c r="S15" s="1077"/>
      <c r="T15" s="1082"/>
      <c r="U15" s="1083"/>
      <c r="V15" s="1083"/>
      <c r="W15" s="1083"/>
      <c r="X15" s="1084"/>
      <c r="Y15" s="494"/>
      <c r="Z15" s="1077"/>
      <c r="AA15" s="1066"/>
      <c r="AB15" s="1067"/>
      <c r="AC15" s="1067"/>
      <c r="AD15" s="1067"/>
      <c r="AE15" s="1068"/>
      <c r="AF15" s="494"/>
      <c r="AG15" s="1072"/>
      <c r="AH15" s="487"/>
      <c r="AI15" s="487"/>
      <c r="AJ15" s="487"/>
      <c r="AK15" s="487"/>
      <c r="AL15" s="487"/>
      <c r="AM15" s="487"/>
      <c r="AN15" s="487"/>
      <c r="AO15" s="487"/>
      <c r="AP15" s="487"/>
      <c r="AQ15" s="487"/>
      <c r="AR15" s="487"/>
      <c r="AS15" s="487"/>
    </row>
    <row r="16" spans="1:45" s="165" customFormat="1" ht="24" customHeight="1" thickBot="1" x14ac:dyDescent="0.2">
      <c r="A16" s="487"/>
      <c r="B16" s="493"/>
      <c r="C16" s="1118">
        <f>キャラシート!D6</f>
        <v>0</v>
      </c>
      <c r="D16" s="1119"/>
      <c r="E16" s="166">
        <f>キャラシート!F6</f>
        <v>0</v>
      </c>
      <c r="F16" s="166"/>
      <c r="G16" s="80">
        <f>キャラシート!B6</f>
        <v>0</v>
      </c>
      <c r="H16" s="494"/>
      <c r="I16" s="500" t="s">
        <v>1013</v>
      </c>
      <c r="J16" s="501"/>
      <c r="K16" s="582"/>
      <c r="L16" s="582"/>
      <c r="M16" s="582"/>
      <c r="N16" s="582"/>
      <c r="P16" s="167"/>
      <c r="Q16" s="502" t="s">
        <v>1014</v>
      </c>
      <c r="R16" s="494"/>
      <c r="S16" s="1078"/>
      <c r="T16" s="1085"/>
      <c r="U16" s="1086"/>
      <c r="V16" s="1086"/>
      <c r="W16" s="1086"/>
      <c r="X16" s="1087"/>
      <c r="Y16" s="494"/>
      <c r="Z16" s="1077"/>
      <c r="AA16" s="1066"/>
      <c r="AB16" s="1067"/>
      <c r="AC16" s="1067"/>
      <c r="AD16" s="1067"/>
      <c r="AE16" s="1068"/>
      <c r="AF16" s="494"/>
      <c r="AG16" s="1072"/>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120">
        <f>キャラシート!D7</f>
        <v>0</v>
      </c>
      <c r="E17" s="1121"/>
      <c r="F17" s="1121"/>
      <c r="G17" s="1122"/>
      <c r="H17" s="494"/>
      <c r="I17" s="415" t="s">
        <v>1015</v>
      </c>
      <c r="J17" s="1123"/>
      <c r="K17" s="1124"/>
      <c r="L17" s="1124"/>
      <c r="M17" s="1124"/>
      <c r="N17" s="1124"/>
      <c r="O17" s="1124"/>
      <c r="P17" s="1124"/>
      <c r="Q17" s="1125"/>
      <c r="R17" s="494"/>
      <c r="S17" s="413" t="s">
        <v>1016</v>
      </c>
      <c r="T17" s="1126" t="s">
        <v>1061</v>
      </c>
      <c r="U17" s="1127"/>
      <c r="V17" s="1127"/>
      <c r="W17" s="1127"/>
      <c r="X17" s="1128"/>
      <c r="Y17" s="494"/>
      <c r="Z17" s="1078"/>
      <c r="AA17" s="1069"/>
      <c r="AB17" s="1070"/>
      <c r="AC17" s="1070"/>
      <c r="AD17" s="1070"/>
      <c r="AE17" s="1071"/>
      <c r="AF17" s="494"/>
      <c r="AG17" s="1072"/>
      <c r="AH17" s="487"/>
      <c r="AI17" s="487"/>
      <c r="AJ17" s="487"/>
      <c r="AK17" s="487"/>
      <c r="AL17" s="487"/>
      <c r="AM17" s="487"/>
      <c r="AN17" s="487"/>
      <c r="AO17" s="487"/>
      <c r="AP17" s="487"/>
      <c r="AQ17" s="487"/>
      <c r="AR17" s="487"/>
      <c r="AS17" s="487"/>
    </row>
    <row r="18" spans="1:45" s="165" customFormat="1" ht="14.4"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072"/>
      <c r="AH18" s="487"/>
      <c r="AI18" s="487"/>
      <c r="AJ18" s="487"/>
      <c r="AK18" s="487"/>
      <c r="AL18" s="487"/>
      <c r="AM18" s="487"/>
      <c r="AN18" s="487"/>
      <c r="AO18" s="487"/>
      <c r="AP18" s="487"/>
      <c r="AQ18" s="487"/>
      <c r="AR18" s="487"/>
      <c r="AS18" s="487"/>
    </row>
    <row r="19" spans="1:45" s="165" customFormat="1" ht="28.95" customHeight="1" x14ac:dyDescent="0.15">
      <c r="A19" s="487"/>
      <c r="B19" s="493"/>
      <c r="C19" s="1076" t="s">
        <v>1071</v>
      </c>
      <c r="D19" s="1149"/>
      <c r="E19" s="1150"/>
      <c r="F19" s="1150"/>
      <c r="G19" s="1151"/>
      <c r="H19" s="494"/>
      <c r="I19" s="1076" t="s">
        <v>1017</v>
      </c>
      <c r="J19" s="1149"/>
      <c r="K19" s="1150"/>
      <c r="L19" s="1150"/>
      <c r="M19" s="1150"/>
      <c r="N19" s="1150"/>
      <c r="O19" s="1150"/>
      <c r="P19" s="1150"/>
      <c r="Q19" s="1150"/>
      <c r="R19" s="1150"/>
      <c r="S19" s="1150"/>
      <c r="T19" s="1150"/>
      <c r="U19" s="1150"/>
      <c r="V19" s="1150"/>
      <c r="W19" s="1150"/>
      <c r="X19" s="1151"/>
      <c r="Y19" s="507"/>
      <c r="Z19" s="508" t="s">
        <v>1018</v>
      </c>
      <c r="AA19" s="1132"/>
      <c r="AB19" s="1133"/>
      <c r="AC19" s="1133"/>
      <c r="AD19" s="1133"/>
      <c r="AE19" s="1134"/>
      <c r="AF19" s="509"/>
      <c r="AG19" s="1072"/>
      <c r="AH19" s="487"/>
      <c r="AI19" s="487"/>
      <c r="AJ19" s="487"/>
      <c r="AK19" s="487"/>
      <c r="AL19" s="487"/>
      <c r="AM19" s="487"/>
      <c r="AN19" s="487"/>
      <c r="AO19" s="487"/>
      <c r="AP19" s="487"/>
      <c r="AQ19" s="487"/>
      <c r="AR19" s="487"/>
      <c r="AS19" s="487"/>
    </row>
    <row r="20" spans="1:45" s="165" customFormat="1" ht="28.95" customHeight="1" x14ac:dyDescent="0.15">
      <c r="A20" s="487"/>
      <c r="B20" s="493"/>
      <c r="C20" s="1077"/>
      <c r="D20" s="1152"/>
      <c r="E20" s="1153"/>
      <c r="F20" s="1153"/>
      <c r="G20" s="1154"/>
      <c r="H20" s="494"/>
      <c r="I20" s="1077"/>
      <c r="J20" s="1152"/>
      <c r="K20" s="1153"/>
      <c r="L20" s="1153"/>
      <c r="M20" s="1153"/>
      <c r="N20" s="1153"/>
      <c r="O20" s="1153"/>
      <c r="P20" s="1153"/>
      <c r="Q20" s="1153"/>
      <c r="R20" s="1153"/>
      <c r="S20" s="1153"/>
      <c r="T20" s="1153"/>
      <c r="U20" s="1153"/>
      <c r="V20" s="1153"/>
      <c r="W20" s="1153"/>
      <c r="X20" s="1154"/>
      <c r="Y20" s="507"/>
      <c r="Z20" s="1135" t="s">
        <v>1019</v>
      </c>
      <c r="AA20" s="1137"/>
      <c r="AB20" s="1138"/>
      <c r="AC20" s="1138"/>
      <c r="AD20" s="1138"/>
      <c r="AE20" s="1139"/>
      <c r="AF20" s="509"/>
      <c r="AG20" s="1072"/>
      <c r="AH20" s="487"/>
      <c r="AI20" s="487"/>
      <c r="AJ20" s="487"/>
      <c r="AK20" s="487"/>
      <c r="AL20" s="487"/>
      <c r="AM20" s="487"/>
      <c r="AN20" s="487"/>
      <c r="AO20" s="487"/>
      <c r="AP20" s="487"/>
      <c r="AQ20" s="487"/>
      <c r="AR20" s="487"/>
      <c r="AS20" s="487"/>
    </row>
    <row r="21" spans="1:45" s="165" customFormat="1" ht="28.95" customHeight="1" x14ac:dyDescent="0.15">
      <c r="A21" s="487"/>
      <c r="B21" s="493"/>
      <c r="C21" s="1077"/>
      <c r="D21" s="1152"/>
      <c r="E21" s="1153"/>
      <c r="F21" s="1153"/>
      <c r="G21" s="1154"/>
      <c r="H21" s="494"/>
      <c r="I21" s="1077"/>
      <c r="J21" s="1152"/>
      <c r="K21" s="1153"/>
      <c r="L21" s="1153"/>
      <c r="M21" s="1153"/>
      <c r="N21" s="1153"/>
      <c r="O21" s="1153"/>
      <c r="P21" s="1153"/>
      <c r="Q21" s="1153"/>
      <c r="R21" s="1153"/>
      <c r="S21" s="1153"/>
      <c r="T21" s="1153"/>
      <c r="U21" s="1153"/>
      <c r="V21" s="1153"/>
      <c r="W21" s="1153"/>
      <c r="X21" s="1154"/>
      <c r="Y21" s="507"/>
      <c r="Z21" s="1136"/>
      <c r="AA21" s="1140"/>
      <c r="AB21" s="1141"/>
      <c r="AC21" s="1141"/>
      <c r="AD21" s="1141"/>
      <c r="AE21" s="1142"/>
      <c r="AF21" s="509"/>
      <c r="AG21" s="1072"/>
      <c r="AH21" s="487"/>
      <c r="AI21" s="487"/>
      <c r="AJ21" s="487"/>
      <c r="AK21" s="487"/>
      <c r="AL21" s="487"/>
      <c r="AM21" s="487"/>
      <c r="AN21" s="487"/>
      <c r="AO21" s="487"/>
      <c r="AP21" s="487"/>
      <c r="AQ21" s="487"/>
      <c r="AR21" s="487"/>
      <c r="AS21" s="487"/>
    </row>
    <row r="22" spans="1:45" s="165" customFormat="1" ht="28.95" customHeight="1" x14ac:dyDescent="0.15">
      <c r="A22" s="487"/>
      <c r="B22" s="493"/>
      <c r="C22" s="1077"/>
      <c r="D22" s="1152"/>
      <c r="E22" s="1153"/>
      <c r="F22" s="1153"/>
      <c r="G22" s="1154"/>
      <c r="H22" s="494"/>
      <c r="I22" s="1077"/>
      <c r="J22" s="1152"/>
      <c r="K22" s="1153"/>
      <c r="L22" s="1153"/>
      <c r="M22" s="1153"/>
      <c r="N22" s="1153"/>
      <c r="O22" s="1153"/>
      <c r="P22" s="1153"/>
      <c r="Q22" s="1153"/>
      <c r="R22" s="1153"/>
      <c r="S22" s="1153"/>
      <c r="T22" s="1153"/>
      <c r="U22" s="1153"/>
      <c r="V22" s="1153"/>
      <c r="W22" s="1153"/>
      <c r="X22" s="1154"/>
      <c r="Y22" s="507"/>
      <c r="Z22" s="412" t="s">
        <v>1020</v>
      </c>
      <c r="AA22" s="1143"/>
      <c r="AB22" s="1144"/>
      <c r="AC22" s="1144"/>
      <c r="AD22" s="1144"/>
      <c r="AE22" s="1145"/>
      <c r="AF22" s="509"/>
      <c r="AG22" s="1072"/>
      <c r="AH22" s="487"/>
      <c r="AI22" s="487"/>
      <c r="AJ22" s="487"/>
      <c r="AK22" s="487"/>
      <c r="AL22" s="487"/>
      <c r="AM22" s="487"/>
      <c r="AN22" s="487"/>
      <c r="AO22" s="487"/>
      <c r="AP22" s="487"/>
      <c r="AQ22" s="487"/>
      <c r="AR22" s="487"/>
      <c r="AS22" s="487"/>
    </row>
    <row r="23" spans="1:45" s="165" customFormat="1" ht="28.95" customHeight="1" x14ac:dyDescent="0.15">
      <c r="A23" s="487"/>
      <c r="B23" s="493"/>
      <c r="C23" s="1077"/>
      <c r="D23" s="1152"/>
      <c r="E23" s="1153"/>
      <c r="F23" s="1153"/>
      <c r="G23" s="1154"/>
      <c r="H23" s="494"/>
      <c r="I23" s="1077"/>
      <c r="J23" s="1152"/>
      <c r="K23" s="1153"/>
      <c r="L23" s="1153"/>
      <c r="M23" s="1153"/>
      <c r="N23" s="1153"/>
      <c r="O23" s="1153"/>
      <c r="P23" s="1153"/>
      <c r="Q23" s="1153"/>
      <c r="R23" s="1153"/>
      <c r="S23" s="1153"/>
      <c r="T23" s="1153"/>
      <c r="U23" s="1153"/>
      <c r="V23" s="1153"/>
      <c r="W23" s="1153"/>
      <c r="X23" s="1154"/>
      <c r="Y23" s="507"/>
      <c r="Z23" s="412" t="s">
        <v>1021</v>
      </c>
      <c r="AA23" s="1143"/>
      <c r="AB23" s="1144"/>
      <c r="AC23" s="1144"/>
      <c r="AD23" s="1144"/>
      <c r="AE23" s="1145"/>
      <c r="AF23" s="509"/>
      <c r="AG23" s="1072"/>
      <c r="AH23" s="487"/>
      <c r="AI23" s="487"/>
      <c r="AJ23" s="487"/>
      <c r="AK23" s="487"/>
      <c r="AL23" s="487"/>
      <c r="AM23" s="487"/>
      <c r="AN23" s="487"/>
      <c r="AO23" s="487"/>
      <c r="AP23" s="487"/>
      <c r="AQ23" s="487"/>
      <c r="AR23" s="487"/>
      <c r="AS23" s="487"/>
    </row>
    <row r="24" spans="1:45" s="165" customFormat="1" ht="28.95" customHeight="1" thickBot="1" x14ac:dyDescent="0.2">
      <c r="A24" s="487"/>
      <c r="B24" s="493"/>
      <c r="C24" s="1078"/>
      <c r="D24" s="1155"/>
      <c r="E24" s="1156"/>
      <c r="F24" s="1156"/>
      <c r="G24" s="1157"/>
      <c r="H24" s="494"/>
      <c r="I24" s="1078"/>
      <c r="J24" s="1155"/>
      <c r="K24" s="1156"/>
      <c r="L24" s="1156"/>
      <c r="M24" s="1156"/>
      <c r="N24" s="1156"/>
      <c r="O24" s="1156"/>
      <c r="P24" s="1156"/>
      <c r="Q24" s="1156"/>
      <c r="R24" s="1156"/>
      <c r="S24" s="1156"/>
      <c r="T24" s="1156"/>
      <c r="U24" s="1156"/>
      <c r="V24" s="1156"/>
      <c r="W24" s="1156"/>
      <c r="X24" s="1157"/>
      <c r="Y24" s="506"/>
      <c r="Z24" s="413" t="s">
        <v>1022</v>
      </c>
      <c r="AA24" s="1146"/>
      <c r="AB24" s="1147"/>
      <c r="AC24" s="1147"/>
      <c r="AD24" s="1147"/>
      <c r="AE24" s="1148"/>
      <c r="AF24" s="509"/>
      <c r="AG24" s="1072"/>
      <c r="AH24" s="487"/>
      <c r="AI24" s="487"/>
      <c r="AJ24" s="487"/>
      <c r="AK24" s="487"/>
      <c r="AL24" s="487"/>
      <c r="AM24" s="487"/>
      <c r="AN24" s="487"/>
      <c r="AO24" s="487"/>
      <c r="AP24" s="487"/>
      <c r="AQ24" s="487"/>
      <c r="AR24" s="487"/>
      <c r="AS24" s="487"/>
    </row>
    <row r="25" spans="1:45" s="165" customFormat="1" ht="14.4"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072"/>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32"/>
      <c r="E26" s="1133"/>
      <c r="F26" s="1133"/>
      <c r="G26" s="1134"/>
      <c r="H26" s="494"/>
      <c r="I26" s="508" t="s">
        <v>1024</v>
      </c>
      <c r="J26" s="1161"/>
      <c r="K26" s="1162"/>
      <c r="L26" s="1162"/>
      <c r="M26" s="1162"/>
      <c r="N26" s="1162"/>
      <c r="O26" s="1162"/>
      <c r="P26" s="1162"/>
      <c r="Q26" s="1163"/>
      <c r="R26" s="494"/>
      <c r="S26" s="513" t="s">
        <v>1025</v>
      </c>
      <c r="T26" s="1132"/>
      <c r="U26" s="1133"/>
      <c r="V26" s="1133"/>
      <c r="W26" s="1133"/>
      <c r="X26" s="1134"/>
      <c r="Y26" s="494"/>
      <c r="Z26" s="508" t="s">
        <v>1026</v>
      </c>
      <c r="AA26" s="1161"/>
      <c r="AB26" s="1162"/>
      <c r="AC26" s="1162"/>
      <c r="AD26" s="1162"/>
      <c r="AE26" s="1163"/>
      <c r="AF26" s="504"/>
      <c r="AG26" s="1072"/>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43"/>
      <c r="E27" s="1144"/>
      <c r="F27" s="1144"/>
      <c r="G27" s="1145"/>
      <c r="H27" s="494"/>
      <c r="I27" s="412" t="s">
        <v>1028</v>
      </c>
      <c r="J27" s="1158"/>
      <c r="K27" s="1159"/>
      <c r="L27" s="1159"/>
      <c r="M27" s="1159"/>
      <c r="N27" s="1159"/>
      <c r="O27" s="1159"/>
      <c r="P27" s="1159"/>
      <c r="Q27" s="1160"/>
      <c r="R27" s="494"/>
      <c r="S27" s="417" t="s">
        <v>1029</v>
      </c>
      <c r="T27" s="1143"/>
      <c r="U27" s="1144"/>
      <c r="V27" s="1144"/>
      <c r="W27" s="1144"/>
      <c r="X27" s="1145"/>
      <c r="Y27" s="494"/>
      <c r="Z27" s="412" t="s">
        <v>266</v>
      </c>
      <c r="AA27" s="1158"/>
      <c r="AB27" s="1159"/>
      <c r="AC27" s="1159"/>
      <c r="AD27" s="1159"/>
      <c r="AE27" s="1160"/>
      <c r="AF27" s="504"/>
      <c r="AG27" s="1072"/>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43"/>
      <c r="E28" s="1144"/>
      <c r="F28" s="1144"/>
      <c r="G28" s="1145"/>
      <c r="H28" s="494"/>
      <c r="I28" s="412" t="s">
        <v>1031</v>
      </c>
      <c r="J28" s="1158"/>
      <c r="K28" s="1159"/>
      <c r="L28" s="1159"/>
      <c r="M28" s="1159"/>
      <c r="N28" s="1159"/>
      <c r="O28" s="1159"/>
      <c r="P28" s="1159"/>
      <c r="Q28" s="1160"/>
      <c r="R28" s="494"/>
      <c r="S28" s="417" t="s">
        <v>1032</v>
      </c>
      <c r="T28" s="1143"/>
      <c r="U28" s="1144"/>
      <c r="V28" s="1144"/>
      <c r="W28" s="1144"/>
      <c r="X28" s="1145"/>
      <c r="Y28" s="494"/>
      <c r="Z28" s="412" t="s">
        <v>1033</v>
      </c>
      <c r="AA28" s="1158"/>
      <c r="AB28" s="1159"/>
      <c r="AC28" s="1159"/>
      <c r="AD28" s="1159"/>
      <c r="AE28" s="1160"/>
      <c r="AF28" s="504"/>
      <c r="AG28" s="1072"/>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43"/>
      <c r="E29" s="1144"/>
      <c r="F29" s="1144"/>
      <c r="G29" s="1145"/>
      <c r="H29" s="494"/>
      <c r="I29" s="412" t="s">
        <v>1035</v>
      </c>
      <c r="J29" s="1158"/>
      <c r="K29" s="1159"/>
      <c r="L29" s="1159"/>
      <c r="M29" s="1159"/>
      <c r="N29" s="1159"/>
      <c r="O29" s="1159"/>
      <c r="P29" s="1159"/>
      <c r="Q29" s="1160"/>
      <c r="R29" s="494"/>
      <c r="S29" s="412" t="s">
        <v>1036</v>
      </c>
      <c r="T29" s="1143"/>
      <c r="U29" s="1144"/>
      <c r="V29" s="1144"/>
      <c r="W29" s="1144"/>
      <c r="X29" s="1145"/>
      <c r="Y29" s="494"/>
      <c r="Z29" s="417" t="s">
        <v>1037</v>
      </c>
      <c r="AA29" s="1158"/>
      <c r="AB29" s="1159"/>
      <c r="AC29" s="1159"/>
      <c r="AD29" s="1159"/>
      <c r="AE29" s="1160"/>
      <c r="AF29" s="504"/>
      <c r="AG29" s="1072"/>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43"/>
      <c r="E30" s="1144"/>
      <c r="F30" s="1144"/>
      <c r="G30" s="1145"/>
      <c r="H30" s="494"/>
      <c r="I30" s="412" t="s">
        <v>1039</v>
      </c>
      <c r="J30" s="1158"/>
      <c r="K30" s="1159"/>
      <c r="L30" s="1159"/>
      <c r="M30" s="1159"/>
      <c r="N30" s="1159"/>
      <c r="O30" s="1159"/>
      <c r="P30" s="1159"/>
      <c r="Q30" s="1160"/>
      <c r="R30" s="494"/>
      <c r="S30" s="1164" t="s">
        <v>1040</v>
      </c>
      <c r="T30" s="1165"/>
      <c r="U30" s="1166"/>
      <c r="V30" s="1166"/>
      <c r="W30" s="1166"/>
      <c r="X30" s="1167"/>
      <c r="Y30" s="494"/>
      <c r="Z30" s="412" t="s">
        <v>1041</v>
      </c>
      <c r="AA30" s="1158"/>
      <c r="AB30" s="1159"/>
      <c r="AC30" s="1159"/>
      <c r="AD30" s="1159"/>
      <c r="AE30" s="1160"/>
      <c r="AF30" s="504"/>
      <c r="AG30" s="1072"/>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46"/>
      <c r="E31" s="1147"/>
      <c r="F31" s="1147"/>
      <c r="G31" s="1148"/>
      <c r="H31" s="494"/>
      <c r="I31" s="413" t="s">
        <v>486</v>
      </c>
      <c r="J31" s="1168" t="str">
        <f>キャラシート!J35</f>
        <v>－</v>
      </c>
      <c r="K31" s="1168"/>
      <c r="L31" s="1168"/>
      <c r="M31" s="1168"/>
      <c r="N31" s="1168"/>
      <c r="O31" s="1168"/>
      <c r="P31" s="1168"/>
      <c r="Q31" s="1169"/>
      <c r="R31" s="494"/>
      <c r="S31" s="1078"/>
      <c r="T31" s="1085"/>
      <c r="U31" s="1086"/>
      <c r="V31" s="1086"/>
      <c r="W31" s="1086"/>
      <c r="X31" s="1087"/>
      <c r="Y31" s="494"/>
      <c r="Z31" s="413" t="s">
        <v>1043</v>
      </c>
      <c r="AA31" s="1170"/>
      <c r="AB31" s="1171"/>
      <c r="AC31" s="1171"/>
      <c r="AD31" s="1171"/>
      <c r="AE31" s="1172"/>
      <c r="AF31" s="504"/>
      <c r="AG31" s="515"/>
      <c r="AH31" s="487"/>
      <c r="AI31" s="487"/>
      <c r="AJ31" s="487"/>
      <c r="AK31" s="487"/>
      <c r="AL31" s="487"/>
      <c r="AM31" s="487"/>
      <c r="AN31" s="487"/>
      <c r="AO31" s="487"/>
      <c r="AP31" s="487"/>
      <c r="AQ31" s="487"/>
      <c r="AR31" s="487"/>
      <c r="AS31" s="487"/>
    </row>
    <row r="32" spans="1:45" s="165" customFormat="1" ht="14.4"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32"/>
      <c r="E33" s="1133"/>
      <c r="F33" s="1133"/>
      <c r="G33" s="1134"/>
      <c r="H33" s="494"/>
      <c r="I33" s="508" t="s">
        <v>1044</v>
      </c>
      <c r="J33" s="1132"/>
      <c r="K33" s="1133"/>
      <c r="L33" s="1133"/>
      <c r="M33" s="1133"/>
      <c r="N33" s="1133"/>
      <c r="O33" s="1133"/>
      <c r="P33" s="1133"/>
      <c r="Q33" s="1134"/>
      <c r="R33" s="494"/>
      <c r="S33" s="508" t="s">
        <v>1045</v>
      </c>
      <c r="T33" s="1132"/>
      <c r="U33" s="1133"/>
      <c r="V33" s="1133"/>
      <c r="W33" s="1133"/>
      <c r="X33" s="1134"/>
      <c r="Y33" s="494"/>
      <c r="Z33" s="508" t="s">
        <v>1046</v>
      </c>
      <c r="AA33" s="1132"/>
      <c r="AB33" s="1133"/>
      <c r="AC33" s="1133"/>
      <c r="AD33" s="1133"/>
      <c r="AE33" s="1134"/>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43"/>
      <c r="E34" s="1144"/>
      <c r="F34" s="1144"/>
      <c r="G34" s="1145"/>
      <c r="H34" s="494"/>
      <c r="I34" s="411" t="s">
        <v>1047</v>
      </c>
      <c r="J34" s="1143"/>
      <c r="K34" s="1144"/>
      <c r="L34" s="1144"/>
      <c r="M34" s="1144"/>
      <c r="N34" s="1144"/>
      <c r="O34" s="1144"/>
      <c r="P34" s="1144"/>
      <c r="Q34" s="1145"/>
      <c r="R34" s="494"/>
      <c r="S34" s="418" t="s">
        <v>1048</v>
      </c>
      <c r="T34" s="1143"/>
      <c r="U34" s="1144"/>
      <c r="V34" s="1144"/>
      <c r="W34" s="1144"/>
      <c r="X34" s="1145"/>
      <c r="Y34" s="494"/>
      <c r="Z34" s="412" t="s">
        <v>1049</v>
      </c>
      <c r="AA34" s="1143"/>
      <c r="AB34" s="1144"/>
      <c r="AC34" s="1144"/>
      <c r="AD34" s="1144"/>
      <c r="AE34" s="1145"/>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43"/>
      <c r="E35" s="1144"/>
      <c r="F35" s="1144"/>
      <c r="G35" s="1145"/>
      <c r="H35" s="494"/>
      <c r="I35" s="514" t="s">
        <v>1050</v>
      </c>
      <c r="J35" s="1143"/>
      <c r="K35" s="1144"/>
      <c r="L35" s="1144"/>
      <c r="M35" s="1144"/>
      <c r="N35" s="1144"/>
      <c r="O35" s="1144"/>
      <c r="P35" s="1144"/>
      <c r="Q35" s="1145"/>
      <c r="R35" s="494"/>
      <c r="S35" s="418" t="s">
        <v>1051</v>
      </c>
      <c r="T35" s="1143"/>
      <c r="U35" s="1144"/>
      <c r="V35" s="1144"/>
      <c r="W35" s="1144"/>
      <c r="X35" s="1145"/>
      <c r="Y35" s="494"/>
      <c r="Z35" s="1164" t="s">
        <v>1052</v>
      </c>
      <c r="AA35" s="1137"/>
      <c r="AB35" s="1138"/>
      <c r="AC35" s="1138"/>
      <c r="AD35" s="1138"/>
      <c r="AE35" s="1139"/>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43"/>
      <c r="E36" s="1144"/>
      <c r="F36" s="1144"/>
      <c r="G36" s="1145"/>
      <c r="H36" s="494"/>
      <c r="I36" s="412" t="s">
        <v>1053</v>
      </c>
      <c r="J36" s="1143"/>
      <c r="K36" s="1144"/>
      <c r="L36" s="1144"/>
      <c r="M36" s="1144"/>
      <c r="N36" s="1144"/>
      <c r="O36" s="1144"/>
      <c r="P36" s="1144"/>
      <c r="Q36" s="1145"/>
      <c r="R36" s="494"/>
      <c r="S36" s="411" t="s">
        <v>1054</v>
      </c>
      <c r="T36" s="1143"/>
      <c r="U36" s="1144"/>
      <c r="V36" s="1144"/>
      <c r="W36" s="1144"/>
      <c r="X36" s="1145"/>
      <c r="Y36" s="494"/>
      <c r="Z36" s="1176"/>
      <c r="AA36" s="1140"/>
      <c r="AB36" s="1141"/>
      <c r="AC36" s="1141"/>
      <c r="AD36" s="1141"/>
      <c r="AE36" s="1142"/>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43"/>
      <c r="E37" s="1144"/>
      <c r="F37" s="1144"/>
      <c r="G37" s="1145"/>
      <c r="H37" s="494"/>
      <c r="I37" s="412" t="s">
        <v>260</v>
      </c>
      <c r="J37" s="1143"/>
      <c r="K37" s="1144"/>
      <c r="L37" s="1144"/>
      <c r="M37" s="1144"/>
      <c r="N37" s="1144"/>
      <c r="O37" s="1144"/>
      <c r="P37" s="1144"/>
      <c r="Q37" s="1145"/>
      <c r="R37" s="494"/>
      <c r="S37" s="417" t="s">
        <v>1055</v>
      </c>
      <c r="T37" s="1143"/>
      <c r="U37" s="1144"/>
      <c r="V37" s="1144"/>
      <c r="W37" s="1144"/>
      <c r="X37" s="1145"/>
      <c r="Y37" s="494"/>
      <c r="Z37" s="420" t="s">
        <v>1056</v>
      </c>
      <c r="AA37" s="1143"/>
      <c r="AB37" s="1144"/>
      <c r="AC37" s="1144"/>
      <c r="AD37" s="1144"/>
      <c r="AE37" s="1145"/>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46"/>
      <c r="E38" s="1147"/>
      <c r="F38" s="1147"/>
      <c r="G38" s="1148"/>
      <c r="H38" s="494"/>
      <c r="I38" s="521" t="s">
        <v>1057</v>
      </c>
      <c r="J38" s="1146"/>
      <c r="K38" s="1147"/>
      <c r="L38" s="1147"/>
      <c r="M38" s="1147"/>
      <c r="N38" s="1147"/>
      <c r="O38" s="1147"/>
      <c r="P38" s="1147"/>
      <c r="Q38" s="1148"/>
      <c r="R38" s="494"/>
      <c r="S38" s="419" t="s">
        <v>1058</v>
      </c>
      <c r="T38" s="1146"/>
      <c r="U38" s="1147"/>
      <c r="V38" s="1147"/>
      <c r="W38" s="1147"/>
      <c r="X38" s="1148"/>
      <c r="Y38" s="494"/>
      <c r="Z38" s="421" t="s">
        <v>1059</v>
      </c>
      <c r="AA38" s="1173"/>
      <c r="AB38" s="1174"/>
      <c r="AC38" s="1174"/>
      <c r="AD38" s="1174"/>
      <c r="AE38" s="1175"/>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200" t="s">
        <v>1060</v>
      </c>
      <c r="D42" s="1201"/>
      <c r="E42" s="1201"/>
      <c r="F42" s="1201"/>
      <c r="G42" s="1201"/>
      <c r="H42" s="1201"/>
      <c r="I42" s="1201"/>
      <c r="J42" s="1201"/>
      <c r="K42" s="1201"/>
      <c r="L42" s="1201"/>
      <c r="M42" s="1201"/>
      <c r="N42" s="1201"/>
      <c r="O42" s="1201"/>
      <c r="P42" s="1201"/>
      <c r="Q42" s="1201"/>
      <c r="R42" s="1201"/>
      <c r="S42" s="1202"/>
      <c r="T42" s="487"/>
      <c r="U42" s="1209" t="s">
        <v>635</v>
      </c>
      <c r="V42" s="1210"/>
      <c r="W42" s="1210"/>
      <c r="X42" s="1210"/>
      <c r="Y42" s="1210"/>
      <c r="Z42" s="1210"/>
      <c r="AA42" s="1210"/>
      <c r="AB42" s="1210"/>
      <c r="AC42" s="1210"/>
      <c r="AD42" s="1210"/>
      <c r="AE42" s="1210"/>
      <c r="AF42" s="1210"/>
      <c r="AG42" s="1211"/>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203"/>
      <c r="D43" s="1204"/>
      <c r="E43" s="1204"/>
      <c r="F43" s="1204"/>
      <c r="G43" s="1204"/>
      <c r="H43" s="1204"/>
      <c r="I43" s="1204"/>
      <c r="J43" s="1204"/>
      <c r="K43" s="1204"/>
      <c r="L43" s="1204"/>
      <c r="M43" s="1204"/>
      <c r="N43" s="1204"/>
      <c r="O43" s="1204"/>
      <c r="P43" s="1204"/>
      <c r="Q43" s="1204"/>
      <c r="R43" s="1204"/>
      <c r="S43" s="1205"/>
      <c r="T43" s="487"/>
      <c r="U43" s="583" t="s">
        <v>1062</v>
      </c>
      <c r="V43" s="1182" t="s">
        <v>637</v>
      </c>
      <c r="W43" s="1183"/>
      <c r="X43" s="1183"/>
      <c r="Y43" s="1183"/>
      <c r="Z43" s="1183"/>
      <c r="AA43" s="1184"/>
      <c r="AB43" s="1182" t="s">
        <v>638</v>
      </c>
      <c r="AC43" s="1184"/>
      <c r="AD43" s="1183" t="s">
        <v>639</v>
      </c>
      <c r="AE43" s="1183"/>
      <c r="AF43" s="1183"/>
      <c r="AG43" s="1185"/>
      <c r="AH43" s="529"/>
      <c r="AI43" s="487"/>
      <c r="AJ43" s="487"/>
      <c r="AK43" s="487"/>
      <c r="AL43" s="487"/>
      <c r="AM43" s="487"/>
      <c r="AN43" s="527"/>
      <c r="AO43" s="487"/>
      <c r="AP43" s="487"/>
      <c r="AQ43" s="487"/>
      <c r="AR43" s="487"/>
      <c r="AS43" s="487"/>
    </row>
    <row r="44" spans="1:45" s="165" customFormat="1" ht="18" customHeight="1" thickTop="1" x14ac:dyDescent="0.15">
      <c r="A44" s="487"/>
      <c r="B44" s="527"/>
      <c r="C44" s="1203"/>
      <c r="D44" s="1204"/>
      <c r="E44" s="1204"/>
      <c r="F44" s="1204"/>
      <c r="G44" s="1204"/>
      <c r="H44" s="1204"/>
      <c r="I44" s="1204"/>
      <c r="J44" s="1204"/>
      <c r="K44" s="1204"/>
      <c r="L44" s="1204"/>
      <c r="M44" s="1204"/>
      <c r="N44" s="1204"/>
      <c r="O44" s="1204"/>
      <c r="P44" s="1204"/>
      <c r="Q44" s="1204"/>
      <c r="R44" s="1204"/>
      <c r="S44" s="1205"/>
      <c r="T44" s="487"/>
      <c r="U44" s="584">
        <v>1</v>
      </c>
      <c r="V44" s="1186"/>
      <c r="W44" s="1187"/>
      <c r="X44" s="1187"/>
      <c r="Y44" s="1187"/>
      <c r="Z44" s="1187"/>
      <c r="AA44" s="1188"/>
      <c r="AB44" s="1189" t="s">
        <v>243</v>
      </c>
      <c r="AC44" s="1190"/>
      <c r="AD44" s="1191" t="s">
        <v>243</v>
      </c>
      <c r="AE44" s="1192"/>
      <c r="AF44" s="1192"/>
      <c r="AG44" s="1193"/>
      <c r="AH44" s="529"/>
      <c r="AI44" s="487"/>
      <c r="AJ44" s="487"/>
      <c r="AK44" s="487"/>
      <c r="AL44" s="487"/>
      <c r="AM44" s="487"/>
      <c r="AN44" s="527"/>
      <c r="AO44" s="487"/>
      <c r="AP44" s="487"/>
      <c r="AQ44" s="487"/>
      <c r="AR44" s="487"/>
      <c r="AS44" s="487"/>
    </row>
    <row r="45" spans="1:45" s="165" customFormat="1" ht="18" customHeight="1" x14ac:dyDescent="0.15">
      <c r="A45" s="487"/>
      <c r="B45" s="527"/>
      <c r="C45" s="1203"/>
      <c r="D45" s="1204"/>
      <c r="E45" s="1204"/>
      <c r="F45" s="1204"/>
      <c r="G45" s="1204"/>
      <c r="H45" s="1204"/>
      <c r="I45" s="1204"/>
      <c r="J45" s="1204"/>
      <c r="K45" s="1204"/>
      <c r="L45" s="1204"/>
      <c r="M45" s="1204"/>
      <c r="N45" s="1204"/>
      <c r="O45" s="1204"/>
      <c r="P45" s="1204"/>
      <c r="Q45" s="1204"/>
      <c r="R45" s="1204"/>
      <c r="S45" s="1205"/>
      <c r="T45" s="487"/>
      <c r="U45" s="585">
        <v>2</v>
      </c>
      <c r="V45" s="1194"/>
      <c r="W45" s="1195"/>
      <c r="X45" s="1195"/>
      <c r="Y45" s="1195"/>
      <c r="Z45" s="1195"/>
      <c r="AA45" s="1196"/>
      <c r="AB45" s="1189" t="s">
        <v>243</v>
      </c>
      <c r="AC45" s="1190"/>
      <c r="AD45" s="1197" t="s">
        <v>243</v>
      </c>
      <c r="AE45" s="1198"/>
      <c r="AF45" s="1198"/>
      <c r="AG45" s="1199"/>
      <c r="AH45" s="529"/>
      <c r="AI45" s="487"/>
      <c r="AJ45" s="487"/>
      <c r="AK45" s="487"/>
      <c r="AL45" s="487"/>
      <c r="AM45" s="487"/>
      <c r="AN45" s="527"/>
      <c r="AO45" s="487"/>
      <c r="AP45" s="487"/>
      <c r="AQ45" s="487"/>
      <c r="AR45" s="487"/>
      <c r="AS45" s="487"/>
    </row>
    <row r="46" spans="1:45" s="165" customFormat="1" ht="18" customHeight="1" x14ac:dyDescent="0.15">
      <c r="A46" s="487"/>
      <c r="B46" s="527"/>
      <c r="C46" s="1203"/>
      <c r="D46" s="1204"/>
      <c r="E46" s="1204"/>
      <c r="F46" s="1204"/>
      <c r="G46" s="1204"/>
      <c r="H46" s="1204"/>
      <c r="I46" s="1204"/>
      <c r="J46" s="1204"/>
      <c r="K46" s="1204"/>
      <c r="L46" s="1204"/>
      <c r="M46" s="1204"/>
      <c r="N46" s="1204"/>
      <c r="O46" s="1204"/>
      <c r="P46" s="1204"/>
      <c r="Q46" s="1204"/>
      <c r="R46" s="1204"/>
      <c r="S46" s="1205"/>
      <c r="T46" s="487"/>
      <c r="U46" s="585">
        <v>3</v>
      </c>
      <c r="V46" s="1194"/>
      <c r="W46" s="1195"/>
      <c r="X46" s="1195"/>
      <c r="Y46" s="1195"/>
      <c r="Z46" s="1195"/>
      <c r="AA46" s="1196"/>
      <c r="AB46" s="1212" t="s">
        <v>243</v>
      </c>
      <c r="AC46" s="1213"/>
      <c r="AD46" s="1197" t="s">
        <v>243</v>
      </c>
      <c r="AE46" s="1198"/>
      <c r="AF46" s="1198"/>
      <c r="AG46" s="1199"/>
      <c r="AH46" s="529"/>
      <c r="AI46" s="487"/>
      <c r="AJ46" s="487"/>
      <c r="AK46" s="487"/>
      <c r="AL46" s="487"/>
      <c r="AM46" s="487"/>
      <c r="AN46" s="527"/>
      <c r="AO46" s="487"/>
      <c r="AP46" s="487"/>
      <c r="AQ46" s="487"/>
      <c r="AR46" s="487"/>
      <c r="AS46" s="487"/>
    </row>
    <row r="47" spans="1:45" s="165" customFormat="1" ht="18" customHeight="1" x14ac:dyDescent="0.15">
      <c r="A47" s="487"/>
      <c r="B47" s="527"/>
      <c r="C47" s="1203"/>
      <c r="D47" s="1204"/>
      <c r="E47" s="1204"/>
      <c r="F47" s="1204"/>
      <c r="G47" s="1204"/>
      <c r="H47" s="1204"/>
      <c r="I47" s="1204"/>
      <c r="J47" s="1204"/>
      <c r="K47" s="1204"/>
      <c r="L47" s="1204"/>
      <c r="M47" s="1204"/>
      <c r="N47" s="1204"/>
      <c r="O47" s="1204"/>
      <c r="P47" s="1204"/>
      <c r="Q47" s="1204"/>
      <c r="R47" s="1204"/>
      <c r="S47" s="1205"/>
      <c r="T47" s="487"/>
      <c r="U47" s="584">
        <v>4</v>
      </c>
      <c r="V47" s="1194"/>
      <c r="W47" s="1195"/>
      <c r="X47" s="1195"/>
      <c r="Y47" s="1195"/>
      <c r="Z47" s="1195"/>
      <c r="AA47" s="1196"/>
      <c r="AB47" s="1212" t="s">
        <v>243</v>
      </c>
      <c r="AC47" s="1213"/>
      <c r="AD47" s="1197" t="s">
        <v>243</v>
      </c>
      <c r="AE47" s="1198"/>
      <c r="AF47" s="1198"/>
      <c r="AG47" s="1199"/>
      <c r="AH47" s="487"/>
      <c r="AI47" s="487"/>
      <c r="AJ47" s="487"/>
      <c r="AK47" s="487"/>
      <c r="AL47" s="487"/>
      <c r="AM47" s="487"/>
      <c r="AN47" s="487"/>
      <c r="AO47" s="487"/>
      <c r="AP47" s="487"/>
      <c r="AQ47" s="487"/>
      <c r="AR47" s="487"/>
      <c r="AS47" s="487"/>
    </row>
    <row r="48" spans="1:45" s="165" customFormat="1" ht="18" customHeight="1" x14ac:dyDescent="0.15">
      <c r="A48" s="487"/>
      <c r="B48" s="527"/>
      <c r="C48" s="1203"/>
      <c r="D48" s="1204"/>
      <c r="E48" s="1204"/>
      <c r="F48" s="1204"/>
      <c r="G48" s="1204"/>
      <c r="H48" s="1204"/>
      <c r="I48" s="1204"/>
      <c r="J48" s="1204"/>
      <c r="K48" s="1204"/>
      <c r="L48" s="1204"/>
      <c r="M48" s="1204"/>
      <c r="N48" s="1204"/>
      <c r="O48" s="1204"/>
      <c r="P48" s="1204"/>
      <c r="Q48" s="1204"/>
      <c r="R48" s="1204"/>
      <c r="S48" s="1205"/>
      <c r="T48" s="487"/>
      <c r="U48" s="585">
        <v>5</v>
      </c>
      <c r="V48" s="1194"/>
      <c r="W48" s="1195"/>
      <c r="X48" s="1195"/>
      <c r="Y48" s="1195"/>
      <c r="Z48" s="1195"/>
      <c r="AA48" s="1196"/>
      <c r="AB48" s="1212" t="s">
        <v>243</v>
      </c>
      <c r="AC48" s="1213"/>
      <c r="AD48" s="1197" t="s">
        <v>243</v>
      </c>
      <c r="AE48" s="1198"/>
      <c r="AF48" s="1198"/>
      <c r="AG48" s="1199"/>
      <c r="AH48" s="487"/>
      <c r="AI48" s="487"/>
      <c r="AJ48" s="487"/>
      <c r="AK48" s="487"/>
      <c r="AL48" s="487"/>
      <c r="AM48" s="487"/>
      <c r="AN48" s="487"/>
      <c r="AO48" s="487"/>
      <c r="AP48" s="487"/>
      <c r="AQ48" s="487"/>
      <c r="AR48" s="487"/>
      <c r="AS48" s="487"/>
    </row>
    <row r="49" spans="1:45" s="165" customFormat="1" ht="18" customHeight="1" x14ac:dyDescent="0.15">
      <c r="A49" s="487"/>
      <c r="B49" s="527"/>
      <c r="C49" s="1203"/>
      <c r="D49" s="1204"/>
      <c r="E49" s="1204"/>
      <c r="F49" s="1204"/>
      <c r="G49" s="1204"/>
      <c r="H49" s="1204"/>
      <c r="I49" s="1204"/>
      <c r="J49" s="1204"/>
      <c r="K49" s="1204"/>
      <c r="L49" s="1204"/>
      <c r="M49" s="1204"/>
      <c r="N49" s="1204"/>
      <c r="O49" s="1204"/>
      <c r="P49" s="1204"/>
      <c r="Q49" s="1204"/>
      <c r="R49" s="1204"/>
      <c r="S49" s="1205"/>
      <c r="T49" s="487"/>
      <c r="U49" s="585">
        <v>6</v>
      </c>
      <c r="V49" s="1194"/>
      <c r="W49" s="1195"/>
      <c r="X49" s="1195"/>
      <c r="Y49" s="1195"/>
      <c r="Z49" s="1195"/>
      <c r="AA49" s="1196"/>
      <c r="AB49" s="1212" t="s">
        <v>243</v>
      </c>
      <c r="AC49" s="1213"/>
      <c r="AD49" s="1197" t="s">
        <v>243</v>
      </c>
      <c r="AE49" s="1198"/>
      <c r="AF49" s="1198"/>
      <c r="AG49" s="1199"/>
      <c r="AH49" s="487"/>
      <c r="AI49" s="487"/>
      <c r="AJ49" s="487"/>
      <c r="AK49" s="487"/>
      <c r="AL49" s="487"/>
      <c r="AM49" s="487"/>
      <c r="AN49" s="487"/>
      <c r="AO49" s="487"/>
      <c r="AP49" s="487"/>
      <c r="AQ49" s="487"/>
      <c r="AR49" s="487"/>
      <c r="AS49" s="487"/>
    </row>
    <row r="50" spans="1:45" s="165" customFormat="1" ht="18" customHeight="1" x14ac:dyDescent="0.15">
      <c r="A50" s="487"/>
      <c r="B50" s="487"/>
      <c r="C50" s="1203"/>
      <c r="D50" s="1204"/>
      <c r="E50" s="1204"/>
      <c r="F50" s="1204"/>
      <c r="G50" s="1204"/>
      <c r="H50" s="1204"/>
      <c r="I50" s="1204"/>
      <c r="J50" s="1204"/>
      <c r="K50" s="1204"/>
      <c r="L50" s="1204"/>
      <c r="M50" s="1204"/>
      <c r="N50" s="1204"/>
      <c r="O50" s="1204"/>
      <c r="P50" s="1204"/>
      <c r="Q50" s="1204"/>
      <c r="R50" s="1204"/>
      <c r="S50" s="1205"/>
      <c r="T50" s="487"/>
      <c r="U50" s="584">
        <v>7</v>
      </c>
      <c r="V50" s="1194"/>
      <c r="W50" s="1195"/>
      <c r="X50" s="1195"/>
      <c r="Y50" s="1195"/>
      <c r="Z50" s="1195"/>
      <c r="AA50" s="1196"/>
      <c r="AB50" s="1212" t="s">
        <v>243</v>
      </c>
      <c r="AC50" s="1213"/>
      <c r="AD50" s="1197" t="s">
        <v>243</v>
      </c>
      <c r="AE50" s="1198"/>
      <c r="AF50" s="1198"/>
      <c r="AG50" s="1199"/>
      <c r="AH50" s="487"/>
      <c r="AI50" s="487"/>
      <c r="AJ50" s="487"/>
      <c r="AK50" s="487"/>
      <c r="AL50" s="487"/>
      <c r="AM50" s="487"/>
      <c r="AN50" s="487"/>
      <c r="AO50" s="487"/>
      <c r="AP50" s="487"/>
      <c r="AQ50" s="487"/>
      <c r="AR50" s="487"/>
      <c r="AS50" s="487"/>
    </row>
    <row r="51" spans="1:45" s="165" customFormat="1" ht="18" customHeight="1" x14ac:dyDescent="0.15">
      <c r="A51" s="487"/>
      <c r="B51" s="487"/>
      <c r="C51" s="1203"/>
      <c r="D51" s="1204"/>
      <c r="E51" s="1204"/>
      <c r="F51" s="1204"/>
      <c r="G51" s="1204"/>
      <c r="H51" s="1204"/>
      <c r="I51" s="1204"/>
      <c r="J51" s="1204"/>
      <c r="K51" s="1204"/>
      <c r="L51" s="1204"/>
      <c r="M51" s="1204"/>
      <c r="N51" s="1204"/>
      <c r="O51" s="1204"/>
      <c r="P51" s="1204"/>
      <c r="Q51" s="1204"/>
      <c r="R51" s="1204"/>
      <c r="S51" s="1205"/>
      <c r="T51" s="487"/>
      <c r="U51" s="585">
        <v>8</v>
      </c>
      <c r="V51" s="1194"/>
      <c r="W51" s="1195"/>
      <c r="X51" s="1195"/>
      <c r="Y51" s="1195"/>
      <c r="Z51" s="1195"/>
      <c r="AA51" s="1196"/>
      <c r="AB51" s="1212" t="s">
        <v>243</v>
      </c>
      <c r="AC51" s="1213"/>
      <c r="AD51" s="1197" t="s">
        <v>243</v>
      </c>
      <c r="AE51" s="1198"/>
      <c r="AF51" s="1198"/>
      <c r="AG51" s="1199"/>
      <c r="AH51" s="487"/>
      <c r="AI51" s="487"/>
      <c r="AJ51" s="487"/>
      <c r="AK51" s="487"/>
      <c r="AL51" s="487"/>
      <c r="AM51" s="487"/>
      <c r="AN51" s="487"/>
      <c r="AO51" s="487"/>
      <c r="AP51" s="487"/>
      <c r="AQ51" s="487"/>
      <c r="AR51" s="487"/>
      <c r="AS51" s="487"/>
    </row>
    <row r="52" spans="1:45" s="165" customFormat="1" ht="18" customHeight="1" x14ac:dyDescent="0.15">
      <c r="A52" s="487"/>
      <c r="B52" s="487"/>
      <c r="C52" s="1206"/>
      <c r="D52" s="1207"/>
      <c r="E52" s="1207"/>
      <c r="F52" s="1207"/>
      <c r="G52" s="1207"/>
      <c r="H52" s="1207"/>
      <c r="I52" s="1207"/>
      <c r="J52" s="1207"/>
      <c r="K52" s="1207"/>
      <c r="L52" s="1207"/>
      <c r="M52" s="1207"/>
      <c r="N52" s="1207"/>
      <c r="O52" s="1207"/>
      <c r="P52" s="1207"/>
      <c r="Q52" s="1207"/>
      <c r="R52" s="1207"/>
      <c r="S52" s="1208"/>
      <c r="T52" s="487"/>
      <c r="U52" s="585">
        <v>9</v>
      </c>
      <c r="V52" s="1194"/>
      <c r="W52" s="1195"/>
      <c r="X52" s="1195"/>
      <c r="Y52" s="1195"/>
      <c r="Z52" s="1195"/>
      <c r="AA52" s="1196"/>
      <c r="AB52" s="1212" t="s">
        <v>243</v>
      </c>
      <c r="AC52" s="1213"/>
      <c r="AD52" s="1197" t="s">
        <v>243</v>
      </c>
      <c r="AE52" s="1198"/>
      <c r="AF52" s="1198"/>
      <c r="AG52" s="1199"/>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194"/>
      <c r="W53" s="1195"/>
      <c r="X53" s="1195"/>
      <c r="Y53" s="1195"/>
      <c r="Z53" s="1195"/>
      <c r="AA53" s="1196"/>
      <c r="AB53" s="1212" t="s">
        <v>243</v>
      </c>
      <c r="AC53" s="1213"/>
      <c r="AD53" s="1197" t="s">
        <v>243</v>
      </c>
      <c r="AE53" s="1198"/>
      <c r="AF53" s="1198"/>
      <c r="AG53" s="1199"/>
      <c r="AH53" s="487"/>
      <c r="AI53" s="487"/>
      <c r="AJ53" s="487"/>
      <c r="AK53" s="487"/>
      <c r="AL53" s="487"/>
      <c r="AM53" s="487"/>
      <c r="AN53" s="487"/>
      <c r="AO53" s="487"/>
      <c r="AP53" s="487"/>
      <c r="AQ53" s="487"/>
      <c r="AR53" s="487"/>
      <c r="AS53" s="487"/>
    </row>
    <row r="54" spans="1:45" s="165" customFormat="1" ht="18" customHeight="1" x14ac:dyDescent="0.15">
      <c r="A54" s="487"/>
      <c r="B54" s="487"/>
      <c r="C54" s="1179" t="s">
        <v>956</v>
      </c>
      <c r="D54" s="532" t="s">
        <v>957</v>
      </c>
      <c r="E54" s="533"/>
      <c r="F54" s="533"/>
      <c r="G54" s="533"/>
      <c r="H54" s="533"/>
      <c r="I54" s="533"/>
      <c r="J54" s="533"/>
      <c r="K54" s="533"/>
      <c r="L54" s="534"/>
      <c r="M54" s="534"/>
      <c r="N54" s="534"/>
      <c r="O54" s="533"/>
      <c r="P54" s="534"/>
      <c r="Q54" s="534"/>
      <c r="R54" s="534"/>
      <c r="S54" s="535"/>
      <c r="T54" s="487"/>
      <c r="U54" s="585">
        <v>11</v>
      </c>
      <c r="V54" s="1194"/>
      <c r="W54" s="1195"/>
      <c r="X54" s="1195"/>
      <c r="Y54" s="1195"/>
      <c r="Z54" s="1195"/>
      <c r="AA54" s="1196"/>
      <c r="AB54" s="1212" t="s">
        <v>243</v>
      </c>
      <c r="AC54" s="1213"/>
      <c r="AD54" s="1197" t="s">
        <v>243</v>
      </c>
      <c r="AE54" s="1198"/>
      <c r="AF54" s="1198"/>
      <c r="AG54" s="1199"/>
      <c r="AH54" s="487"/>
      <c r="AI54" s="487"/>
      <c r="AJ54" s="487"/>
      <c r="AK54" s="487"/>
      <c r="AL54" s="487"/>
      <c r="AM54" s="487"/>
      <c r="AN54" s="487"/>
      <c r="AO54" s="487"/>
      <c r="AP54" s="487"/>
      <c r="AQ54" s="487"/>
      <c r="AR54" s="487"/>
      <c r="AS54" s="487"/>
    </row>
    <row r="55" spans="1:45" s="165" customFormat="1" ht="18" customHeight="1" x14ac:dyDescent="0.15">
      <c r="A55" s="487"/>
      <c r="B55" s="487"/>
      <c r="C55" s="1180"/>
      <c r="D55" s="536"/>
      <c r="E55" s="537"/>
      <c r="F55" s="538"/>
      <c r="G55" s="538"/>
      <c r="H55" s="538"/>
      <c r="I55" s="538"/>
      <c r="J55" s="538"/>
      <c r="K55" s="538"/>
      <c r="L55" s="537"/>
      <c r="M55" s="537"/>
      <c r="N55" s="537"/>
      <c r="O55" s="538"/>
      <c r="P55" s="537"/>
      <c r="Q55" s="537"/>
      <c r="R55" s="537"/>
      <c r="S55" s="539"/>
      <c r="T55" s="487"/>
      <c r="U55" s="585">
        <v>12</v>
      </c>
      <c r="V55" s="1194"/>
      <c r="W55" s="1195"/>
      <c r="X55" s="1195"/>
      <c r="Y55" s="1195"/>
      <c r="Z55" s="1195"/>
      <c r="AA55" s="1196"/>
      <c r="AB55" s="1212" t="s">
        <v>243</v>
      </c>
      <c r="AC55" s="1213"/>
      <c r="AD55" s="1197" t="s">
        <v>243</v>
      </c>
      <c r="AE55" s="1198"/>
      <c r="AF55" s="1198"/>
      <c r="AG55" s="1199"/>
      <c r="AH55" s="487"/>
      <c r="AI55" s="487"/>
      <c r="AJ55" s="487"/>
      <c r="AK55" s="487"/>
      <c r="AL55" s="487"/>
      <c r="AM55" s="487"/>
      <c r="AN55" s="487"/>
      <c r="AO55" s="487"/>
      <c r="AP55" s="487"/>
      <c r="AQ55" s="487"/>
      <c r="AR55" s="487"/>
      <c r="AS55" s="487"/>
    </row>
    <row r="56" spans="1:45" ht="18" customHeight="1" x14ac:dyDescent="0.15">
      <c r="A56" s="486"/>
      <c r="B56" s="486"/>
      <c r="C56" s="1177" t="s">
        <v>958</v>
      </c>
      <c r="D56" s="540" t="s">
        <v>959</v>
      </c>
      <c r="E56" s="541"/>
      <c r="F56" s="541"/>
      <c r="G56" s="541"/>
      <c r="H56" s="541"/>
      <c r="I56" s="541"/>
      <c r="J56" s="541"/>
      <c r="K56" s="541"/>
      <c r="L56" s="542"/>
      <c r="M56" s="542"/>
      <c r="N56" s="542"/>
      <c r="O56" s="541"/>
      <c r="P56" s="542"/>
      <c r="Q56" s="542"/>
      <c r="R56" s="542"/>
      <c r="S56" s="543"/>
      <c r="T56" s="486"/>
      <c r="U56" s="584">
        <v>13</v>
      </c>
      <c r="V56" s="1194"/>
      <c r="W56" s="1195"/>
      <c r="X56" s="1195"/>
      <c r="Y56" s="1195"/>
      <c r="Z56" s="1195"/>
      <c r="AA56" s="1196"/>
      <c r="AB56" s="1212" t="s">
        <v>243</v>
      </c>
      <c r="AC56" s="1213"/>
      <c r="AD56" s="1197" t="s">
        <v>243</v>
      </c>
      <c r="AE56" s="1198"/>
      <c r="AF56" s="1198"/>
      <c r="AG56" s="1199"/>
      <c r="AH56" s="486"/>
      <c r="AI56" s="486"/>
      <c r="AJ56" s="486"/>
      <c r="AK56" s="486"/>
      <c r="AL56" s="486"/>
      <c r="AM56" s="486"/>
      <c r="AN56" s="486"/>
      <c r="AO56" s="486"/>
      <c r="AP56" s="486"/>
      <c r="AQ56" s="486"/>
      <c r="AR56" s="486"/>
      <c r="AS56" s="486"/>
    </row>
    <row r="57" spans="1:45" ht="18" customHeight="1" x14ac:dyDescent="0.15">
      <c r="A57" s="486"/>
      <c r="B57" s="486"/>
      <c r="C57" s="1180"/>
      <c r="D57" s="536"/>
      <c r="E57" s="537"/>
      <c r="F57" s="538"/>
      <c r="G57" s="538"/>
      <c r="H57" s="538"/>
      <c r="I57" s="538"/>
      <c r="J57" s="538"/>
      <c r="K57" s="538"/>
      <c r="L57" s="537"/>
      <c r="M57" s="537"/>
      <c r="N57" s="537"/>
      <c r="O57" s="538"/>
      <c r="P57" s="537"/>
      <c r="Q57" s="537"/>
      <c r="R57" s="537"/>
      <c r="S57" s="539"/>
      <c r="T57" s="486"/>
      <c r="U57" s="585">
        <v>14</v>
      </c>
      <c r="V57" s="1194"/>
      <c r="W57" s="1195"/>
      <c r="X57" s="1195"/>
      <c r="Y57" s="1195"/>
      <c r="Z57" s="1195"/>
      <c r="AA57" s="1196"/>
      <c r="AB57" s="1212" t="s">
        <v>243</v>
      </c>
      <c r="AC57" s="1213"/>
      <c r="AD57" s="1197" t="s">
        <v>243</v>
      </c>
      <c r="AE57" s="1198"/>
      <c r="AF57" s="1198"/>
      <c r="AG57" s="1199"/>
      <c r="AH57" s="486"/>
      <c r="AI57" s="486"/>
      <c r="AJ57" s="486"/>
      <c r="AK57" s="486"/>
      <c r="AL57" s="486"/>
      <c r="AM57" s="486"/>
      <c r="AN57" s="486"/>
      <c r="AO57" s="486"/>
      <c r="AP57" s="486"/>
      <c r="AQ57" s="486"/>
      <c r="AR57" s="486"/>
      <c r="AS57" s="486"/>
    </row>
    <row r="58" spans="1:45" ht="18" customHeight="1" x14ac:dyDescent="0.15">
      <c r="A58" s="486"/>
      <c r="B58" s="486"/>
      <c r="C58" s="1177" t="s">
        <v>960</v>
      </c>
      <c r="D58" s="540" t="s">
        <v>961</v>
      </c>
      <c r="E58" s="541"/>
      <c r="F58" s="541"/>
      <c r="G58" s="541"/>
      <c r="H58" s="541"/>
      <c r="I58" s="541"/>
      <c r="J58" s="541"/>
      <c r="K58" s="541"/>
      <c r="L58" s="530"/>
      <c r="M58" s="530"/>
      <c r="N58" s="530"/>
      <c r="O58" s="541"/>
      <c r="P58" s="530"/>
      <c r="Q58" s="530"/>
      <c r="R58" s="530"/>
      <c r="S58" s="531"/>
      <c r="T58" s="486"/>
      <c r="U58" s="585">
        <v>15</v>
      </c>
      <c r="V58" s="1194"/>
      <c r="W58" s="1195"/>
      <c r="X58" s="1195"/>
      <c r="Y58" s="1195"/>
      <c r="Z58" s="1195"/>
      <c r="AA58" s="1196"/>
      <c r="AB58" s="1212" t="s">
        <v>243</v>
      </c>
      <c r="AC58" s="1213"/>
      <c r="AD58" s="1197" t="s">
        <v>243</v>
      </c>
      <c r="AE58" s="1198"/>
      <c r="AF58" s="1198"/>
      <c r="AG58" s="1199"/>
      <c r="AH58" s="486"/>
      <c r="AI58" s="486"/>
      <c r="AJ58" s="486"/>
      <c r="AK58" s="486"/>
      <c r="AL58" s="486"/>
      <c r="AM58" s="486"/>
      <c r="AN58" s="486"/>
      <c r="AO58" s="486"/>
      <c r="AP58" s="486"/>
      <c r="AQ58" s="486"/>
      <c r="AR58" s="486"/>
      <c r="AS58" s="486"/>
    </row>
    <row r="59" spans="1:45" ht="18" customHeight="1" x14ac:dyDescent="0.15">
      <c r="A59" s="486"/>
      <c r="B59" s="486"/>
      <c r="C59" s="1180"/>
      <c r="D59" s="544"/>
      <c r="E59" s="530"/>
      <c r="F59" s="541"/>
      <c r="G59" s="541"/>
      <c r="H59" s="541"/>
      <c r="I59" s="541"/>
      <c r="J59" s="541"/>
      <c r="K59" s="541"/>
      <c r="L59" s="530"/>
      <c r="M59" s="530"/>
      <c r="N59" s="530"/>
      <c r="O59" s="541"/>
      <c r="P59" s="530"/>
      <c r="Q59" s="530"/>
      <c r="R59" s="530"/>
      <c r="S59" s="531"/>
      <c r="T59" s="486"/>
      <c r="U59" s="584">
        <v>16</v>
      </c>
      <c r="V59" s="1194"/>
      <c r="W59" s="1195"/>
      <c r="X59" s="1195"/>
      <c r="Y59" s="1195"/>
      <c r="Z59" s="1195"/>
      <c r="AA59" s="1196"/>
      <c r="AB59" s="1212" t="s">
        <v>243</v>
      </c>
      <c r="AC59" s="1213"/>
      <c r="AD59" s="1197" t="s">
        <v>243</v>
      </c>
      <c r="AE59" s="1198"/>
      <c r="AF59" s="1198"/>
      <c r="AG59" s="1199"/>
      <c r="AH59" s="486"/>
      <c r="AI59" s="486"/>
      <c r="AJ59" s="486"/>
      <c r="AK59" s="486"/>
      <c r="AL59" s="486"/>
      <c r="AM59" s="486"/>
      <c r="AN59" s="486"/>
      <c r="AO59" s="486"/>
      <c r="AP59" s="486"/>
      <c r="AQ59" s="486"/>
      <c r="AR59" s="486"/>
      <c r="AS59" s="486"/>
    </row>
    <row r="60" spans="1:45" ht="18" customHeight="1" x14ac:dyDescent="0.15">
      <c r="A60" s="486"/>
      <c r="B60" s="486"/>
      <c r="C60" s="1177" t="s">
        <v>962</v>
      </c>
      <c r="D60" s="545" t="s">
        <v>963</v>
      </c>
      <c r="E60" s="546"/>
      <c r="F60" s="546"/>
      <c r="G60" s="546"/>
      <c r="H60" s="546"/>
      <c r="I60" s="546"/>
      <c r="J60" s="546"/>
      <c r="K60" s="546"/>
      <c r="L60" s="547"/>
      <c r="M60" s="547"/>
      <c r="N60" s="547"/>
      <c r="O60" s="546"/>
      <c r="P60" s="547"/>
      <c r="Q60" s="547"/>
      <c r="R60" s="547"/>
      <c r="S60" s="548"/>
      <c r="T60" s="486"/>
      <c r="U60" s="585">
        <v>17</v>
      </c>
      <c r="V60" s="1194"/>
      <c r="W60" s="1195"/>
      <c r="X60" s="1195"/>
      <c r="Y60" s="1195"/>
      <c r="Z60" s="1195"/>
      <c r="AA60" s="1196"/>
      <c r="AB60" s="1212" t="s">
        <v>243</v>
      </c>
      <c r="AC60" s="1213"/>
      <c r="AD60" s="1197" t="s">
        <v>243</v>
      </c>
      <c r="AE60" s="1198"/>
      <c r="AF60" s="1198"/>
      <c r="AG60" s="1199"/>
      <c r="AH60" s="486"/>
      <c r="AI60" s="486"/>
      <c r="AJ60" s="486"/>
      <c r="AK60" s="486"/>
      <c r="AL60" s="486"/>
      <c r="AM60" s="486"/>
      <c r="AN60" s="486"/>
      <c r="AO60" s="486"/>
      <c r="AP60" s="486"/>
      <c r="AQ60" s="486"/>
      <c r="AR60" s="486"/>
      <c r="AS60" s="486"/>
    </row>
    <row r="61" spans="1:45" ht="18" customHeight="1" x14ac:dyDescent="0.15">
      <c r="A61" s="486"/>
      <c r="B61" s="486"/>
      <c r="C61" s="1180"/>
      <c r="D61" s="536"/>
      <c r="E61" s="549"/>
      <c r="F61" s="538"/>
      <c r="G61" s="538"/>
      <c r="H61" s="538"/>
      <c r="I61" s="538"/>
      <c r="J61" s="538"/>
      <c r="K61" s="538"/>
      <c r="L61" s="549"/>
      <c r="M61" s="549"/>
      <c r="N61" s="549"/>
      <c r="O61" s="538"/>
      <c r="P61" s="549"/>
      <c r="Q61" s="549"/>
      <c r="R61" s="549"/>
      <c r="S61" s="550"/>
      <c r="T61" s="486"/>
      <c r="U61" s="585">
        <v>18</v>
      </c>
      <c r="V61" s="1194"/>
      <c r="W61" s="1195"/>
      <c r="X61" s="1195"/>
      <c r="Y61" s="1195"/>
      <c r="Z61" s="1195"/>
      <c r="AA61" s="1196"/>
      <c r="AB61" s="1212" t="s">
        <v>243</v>
      </c>
      <c r="AC61" s="1213"/>
      <c r="AD61" s="1197" t="s">
        <v>243</v>
      </c>
      <c r="AE61" s="1198"/>
      <c r="AF61" s="1198"/>
      <c r="AG61" s="1199"/>
      <c r="AH61" s="486"/>
      <c r="AI61" s="486"/>
      <c r="AJ61" s="486"/>
      <c r="AK61" s="486"/>
      <c r="AL61" s="486"/>
      <c r="AM61" s="486"/>
      <c r="AN61" s="486"/>
      <c r="AO61" s="486"/>
      <c r="AP61" s="486"/>
      <c r="AQ61" s="486"/>
      <c r="AR61" s="486"/>
      <c r="AS61" s="486"/>
    </row>
    <row r="62" spans="1:45" ht="18" customHeight="1" x14ac:dyDescent="0.15">
      <c r="A62" s="486"/>
      <c r="B62" s="486"/>
      <c r="C62" s="1177" t="s">
        <v>964</v>
      </c>
      <c r="D62" s="540" t="s">
        <v>965</v>
      </c>
      <c r="E62" s="541"/>
      <c r="F62" s="541"/>
      <c r="G62" s="541"/>
      <c r="H62" s="541"/>
      <c r="I62" s="530"/>
      <c r="J62" s="530"/>
      <c r="K62" s="530"/>
      <c r="L62" s="530"/>
      <c r="M62" s="530"/>
      <c r="N62" s="530"/>
      <c r="O62" s="541"/>
      <c r="P62" s="530"/>
      <c r="Q62" s="530"/>
      <c r="R62" s="530"/>
      <c r="S62" s="531"/>
      <c r="T62" s="486"/>
      <c r="U62" s="584">
        <v>19</v>
      </c>
      <c r="V62" s="1194"/>
      <c r="W62" s="1195"/>
      <c r="X62" s="1195"/>
      <c r="Y62" s="1195"/>
      <c r="Z62" s="1195"/>
      <c r="AA62" s="1196"/>
      <c r="AB62" s="1212" t="s">
        <v>243</v>
      </c>
      <c r="AC62" s="1213"/>
      <c r="AD62" s="1197" t="s">
        <v>243</v>
      </c>
      <c r="AE62" s="1198"/>
      <c r="AF62" s="1198"/>
      <c r="AG62" s="1199"/>
      <c r="AH62" s="486"/>
      <c r="AI62" s="486"/>
      <c r="AJ62" s="486"/>
      <c r="AK62" s="486"/>
      <c r="AL62" s="486"/>
      <c r="AM62" s="486"/>
      <c r="AN62" s="486"/>
      <c r="AO62" s="486"/>
      <c r="AP62" s="486"/>
      <c r="AQ62" s="486"/>
      <c r="AR62" s="486"/>
      <c r="AS62" s="486"/>
    </row>
    <row r="63" spans="1:45" ht="18" customHeight="1" thickBot="1" x14ac:dyDescent="0.2">
      <c r="A63" s="486"/>
      <c r="B63" s="486"/>
      <c r="C63" s="1178"/>
      <c r="D63" s="551"/>
      <c r="E63" s="552"/>
      <c r="F63" s="553"/>
      <c r="G63" s="553"/>
      <c r="H63" s="553"/>
      <c r="I63" s="552"/>
      <c r="J63" s="552"/>
      <c r="K63" s="552"/>
      <c r="L63" s="552"/>
      <c r="M63" s="552"/>
      <c r="N63" s="552"/>
      <c r="O63" s="553"/>
      <c r="P63" s="552"/>
      <c r="Q63" s="552"/>
      <c r="R63" s="552"/>
      <c r="S63" s="554"/>
      <c r="T63" s="486"/>
      <c r="U63" s="585">
        <v>20</v>
      </c>
      <c r="V63" s="1194"/>
      <c r="W63" s="1195"/>
      <c r="X63" s="1195"/>
      <c r="Y63" s="1195"/>
      <c r="Z63" s="1195"/>
      <c r="AA63" s="1196"/>
      <c r="AB63" s="1212" t="s">
        <v>243</v>
      </c>
      <c r="AC63" s="1213"/>
      <c r="AD63" s="1197" t="s">
        <v>243</v>
      </c>
      <c r="AE63" s="1198"/>
      <c r="AF63" s="1198"/>
      <c r="AG63" s="1199"/>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194"/>
      <c r="W64" s="1195"/>
      <c r="X64" s="1195"/>
      <c r="Y64" s="1195"/>
      <c r="Z64" s="1195"/>
      <c r="AA64" s="1196"/>
      <c r="AB64" s="1212" t="s">
        <v>243</v>
      </c>
      <c r="AC64" s="1213"/>
      <c r="AD64" s="1197" t="s">
        <v>243</v>
      </c>
      <c r="AE64" s="1198"/>
      <c r="AF64" s="1198"/>
      <c r="AG64" s="1199"/>
      <c r="AH64" s="486"/>
      <c r="AI64" s="486"/>
      <c r="AJ64" s="486"/>
      <c r="AK64" s="486"/>
      <c r="AL64" s="486"/>
      <c r="AM64" s="486"/>
      <c r="AN64" s="486"/>
      <c r="AO64" s="486"/>
      <c r="AP64" s="486"/>
      <c r="AQ64" s="486"/>
      <c r="AR64" s="486"/>
      <c r="AS64" s="486"/>
    </row>
    <row r="65" spans="1:45" ht="18" customHeight="1" x14ac:dyDescent="0.15">
      <c r="A65" s="486"/>
      <c r="B65" s="486"/>
      <c r="C65" s="1179" t="s">
        <v>966</v>
      </c>
      <c r="D65" s="532" t="s">
        <v>967</v>
      </c>
      <c r="E65" s="555"/>
      <c r="F65" s="555"/>
      <c r="G65" s="555"/>
      <c r="H65" s="555"/>
      <c r="I65" s="556"/>
      <c r="J65" s="556"/>
      <c r="K65" s="556"/>
      <c r="L65" s="556"/>
      <c r="M65" s="556"/>
      <c r="N65" s="556"/>
      <c r="O65" s="555"/>
      <c r="P65" s="556"/>
      <c r="Q65" s="556"/>
      <c r="R65" s="556"/>
      <c r="S65" s="557"/>
      <c r="T65" s="486"/>
      <c r="U65" s="584">
        <v>22</v>
      </c>
      <c r="V65" s="1194"/>
      <c r="W65" s="1195"/>
      <c r="X65" s="1195"/>
      <c r="Y65" s="1195"/>
      <c r="Z65" s="1195"/>
      <c r="AA65" s="1196"/>
      <c r="AB65" s="1212" t="s">
        <v>243</v>
      </c>
      <c r="AC65" s="1213"/>
      <c r="AD65" s="1197" t="s">
        <v>243</v>
      </c>
      <c r="AE65" s="1198"/>
      <c r="AF65" s="1198"/>
      <c r="AG65" s="1199"/>
      <c r="AH65" s="486"/>
      <c r="AI65" s="486"/>
      <c r="AJ65" s="486"/>
      <c r="AK65" s="486"/>
      <c r="AL65" s="486"/>
      <c r="AM65" s="486"/>
      <c r="AN65" s="486"/>
      <c r="AO65" s="486"/>
      <c r="AP65" s="486"/>
      <c r="AQ65" s="486"/>
      <c r="AR65" s="486"/>
      <c r="AS65" s="486"/>
    </row>
    <row r="66" spans="1:45" ht="18" customHeight="1" x14ac:dyDescent="0.15">
      <c r="A66" s="486"/>
      <c r="B66" s="486"/>
      <c r="C66" s="1180"/>
      <c r="D66" s="536"/>
      <c r="E66" s="558"/>
      <c r="F66" s="559"/>
      <c r="G66" s="559"/>
      <c r="H66" s="559"/>
      <c r="I66" s="558"/>
      <c r="J66" s="558"/>
      <c r="K66" s="558"/>
      <c r="L66" s="558"/>
      <c r="M66" s="558"/>
      <c r="N66" s="558"/>
      <c r="O66" s="559"/>
      <c r="P66" s="558"/>
      <c r="Q66" s="558"/>
      <c r="R66" s="558"/>
      <c r="S66" s="560"/>
      <c r="T66" s="486"/>
      <c r="U66" s="585">
        <v>23</v>
      </c>
      <c r="V66" s="1194"/>
      <c r="W66" s="1195"/>
      <c r="X66" s="1195"/>
      <c r="Y66" s="1195"/>
      <c r="Z66" s="1195"/>
      <c r="AA66" s="1196"/>
      <c r="AB66" s="1212" t="s">
        <v>243</v>
      </c>
      <c r="AC66" s="1213"/>
      <c r="AD66" s="1197" t="s">
        <v>243</v>
      </c>
      <c r="AE66" s="1198"/>
      <c r="AF66" s="1198"/>
      <c r="AG66" s="1199"/>
      <c r="AH66" s="486"/>
      <c r="AI66" s="486"/>
      <c r="AJ66" s="486"/>
      <c r="AK66" s="486"/>
      <c r="AL66" s="486"/>
      <c r="AM66" s="486"/>
      <c r="AN66" s="486"/>
      <c r="AO66" s="486"/>
      <c r="AP66" s="486"/>
      <c r="AQ66" s="486"/>
      <c r="AR66" s="486"/>
      <c r="AS66" s="486"/>
    </row>
    <row r="67" spans="1:45" ht="18" customHeight="1" x14ac:dyDescent="0.15">
      <c r="A67" s="486"/>
      <c r="B67" s="486"/>
      <c r="C67" s="1177" t="s">
        <v>968</v>
      </c>
      <c r="D67" s="540" t="s">
        <v>969</v>
      </c>
      <c r="E67" s="561"/>
      <c r="F67" s="561"/>
      <c r="G67" s="561"/>
      <c r="H67" s="561"/>
      <c r="I67" s="562"/>
      <c r="J67" s="562"/>
      <c r="K67" s="562"/>
      <c r="L67" s="562"/>
      <c r="M67" s="562"/>
      <c r="N67" s="562"/>
      <c r="O67" s="561"/>
      <c r="P67" s="562"/>
      <c r="Q67" s="562"/>
      <c r="R67" s="562"/>
      <c r="S67" s="563"/>
      <c r="T67" s="486"/>
      <c r="U67" s="585">
        <v>24</v>
      </c>
      <c r="V67" s="1194"/>
      <c r="W67" s="1195"/>
      <c r="X67" s="1195"/>
      <c r="Y67" s="1195"/>
      <c r="Z67" s="1195"/>
      <c r="AA67" s="1196"/>
      <c r="AB67" s="1212" t="s">
        <v>243</v>
      </c>
      <c r="AC67" s="1213"/>
      <c r="AD67" s="1197" t="s">
        <v>243</v>
      </c>
      <c r="AE67" s="1198"/>
      <c r="AF67" s="1198"/>
      <c r="AG67" s="1199"/>
      <c r="AH67" s="486"/>
      <c r="AI67" s="486"/>
      <c r="AJ67" s="486"/>
      <c r="AK67" s="486"/>
      <c r="AL67" s="486"/>
      <c r="AM67" s="486"/>
      <c r="AN67" s="486"/>
      <c r="AO67" s="486"/>
      <c r="AP67" s="486"/>
      <c r="AQ67" s="486"/>
      <c r="AR67" s="486"/>
      <c r="AS67" s="486"/>
    </row>
    <row r="68" spans="1:45" ht="18" customHeight="1" x14ac:dyDescent="0.15">
      <c r="A68" s="486"/>
      <c r="B68" s="486"/>
      <c r="C68" s="1181"/>
      <c r="D68" s="544"/>
      <c r="E68" s="564"/>
      <c r="F68" s="561"/>
      <c r="G68" s="561"/>
      <c r="H68" s="561"/>
      <c r="I68" s="564"/>
      <c r="J68" s="564"/>
      <c r="K68" s="564"/>
      <c r="L68" s="564"/>
      <c r="M68" s="564"/>
      <c r="N68" s="564"/>
      <c r="O68" s="561"/>
      <c r="P68" s="564"/>
      <c r="Q68" s="564"/>
      <c r="R68" s="564"/>
      <c r="S68" s="565"/>
      <c r="T68" s="486"/>
      <c r="U68" s="584">
        <v>25</v>
      </c>
      <c r="V68" s="1194"/>
      <c r="W68" s="1195"/>
      <c r="X68" s="1195"/>
      <c r="Y68" s="1195"/>
      <c r="Z68" s="1195"/>
      <c r="AA68" s="1196"/>
      <c r="AB68" s="1212" t="s">
        <v>243</v>
      </c>
      <c r="AC68" s="1213"/>
      <c r="AD68" s="1197" t="s">
        <v>243</v>
      </c>
      <c r="AE68" s="1198"/>
      <c r="AF68" s="1198"/>
      <c r="AG68" s="1199"/>
      <c r="AH68" s="486"/>
      <c r="AI68" s="486"/>
      <c r="AJ68" s="486"/>
      <c r="AK68" s="486"/>
      <c r="AL68" s="486"/>
      <c r="AM68" s="486"/>
      <c r="AN68" s="486"/>
      <c r="AO68" s="486"/>
      <c r="AP68" s="486"/>
      <c r="AQ68" s="486"/>
      <c r="AR68" s="486"/>
      <c r="AS68" s="486"/>
    </row>
    <row r="69" spans="1:45" ht="18" customHeight="1" x14ac:dyDescent="0.15">
      <c r="A69" s="486"/>
      <c r="B69" s="486"/>
      <c r="C69" s="1177" t="s">
        <v>970</v>
      </c>
      <c r="D69" s="566" t="s">
        <v>971</v>
      </c>
      <c r="E69" s="567"/>
      <c r="F69" s="567"/>
      <c r="G69" s="567"/>
      <c r="H69" s="567"/>
      <c r="I69" s="568"/>
      <c r="J69" s="568"/>
      <c r="K69" s="568"/>
      <c r="L69" s="568"/>
      <c r="M69" s="568"/>
      <c r="N69" s="568"/>
      <c r="O69" s="567"/>
      <c r="P69" s="568"/>
      <c r="Q69" s="568"/>
      <c r="R69" s="568"/>
      <c r="S69" s="569"/>
      <c r="T69" s="486"/>
      <c r="U69" s="585">
        <v>26</v>
      </c>
      <c r="V69" s="1194"/>
      <c r="W69" s="1195"/>
      <c r="X69" s="1195"/>
      <c r="Y69" s="1195"/>
      <c r="Z69" s="1195"/>
      <c r="AA69" s="1196"/>
      <c r="AB69" s="1212" t="s">
        <v>243</v>
      </c>
      <c r="AC69" s="1213"/>
      <c r="AD69" s="1197" t="s">
        <v>243</v>
      </c>
      <c r="AE69" s="1198"/>
      <c r="AF69" s="1198"/>
      <c r="AG69" s="1199"/>
      <c r="AH69" s="486"/>
      <c r="AI69" s="486"/>
      <c r="AJ69" s="486"/>
      <c r="AK69" s="486"/>
      <c r="AL69" s="486"/>
      <c r="AM69" s="486"/>
      <c r="AN69" s="486"/>
      <c r="AO69" s="486"/>
      <c r="AP69" s="486"/>
      <c r="AQ69" s="486"/>
      <c r="AR69" s="486"/>
      <c r="AS69" s="486"/>
    </row>
    <row r="70" spans="1:45" ht="18" customHeight="1" x14ac:dyDescent="0.15">
      <c r="A70" s="486"/>
      <c r="B70" s="486"/>
      <c r="C70" s="1180"/>
      <c r="D70" s="570"/>
      <c r="E70" s="571"/>
      <c r="F70" s="559"/>
      <c r="G70" s="559"/>
      <c r="H70" s="559"/>
      <c r="I70" s="571"/>
      <c r="J70" s="571"/>
      <c r="K70" s="571"/>
      <c r="L70" s="571"/>
      <c r="M70" s="571"/>
      <c r="N70" s="571"/>
      <c r="O70" s="559"/>
      <c r="P70" s="571"/>
      <c r="Q70" s="571"/>
      <c r="R70" s="571"/>
      <c r="S70" s="572"/>
      <c r="T70" s="486"/>
      <c r="U70" s="585">
        <v>27</v>
      </c>
      <c r="V70" s="1194"/>
      <c r="W70" s="1195"/>
      <c r="X70" s="1195"/>
      <c r="Y70" s="1195"/>
      <c r="Z70" s="1195"/>
      <c r="AA70" s="1196"/>
      <c r="AB70" s="1212" t="s">
        <v>243</v>
      </c>
      <c r="AC70" s="1213"/>
      <c r="AD70" s="1197" t="s">
        <v>243</v>
      </c>
      <c r="AE70" s="1198"/>
      <c r="AF70" s="1198"/>
      <c r="AG70" s="1199"/>
      <c r="AH70" s="486"/>
      <c r="AI70" s="486"/>
      <c r="AJ70" s="486"/>
      <c r="AK70" s="486"/>
      <c r="AL70" s="486"/>
      <c r="AM70" s="486"/>
      <c r="AN70" s="486"/>
      <c r="AO70" s="486"/>
      <c r="AP70" s="486"/>
      <c r="AQ70" s="486"/>
      <c r="AR70" s="486"/>
      <c r="AS70" s="486"/>
    </row>
    <row r="71" spans="1:45" ht="18" customHeight="1" x14ac:dyDescent="0.15">
      <c r="A71" s="486"/>
      <c r="B71" s="486"/>
      <c r="C71" s="1181" t="s">
        <v>972</v>
      </c>
      <c r="D71" s="545" t="s">
        <v>973</v>
      </c>
      <c r="E71" s="567"/>
      <c r="F71" s="567"/>
      <c r="G71" s="567"/>
      <c r="H71" s="567"/>
      <c r="I71" s="568"/>
      <c r="J71" s="568"/>
      <c r="K71" s="568"/>
      <c r="L71" s="568"/>
      <c r="M71" s="568"/>
      <c r="N71" s="568"/>
      <c r="O71" s="567"/>
      <c r="P71" s="568"/>
      <c r="Q71" s="568"/>
      <c r="R71" s="568"/>
      <c r="S71" s="569"/>
      <c r="T71" s="486"/>
      <c r="U71" s="584">
        <v>28</v>
      </c>
      <c r="V71" s="1194"/>
      <c r="W71" s="1195"/>
      <c r="X71" s="1195"/>
      <c r="Y71" s="1195"/>
      <c r="Z71" s="1195"/>
      <c r="AA71" s="1196"/>
      <c r="AB71" s="1212" t="s">
        <v>243</v>
      </c>
      <c r="AC71" s="1213"/>
      <c r="AD71" s="1197" t="s">
        <v>243</v>
      </c>
      <c r="AE71" s="1198"/>
      <c r="AF71" s="1198"/>
      <c r="AG71" s="1199"/>
      <c r="AH71" s="486"/>
      <c r="AI71" s="486"/>
      <c r="AJ71" s="486"/>
      <c r="AK71" s="486"/>
      <c r="AL71" s="486"/>
      <c r="AM71" s="486"/>
      <c r="AN71" s="486"/>
      <c r="AO71" s="486"/>
      <c r="AP71" s="486"/>
      <c r="AQ71" s="486"/>
      <c r="AR71" s="486"/>
      <c r="AS71" s="486"/>
    </row>
    <row r="72" spans="1:45" ht="18" customHeight="1" x14ac:dyDescent="0.15">
      <c r="A72" s="486"/>
      <c r="B72" s="486"/>
      <c r="C72" s="1180"/>
      <c r="D72" s="536"/>
      <c r="E72" s="571"/>
      <c r="F72" s="559"/>
      <c r="G72" s="559"/>
      <c r="H72" s="559"/>
      <c r="I72" s="571"/>
      <c r="J72" s="571"/>
      <c r="K72" s="571"/>
      <c r="L72" s="571"/>
      <c r="M72" s="571"/>
      <c r="N72" s="571"/>
      <c r="O72" s="559"/>
      <c r="P72" s="571"/>
      <c r="Q72" s="571"/>
      <c r="R72" s="571"/>
      <c r="S72" s="572"/>
      <c r="T72" s="486"/>
      <c r="U72" s="585">
        <v>29</v>
      </c>
      <c r="V72" s="1194"/>
      <c r="W72" s="1195"/>
      <c r="X72" s="1195"/>
      <c r="Y72" s="1195"/>
      <c r="Z72" s="1195"/>
      <c r="AA72" s="1196"/>
      <c r="AB72" s="1212" t="s">
        <v>243</v>
      </c>
      <c r="AC72" s="1213"/>
      <c r="AD72" s="1197" t="s">
        <v>243</v>
      </c>
      <c r="AE72" s="1198"/>
      <c r="AF72" s="1198"/>
      <c r="AG72" s="1199"/>
      <c r="AH72" s="486"/>
      <c r="AI72" s="486"/>
      <c r="AJ72" s="486"/>
      <c r="AK72" s="486"/>
      <c r="AL72" s="486"/>
      <c r="AM72" s="486"/>
      <c r="AN72" s="486"/>
      <c r="AO72" s="486"/>
      <c r="AP72" s="486"/>
      <c r="AQ72" s="486"/>
      <c r="AR72" s="486"/>
      <c r="AS72" s="486"/>
    </row>
    <row r="73" spans="1:45" ht="18" customHeight="1" x14ac:dyDescent="0.15">
      <c r="A73" s="486"/>
      <c r="B73" s="486"/>
      <c r="C73" s="1177" t="s">
        <v>974</v>
      </c>
      <c r="D73" s="540" t="s">
        <v>975</v>
      </c>
      <c r="E73" s="561"/>
      <c r="F73" s="561"/>
      <c r="G73" s="561"/>
      <c r="H73" s="561"/>
      <c r="I73" s="564"/>
      <c r="J73" s="564"/>
      <c r="K73" s="564"/>
      <c r="L73" s="564"/>
      <c r="M73" s="564"/>
      <c r="N73" s="564"/>
      <c r="O73" s="561"/>
      <c r="P73" s="564"/>
      <c r="Q73" s="564"/>
      <c r="R73" s="564"/>
      <c r="S73" s="565"/>
      <c r="T73" s="486"/>
      <c r="U73" s="585">
        <v>30</v>
      </c>
      <c r="V73" s="1194"/>
      <c r="W73" s="1195"/>
      <c r="X73" s="1195"/>
      <c r="Y73" s="1195"/>
      <c r="Z73" s="1195"/>
      <c r="AA73" s="1196"/>
      <c r="AB73" s="1212" t="s">
        <v>243</v>
      </c>
      <c r="AC73" s="1213"/>
      <c r="AD73" s="1197" t="s">
        <v>243</v>
      </c>
      <c r="AE73" s="1198"/>
      <c r="AF73" s="1198"/>
      <c r="AG73" s="1199"/>
      <c r="AH73" s="486"/>
      <c r="AI73" s="486"/>
      <c r="AJ73" s="486"/>
      <c r="AK73" s="486"/>
      <c r="AL73" s="486"/>
      <c r="AM73" s="486"/>
      <c r="AN73" s="486"/>
      <c r="AO73" s="486"/>
      <c r="AP73" s="486"/>
      <c r="AQ73" s="486"/>
      <c r="AR73" s="486"/>
      <c r="AS73" s="486"/>
    </row>
    <row r="74" spans="1:45" ht="18" customHeight="1" thickBot="1" x14ac:dyDescent="0.2">
      <c r="A74" s="486"/>
      <c r="B74" s="486"/>
      <c r="C74" s="1178"/>
      <c r="D74" s="573"/>
      <c r="E74" s="574"/>
      <c r="F74" s="575"/>
      <c r="G74" s="575"/>
      <c r="H74" s="575"/>
      <c r="I74" s="574"/>
      <c r="J74" s="574"/>
      <c r="K74" s="574"/>
      <c r="L74" s="574"/>
      <c r="M74" s="574"/>
      <c r="N74" s="574"/>
      <c r="O74" s="575"/>
      <c r="P74" s="574"/>
      <c r="Q74" s="574"/>
      <c r="R74" s="574"/>
      <c r="S74" s="576"/>
      <c r="T74" s="486"/>
      <c r="U74" s="584">
        <v>31</v>
      </c>
      <c r="V74" s="1194"/>
      <c r="W74" s="1195"/>
      <c r="X74" s="1195"/>
      <c r="Y74" s="1195"/>
      <c r="Z74" s="1195"/>
      <c r="AA74" s="1196"/>
      <c r="AB74" s="1212" t="s">
        <v>243</v>
      </c>
      <c r="AC74" s="1213"/>
      <c r="AD74" s="1197" t="s">
        <v>243</v>
      </c>
      <c r="AE74" s="1198"/>
      <c r="AF74" s="1198"/>
      <c r="AG74" s="1199"/>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194"/>
      <c r="W75" s="1195"/>
      <c r="X75" s="1195"/>
      <c r="Y75" s="1195"/>
      <c r="Z75" s="1195"/>
      <c r="AA75" s="1196"/>
      <c r="AB75" s="1212" t="s">
        <v>243</v>
      </c>
      <c r="AC75" s="1213"/>
      <c r="AD75" s="1197" t="s">
        <v>243</v>
      </c>
      <c r="AE75" s="1198"/>
      <c r="AF75" s="1198"/>
      <c r="AG75" s="1199"/>
      <c r="AH75" s="486"/>
      <c r="AI75" s="486"/>
      <c r="AJ75" s="486"/>
      <c r="AK75" s="486"/>
      <c r="AL75" s="486"/>
      <c r="AM75" s="486"/>
      <c r="AN75" s="486"/>
      <c r="AO75" s="486"/>
      <c r="AP75" s="486"/>
      <c r="AQ75" s="486"/>
      <c r="AR75" s="486"/>
      <c r="AS75" s="486"/>
    </row>
    <row r="76" spans="1:45" ht="18" customHeight="1" x14ac:dyDescent="0.15">
      <c r="A76" s="486"/>
      <c r="B76" s="486"/>
      <c r="C76" s="1179" t="s">
        <v>966</v>
      </c>
      <c r="D76" s="602" t="s">
        <v>976</v>
      </c>
      <c r="E76" s="533"/>
      <c r="F76" s="533"/>
      <c r="G76" s="533"/>
      <c r="H76" s="533"/>
      <c r="I76" s="534"/>
      <c r="J76" s="534"/>
      <c r="K76" s="534"/>
      <c r="L76" s="534"/>
      <c r="M76" s="534"/>
      <c r="N76" s="534"/>
      <c r="O76" s="533"/>
      <c r="P76" s="534"/>
      <c r="Q76" s="534"/>
      <c r="R76" s="534"/>
      <c r="S76" s="535"/>
      <c r="T76" s="486"/>
      <c r="U76" s="585">
        <v>33</v>
      </c>
      <c r="V76" s="1194"/>
      <c r="W76" s="1195"/>
      <c r="X76" s="1195"/>
      <c r="Y76" s="1195"/>
      <c r="Z76" s="1195"/>
      <c r="AA76" s="1196"/>
      <c r="AB76" s="1212" t="s">
        <v>243</v>
      </c>
      <c r="AC76" s="1213"/>
      <c r="AD76" s="1197" t="s">
        <v>243</v>
      </c>
      <c r="AE76" s="1198"/>
      <c r="AF76" s="1198"/>
      <c r="AG76" s="1199"/>
      <c r="AH76" s="486"/>
      <c r="AI76" s="486"/>
      <c r="AJ76" s="486"/>
      <c r="AK76" s="486"/>
      <c r="AL76" s="486"/>
      <c r="AM76" s="486"/>
      <c r="AN76" s="486"/>
      <c r="AO76" s="486"/>
      <c r="AP76" s="486"/>
      <c r="AQ76" s="486"/>
      <c r="AR76" s="486"/>
      <c r="AS76" s="486"/>
    </row>
    <row r="77" spans="1:45" ht="18" customHeight="1" x14ac:dyDescent="0.15">
      <c r="A77" s="486"/>
      <c r="B77" s="486"/>
      <c r="C77" s="1180"/>
      <c r="D77" s="603"/>
      <c r="E77" s="541"/>
      <c r="F77" s="541"/>
      <c r="G77" s="541"/>
      <c r="H77" s="541"/>
      <c r="I77" s="542"/>
      <c r="J77" s="542"/>
      <c r="K77" s="542"/>
      <c r="L77" s="542"/>
      <c r="M77" s="542"/>
      <c r="N77" s="542"/>
      <c r="O77" s="541"/>
      <c r="P77" s="542"/>
      <c r="Q77" s="542"/>
      <c r="R77" s="542"/>
      <c r="S77" s="543"/>
      <c r="T77" s="486"/>
      <c r="U77" s="584">
        <v>34</v>
      </c>
      <c r="V77" s="1194"/>
      <c r="W77" s="1195"/>
      <c r="X77" s="1195"/>
      <c r="Y77" s="1195"/>
      <c r="Z77" s="1195"/>
      <c r="AA77" s="1196"/>
      <c r="AB77" s="1212" t="s">
        <v>243</v>
      </c>
      <c r="AC77" s="1213"/>
      <c r="AD77" s="1197" t="s">
        <v>243</v>
      </c>
      <c r="AE77" s="1198"/>
      <c r="AF77" s="1198"/>
      <c r="AG77" s="1199"/>
      <c r="AH77" s="486"/>
      <c r="AI77" s="486"/>
      <c r="AJ77" s="486"/>
      <c r="AK77" s="486"/>
      <c r="AL77" s="486"/>
      <c r="AM77" s="486"/>
      <c r="AN77" s="486"/>
      <c r="AO77" s="486"/>
      <c r="AP77" s="486"/>
      <c r="AQ77" s="486"/>
      <c r="AR77" s="486"/>
      <c r="AS77" s="486"/>
    </row>
    <row r="78" spans="1:45" ht="18" customHeight="1" x14ac:dyDescent="0.15">
      <c r="A78" s="486"/>
      <c r="B78" s="486"/>
      <c r="C78" s="1177" t="s">
        <v>968</v>
      </c>
      <c r="D78" s="604" t="s">
        <v>977</v>
      </c>
      <c r="E78" s="546"/>
      <c r="F78" s="546"/>
      <c r="G78" s="546"/>
      <c r="H78" s="546"/>
      <c r="I78" s="605"/>
      <c r="J78" s="605"/>
      <c r="K78" s="605"/>
      <c r="L78" s="605"/>
      <c r="M78" s="605"/>
      <c r="N78" s="605"/>
      <c r="O78" s="546"/>
      <c r="P78" s="605"/>
      <c r="Q78" s="605"/>
      <c r="R78" s="605"/>
      <c r="S78" s="606"/>
      <c r="T78" s="486"/>
      <c r="U78" s="585">
        <v>35</v>
      </c>
      <c r="V78" s="1194"/>
      <c r="W78" s="1195"/>
      <c r="X78" s="1195"/>
      <c r="Y78" s="1195"/>
      <c r="Z78" s="1195"/>
      <c r="AA78" s="1196"/>
      <c r="AB78" s="1212" t="s">
        <v>243</v>
      </c>
      <c r="AC78" s="1213"/>
      <c r="AD78" s="1197" t="s">
        <v>243</v>
      </c>
      <c r="AE78" s="1198"/>
      <c r="AF78" s="1198"/>
      <c r="AG78" s="1199"/>
      <c r="AH78" s="486"/>
      <c r="AI78" s="486"/>
      <c r="AJ78" s="486"/>
      <c r="AK78" s="486"/>
      <c r="AL78" s="486"/>
      <c r="AM78" s="486"/>
      <c r="AN78" s="486"/>
      <c r="AO78" s="486"/>
      <c r="AP78" s="486"/>
      <c r="AQ78" s="486"/>
      <c r="AR78" s="486"/>
      <c r="AS78" s="486"/>
    </row>
    <row r="79" spans="1:45" ht="18" customHeight="1" x14ac:dyDescent="0.15">
      <c r="A79" s="486"/>
      <c r="B79" s="486"/>
      <c r="C79" s="1181"/>
      <c r="D79" s="607"/>
      <c r="E79" s="538"/>
      <c r="F79" s="538"/>
      <c r="G79" s="538"/>
      <c r="H79" s="538"/>
      <c r="I79" s="537"/>
      <c r="J79" s="537"/>
      <c r="K79" s="537"/>
      <c r="L79" s="537"/>
      <c r="M79" s="537"/>
      <c r="N79" s="537"/>
      <c r="O79" s="538"/>
      <c r="P79" s="537"/>
      <c r="Q79" s="537"/>
      <c r="R79" s="537"/>
      <c r="S79" s="539"/>
      <c r="T79" s="486"/>
      <c r="U79" s="585">
        <v>36</v>
      </c>
      <c r="V79" s="1194"/>
      <c r="W79" s="1195"/>
      <c r="X79" s="1195"/>
      <c r="Y79" s="1195"/>
      <c r="Z79" s="1195"/>
      <c r="AA79" s="1196"/>
      <c r="AB79" s="1212" t="s">
        <v>243</v>
      </c>
      <c r="AC79" s="1213"/>
      <c r="AD79" s="1197" t="s">
        <v>243</v>
      </c>
      <c r="AE79" s="1198"/>
      <c r="AF79" s="1198"/>
      <c r="AG79" s="1199"/>
      <c r="AH79" s="486"/>
      <c r="AI79" s="486"/>
      <c r="AJ79" s="486"/>
      <c r="AK79" s="486"/>
      <c r="AL79" s="486"/>
      <c r="AM79" s="486"/>
      <c r="AN79" s="486"/>
      <c r="AO79" s="486"/>
      <c r="AP79" s="486"/>
      <c r="AQ79" s="486"/>
      <c r="AR79" s="486"/>
      <c r="AS79" s="486"/>
    </row>
    <row r="80" spans="1:45" ht="18" customHeight="1" x14ac:dyDescent="0.15">
      <c r="A80" s="486"/>
      <c r="B80" s="486"/>
      <c r="C80" s="1177" t="s">
        <v>970</v>
      </c>
      <c r="D80" s="608" t="s">
        <v>978</v>
      </c>
      <c r="E80" s="541"/>
      <c r="F80" s="541"/>
      <c r="G80" s="541"/>
      <c r="H80" s="541"/>
      <c r="I80" s="542"/>
      <c r="J80" s="542"/>
      <c r="K80" s="542"/>
      <c r="L80" s="542"/>
      <c r="M80" s="542"/>
      <c r="N80" s="542"/>
      <c r="O80" s="541"/>
      <c r="P80" s="542"/>
      <c r="Q80" s="542"/>
      <c r="R80" s="542"/>
      <c r="S80" s="543"/>
      <c r="T80" s="486"/>
      <c r="U80" s="584">
        <v>37</v>
      </c>
      <c r="V80" s="1194"/>
      <c r="W80" s="1195"/>
      <c r="X80" s="1195"/>
      <c r="Y80" s="1195"/>
      <c r="Z80" s="1195"/>
      <c r="AA80" s="1196"/>
      <c r="AB80" s="1212" t="s">
        <v>243</v>
      </c>
      <c r="AC80" s="1213"/>
      <c r="AD80" s="1197" t="s">
        <v>243</v>
      </c>
      <c r="AE80" s="1198"/>
      <c r="AF80" s="1198"/>
      <c r="AG80" s="1199"/>
      <c r="AH80" s="486"/>
      <c r="AI80" s="486"/>
      <c r="AJ80" s="486"/>
      <c r="AK80" s="486"/>
      <c r="AL80" s="486"/>
      <c r="AM80" s="486"/>
      <c r="AN80" s="486"/>
      <c r="AO80" s="486"/>
      <c r="AP80" s="486"/>
      <c r="AQ80" s="486"/>
      <c r="AR80" s="486"/>
      <c r="AS80" s="486"/>
    </row>
    <row r="81" spans="1:45" ht="18" customHeight="1" x14ac:dyDescent="0.15">
      <c r="A81" s="486"/>
      <c r="B81" s="486"/>
      <c r="C81" s="1180"/>
      <c r="D81" s="603"/>
      <c r="E81" s="541"/>
      <c r="F81" s="541"/>
      <c r="G81" s="541"/>
      <c r="H81" s="541"/>
      <c r="I81" s="542"/>
      <c r="J81" s="542"/>
      <c r="K81" s="542"/>
      <c r="L81" s="542"/>
      <c r="M81" s="542"/>
      <c r="N81" s="542"/>
      <c r="O81" s="541"/>
      <c r="P81" s="542"/>
      <c r="Q81" s="542"/>
      <c r="R81" s="542"/>
      <c r="S81" s="543"/>
      <c r="T81" s="486"/>
      <c r="U81" s="585">
        <v>38</v>
      </c>
      <c r="V81" s="1194"/>
      <c r="W81" s="1195"/>
      <c r="X81" s="1195"/>
      <c r="Y81" s="1195"/>
      <c r="Z81" s="1195"/>
      <c r="AA81" s="1196"/>
      <c r="AB81" s="1212" t="s">
        <v>243</v>
      </c>
      <c r="AC81" s="1213"/>
      <c r="AD81" s="1197" t="s">
        <v>243</v>
      </c>
      <c r="AE81" s="1198"/>
      <c r="AF81" s="1198"/>
      <c r="AG81" s="1199"/>
      <c r="AH81" s="486"/>
      <c r="AI81" s="486"/>
      <c r="AJ81" s="486"/>
      <c r="AK81" s="486"/>
      <c r="AL81" s="486"/>
      <c r="AM81" s="486"/>
      <c r="AN81" s="486"/>
      <c r="AO81" s="486"/>
      <c r="AP81" s="486"/>
      <c r="AQ81" s="486"/>
      <c r="AR81" s="486"/>
      <c r="AS81" s="486"/>
    </row>
    <row r="82" spans="1:45" ht="18" customHeight="1" x14ac:dyDescent="0.15">
      <c r="A82" s="486"/>
      <c r="B82" s="486"/>
      <c r="C82" s="1181" t="s">
        <v>972</v>
      </c>
      <c r="D82" s="604" t="s">
        <v>979</v>
      </c>
      <c r="E82" s="546"/>
      <c r="F82" s="546"/>
      <c r="G82" s="546"/>
      <c r="H82" s="546"/>
      <c r="I82" s="605"/>
      <c r="J82" s="605"/>
      <c r="K82" s="605"/>
      <c r="L82" s="605"/>
      <c r="M82" s="605"/>
      <c r="N82" s="605"/>
      <c r="O82" s="546"/>
      <c r="P82" s="605"/>
      <c r="Q82" s="605"/>
      <c r="R82" s="605"/>
      <c r="S82" s="606"/>
      <c r="T82" s="486"/>
      <c r="U82" s="585">
        <v>39</v>
      </c>
      <c r="V82" s="1194"/>
      <c r="W82" s="1195"/>
      <c r="X82" s="1195"/>
      <c r="Y82" s="1195"/>
      <c r="Z82" s="1195"/>
      <c r="AA82" s="1196"/>
      <c r="AB82" s="1212" t="s">
        <v>243</v>
      </c>
      <c r="AC82" s="1213"/>
      <c r="AD82" s="1197" t="s">
        <v>243</v>
      </c>
      <c r="AE82" s="1198"/>
      <c r="AF82" s="1198"/>
      <c r="AG82" s="1199"/>
      <c r="AH82" s="486"/>
      <c r="AI82" s="486"/>
      <c r="AJ82" s="486"/>
      <c r="AK82" s="486"/>
      <c r="AL82" s="486"/>
      <c r="AM82" s="486"/>
      <c r="AN82" s="486"/>
      <c r="AO82" s="486"/>
      <c r="AP82" s="486"/>
      <c r="AQ82" s="486"/>
      <c r="AR82" s="486"/>
      <c r="AS82" s="486"/>
    </row>
    <row r="83" spans="1:45" ht="18" customHeight="1" x14ac:dyDescent="0.15">
      <c r="A83" s="486"/>
      <c r="B83" s="486"/>
      <c r="C83" s="1180"/>
      <c r="D83" s="607"/>
      <c r="E83" s="538"/>
      <c r="F83" s="538"/>
      <c r="G83" s="538"/>
      <c r="H83" s="538"/>
      <c r="I83" s="537"/>
      <c r="J83" s="537"/>
      <c r="K83" s="537"/>
      <c r="L83" s="537"/>
      <c r="M83" s="537"/>
      <c r="N83" s="537"/>
      <c r="O83" s="538"/>
      <c r="P83" s="537"/>
      <c r="Q83" s="537"/>
      <c r="R83" s="537"/>
      <c r="S83" s="539"/>
      <c r="T83" s="486"/>
      <c r="U83" s="584">
        <v>40</v>
      </c>
      <c r="V83" s="1194"/>
      <c r="W83" s="1195"/>
      <c r="X83" s="1195"/>
      <c r="Y83" s="1195"/>
      <c r="Z83" s="1195"/>
      <c r="AA83" s="1196"/>
      <c r="AB83" s="1212" t="s">
        <v>243</v>
      </c>
      <c r="AC83" s="1213"/>
      <c r="AD83" s="1197" t="s">
        <v>243</v>
      </c>
      <c r="AE83" s="1198"/>
      <c r="AF83" s="1198"/>
      <c r="AG83" s="1199"/>
      <c r="AH83" s="486"/>
      <c r="AI83" s="486"/>
      <c r="AJ83" s="486"/>
      <c r="AK83" s="486"/>
      <c r="AL83" s="486"/>
      <c r="AM83" s="486"/>
      <c r="AN83" s="486"/>
      <c r="AO83" s="486"/>
      <c r="AP83" s="486"/>
      <c r="AQ83" s="486"/>
      <c r="AR83" s="486"/>
      <c r="AS83" s="486"/>
    </row>
    <row r="84" spans="1:45" ht="18" customHeight="1" x14ac:dyDescent="0.15">
      <c r="A84" s="486"/>
      <c r="B84" s="486"/>
      <c r="C84" s="1177" t="s">
        <v>974</v>
      </c>
      <c r="D84" s="608" t="s">
        <v>980</v>
      </c>
      <c r="E84" s="541"/>
      <c r="F84" s="541"/>
      <c r="G84" s="541"/>
      <c r="H84" s="541"/>
      <c r="I84" s="542"/>
      <c r="J84" s="542"/>
      <c r="K84" s="542"/>
      <c r="L84" s="542"/>
      <c r="M84" s="542"/>
      <c r="N84" s="542"/>
      <c r="O84" s="541"/>
      <c r="P84" s="542"/>
      <c r="Q84" s="542"/>
      <c r="R84" s="542"/>
      <c r="S84" s="543"/>
      <c r="T84" s="486"/>
      <c r="U84" s="585">
        <v>41</v>
      </c>
      <c r="V84" s="1194"/>
      <c r="W84" s="1195"/>
      <c r="X84" s="1195"/>
      <c r="Y84" s="1195"/>
      <c r="Z84" s="1195"/>
      <c r="AA84" s="1196"/>
      <c r="AB84" s="1212" t="s">
        <v>243</v>
      </c>
      <c r="AC84" s="1213"/>
      <c r="AD84" s="1197" t="s">
        <v>243</v>
      </c>
      <c r="AE84" s="1198"/>
      <c r="AF84" s="1198"/>
      <c r="AG84" s="1199"/>
      <c r="AH84" s="486"/>
      <c r="AI84" s="486"/>
      <c r="AJ84" s="486"/>
      <c r="AK84" s="486"/>
      <c r="AL84" s="486"/>
      <c r="AM84" s="486"/>
      <c r="AN84" s="486"/>
      <c r="AO84" s="486"/>
      <c r="AP84" s="486"/>
      <c r="AQ84" s="486"/>
      <c r="AR84" s="486"/>
      <c r="AS84" s="486"/>
    </row>
    <row r="85" spans="1:45" ht="18" customHeight="1" thickBot="1" x14ac:dyDescent="0.2">
      <c r="A85" s="486"/>
      <c r="B85" s="486"/>
      <c r="C85" s="1178"/>
      <c r="D85" s="609"/>
      <c r="E85" s="553"/>
      <c r="F85" s="553"/>
      <c r="G85" s="553"/>
      <c r="H85" s="553"/>
      <c r="I85" s="610"/>
      <c r="J85" s="610"/>
      <c r="K85" s="610"/>
      <c r="L85" s="610"/>
      <c r="M85" s="610"/>
      <c r="N85" s="610"/>
      <c r="O85" s="553"/>
      <c r="P85" s="610"/>
      <c r="Q85" s="610"/>
      <c r="R85" s="610"/>
      <c r="S85" s="611"/>
      <c r="T85" s="486"/>
      <c r="U85" s="585">
        <v>42</v>
      </c>
      <c r="V85" s="1194"/>
      <c r="W85" s="1195"/>
      <c r="X85" s="1195"/>
      <c r="Y85" s="1195"/>
      <c r="Z85" s="1195"/>
      <c r="AA85" s="1196"/>
      <c r="AB85" s="1212" t="s">
        <v>243</v>
      </c>
      <c r="AC85" s="1213"/>
      <c r="AD85" s="1197" t="s">
        <v>243</v>
      </c>
      <c r="AE85" s="1198"/>
      <c r="AF85" s="1198"/>
      <c r="AG85" s="1199"/>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194"/>
      <c r="W86" s="1195"/>
      <c r="X86" s="1195"/>
      <c r="Y86" s="1195"/>
      <c r="Z86" s="1195"/>
      <c r="AA86" s="1196"/>
      <c r="AB86" s="1212" t="s">
        <v>243</v>
      </c>
      <c r="AC86" s="1213"/>
      <c r="AD86" s="1197" t="s">
        <v>243</v>
      </c>
      <c r="AE86" s="1198"/>
      <c r="AF86" s="1198"/>
      <c r="AG86" s="1199"/>
      <c r="AH86" s="486"/>
      <c r="AI86" s="486"/>
      <c r="AJ86" s="486"/>
      <c r="AK86" s="486"/>
      <c r="AL86" s="486"/>
      <c r="AM86" s="486"/>
      <c r="AN86" s="486"/>
      <c r="AO86" s="486"/>
      <c r="AP86" s="486"/>
      <c r="AQ86" s="486"/>
      <c r="AR86" s="486"/>
      <c r="AS86" s="486"/>
    </row>
    <row r="87" spans="1:45" ht="18" customHeight="1" x14ac:dyDescent="0.15">
      <c r="A87" s="486"/>
      <c r="B87" s="486"/>
      <c r="C87" s="1179" t="s">
        <v>981</v>
      </c>
      <c r="D87" s="578" t="s">
        <v>982</v>
      </c>
      <c r="E87" s="555"/>
      <c r="F87" s="555"/>
      <c r="G87" s="555"/>
      <c r="H87" s="555"/>
      <c r="I87" s="579"/>
      <c r="J87" s="579"/>
      <c r="K87" s="579"/>
      <c r="L87" s="579"/>
      <c r="M87" s="579"/>
      <c r="N87" s="579"/>
      <c r="O87" s="555"/>
      <c r="P87" s="579"/>
      <c r="Q87" s="579"/>
      <c r="R87" s="579"/>
      <c r="S87" s="580"/>
      <c r="T87" s="486"/>
      <c r="U87" s="585">
        <v>44</v>
      </c>
      <c r="V87" s="1194"/>
      <c r="W87" s="1195"/>
      <c r="X87" s="1195"/>
      <c r="Y87" s="1195"/>
      <c r="Z87" s="1195"/>
      <c r="AA87" s="1196"/>
      <c r="AB87" s="1212" t="s">
        <v>243</v>
      </c>
      <c r="AC87" s="1213"/>
      <c r="AD87" s="1197" t="s">
        <v>243</v>
      </c>
      <c r="AE87" s="1198"/>
      <c r="AF87" s="1198"/>
      <c r="AG87" s="1199"/>
      <c r="AH87" s="486"/>
      <c r="AI87" s="486"/>
      <c r="AJ87" s="486"/>
      <c r="AK87" s="486"/>
      <c r="AL87" s="486"/>
      <c r="AM87" s="486"/>
      <c r="AN87" s="486"/>
      <c r="AO87" s="486"/>
      <c r="AP87" s="486"/>
      <c r="AQ87" s="486"/>
      <c r="AR87" s="486"/>
      <c r="AS87" s="486"/>
    </row>
    <row r="88" spans="1:45" ht="18" customHeight="1" x14ac:dyDescent="0.15">
      <c r="A88" s="486"/>
      <c r="B88" s="486"/>
      <c r="C88" s="1180"/>
      <c r="D88" s="536"/>
      <c r="E88" s="571"/>
      <c r="F88" s="559"/>
      <c r="G88" s="559"/>
      <c r="H88" s="559"/>
      <c r="I88" s="571"/>
      <c r="J88" s="571"/>
      <c r="K88" s="571"/>
      <c r="L88" s="571"/>
      <c r="M88" s="571"/>
      <c r="N88" s="571"/>
      <c r="O88" s="559"/>
      <c r="P88" s="571"/>
      <c r="Q88" s="571"/>
      <c r="R88" s="571"/>
      <c r="S88" s="572"/>
      <c r="T88" s="486"/>
      <c r="U88" s="585">
        <v>45</v>
      </c>
      <c r="V88" s="1194"/>
      <c r="W88" s="1195"/>
      <c r="X88" s="1195"/>
      <c r="Y88" s="1195"/>
      <c r="Z88" s="1195"/>
      <c r="AA88" s="1196"/>
      <c r="AB88" s="1212" t="s">
        <v>243</v>
      </c>
      <c r="AC88" s="1213"/>
      <c r="AD88" s="1197" t="s">
        <v>243</v>
      </c>
      <c r="AE88" s="1198"/>
      <c r="AF88" s="1198"/>
      <c r="AG88" s="1199"/>
      <c r="AH88" s="486"/>
      <c r="AI88" s="486"/>
      <c r="AJ88" s="486"/>
      <c r="AK88" s="486"/>
      <c r="AL88" s="486"/>
      <c r="AM88" s="486"/>
      <c r="AN88" s="486"/>
      <c r="AO88" s="486"/>
      <c r="AP88" s="486"/>
      <c r="AQ88" s="486"/>
      <c r="AR88" s="486"/>
      <c r="AS88" s="486"/>
    </row>
    <row r="89" spans="1:45" ht="18" customHeight="1" x14ac:dyDescent="0.15">
      <c r="A89" s="486"/>
      <c r="B89" s="486"/>
      <c r="C89" s="1177" t="s">
        <v>983</v>
      </c>
      <c r="D89" s="540" t="s">
        <v>984</v>
      </c>
      <c r="E89" s="561"/>
      <c r="F89" s="561"/>
      <c r="G89" s="561"/>
      <c r="H89" s="561"/>
      <c r="I89" s="564"/>
      <c r="J89" s="564"/>
      <c r="K89" s="564"/>
      <c r="L89" s="564"/>
      <c r="M89" s="564"/>
      <c r="N89" s="564"/>
      <c r="O89" s="561"/>
      <c r="P89" s="564"/>
      <c r="Q89" s="564"/>
      <c r="R89" s="564"/>
      <c r="S89" s="565"/>
      <c r="T89" s="486"/>
      <c r="U89" s="584">
        <v>46</v>
      </c>
      <c r="V89" s="1194"/>
      <c r="W89" s="1195"/>
      <c r="X89" s="1195"/>
      <c r="Y89" s="1195"/>
      <c r="Z89" s="1195"/>
      <c r="AA89" s="1196"/>
      <c r="AB89" s="1212" t="s">
        <v>243</v>
      </c>
      <c r="AC89" s="1213"/>
      <c r="AD89" s="1197" t="s">
        <v>243</v>
      </c>
      <c r="AE89" s="1198"/>
      <c r="AF89" s="1198"/>
      <c r="AG89" s="1199"/>
      <c r="AH89" s="486"/>
      <c r="AI89" s="486"/>
      <c r="AJ89" s="486"/>
      <c r="AK89" s="486"/>
      <c r="AL89" s="486"/>
      <c r="AM89" s="486"/>
      <c r="AN89" s="486"/>
      <c r="AO89" s="486"/>
      <c r="AP89" s="486"/>
      <c r="AQ89" s="486"/>
      <c r="AR89" s="486"/>
      <c r="AS89" s="486"/>
    </row>
    <row r="90" spans="1:45" ht="18" customHeight="1" x14ac:dyDescent="0.15">
      <c r="A90" s="486"/>
      <c r="B90" s="486"/>
      <c r="C90" s="1180"/>
      <c r="D90" s="544"/>
      <c r="E90" s="564"/>
      <c r="F90" s="561"/>
      <c r="G90" s="561"/>
      <c r="H90" s="561"/>
      <c r="I90" s="564"/>
      <c r="J90" s="564"/>
      <c r="K90" s="564"/>
      <c r="L90" s="564"/>
      <c r="M90" s="564"/>
      <c r="N90" s="564"/>
      <c r="O90" s="561"/>
      <c r="P90" s="564"/>
      <c r="Q90" s="564"/>
      <c r="R90" s="564"/>
      <c r="S90" s="565"/>
      <c r="T90" s="486"/>
      <c r="U90" s="585">
        <v>47</v>
      </c>
      <c r="V90" s="1194"/>
      <c r="W90" s="1195"/>
      <c r="X90" s="1195"/>
      <c r="Y90" s="1195"/>
      <c r="Z90" s="1195"/>
      <c r="AA90" s="1196"/>
      <c r="AB90" s="1212" t="s">
        <v>243</v>
      </c>
      <c r="AC90" s="1213"/>
      <c r="AD90" s="1197" t="s">
        <v>243</v>
      </c>
      <c r="AE90" s="1198"/>
      <c r="AF90" s="1198"/>
      <c r="AG90" s="1199"/>
      <c r="AH90" s="486"/>
      <c r="AI90" s="486"/>
      <c r="AJ90" s="486"/>
      <c r="AK90" s="486"/>
      <c r="AL90" s="486"/>
      <c r="AM90" s="486"/>
      <c r="AN90" s="486"/>
      <c r="AO90" s="486"/>
      <c r="AP90" s="486"/>
      <c r="AQ90" s="486"/>
      <c r="AR90" s="486"/>
      <c r="AS90" s="486"/>
    </row>
    <row r="91" spans="1:45" ht="18" customHeight="1" x14ac:dyDescent="0.15">
      <c r="A91" s="486"/>
      <c r="B91" s="486"/>
      <c r="C91" s="1177" t="s">
        <v>848</v>
      </c>
      <c r="D91" s="545" t="s">
        <v>985</v>
      </c>
      <c r="E91" s="567"/>
      <c r="F91" s="567"/>
      <c r="G91" s="567"/>
      <c r="H91" s="567"/>
      <c r="I91" s="568"/>
      <c r="J91" s="568"/>
      <c r="K91" s="568"/>
      <c r="L91" s="568"/>
      <c r="M91" s="568"/>
      <c r="N91" s="568"/>
      <c r="O91" s="567"/>
      <c r="P91" s="568"/>
      <c r="Q91" s="568"/>
      <c r="R91" s="568"/>
      <c r="S91" s="569"/>
      <c r="T91" s="486"/>
      <c r="U91" s="585">
        <v>48</v>
      </c>
      <c r="V91" s="1194"/>
      <c r="W91" s="1195"/>
      <c r="X91" s="1195"/>
      <c r="Y91" s="1195"/>
      <c r="Z91" s="1195"/>
      <c r="AA91" s="1196"/>
      <c r="AB91" s="1212" t="s">
        <v>243</v>
      </c>
      <c r="AC91" s="1213"/>
      <c r="AD91" s="1197" t="s">
        <v>243</v>
      </c>
      <c r="AE91" s="1198"/>
      <c r="AF91" s="1198"/>
      <c r="AG91" s="1199"/>
      <c r="AH91" s="486"/>
      <c r="AI91" s="486"/>
      <c r="AJ91" s="486"/>
      <c r="AK91" s="486"/>
      <c r="AL91" s="486"/>
      <c r="AM91" s="486"/>
      <c r="AN91" s="486"/>
      <c r="AO91" s="486"/>
      <c r="AP91" s="486"/>
      <c r="AQ91" s="486"/>
      <c r="AR91" s="486"/>
      <c r="AS91" s="486"/>
    </row>
    <row r="92" spans="1:45" ht="18" customHeight="1" x14ac:dyDescent="0.15">
      <c r="A92" s="486"/>
      <c r="B92" s="486"/>
      <c r="C92" s="1180"/>
      <c r="D92" s="536"/>
      <c r="E92" s="571"/>
      <c r="F92" s="559"/>
      <c r="G92" s="559"/>
      <c r="H92" s="559"/>
      <c r="I92" s="571"/>
      <c r="J92" s="571"/>
      <c r="K92" s="571"/>
      <c r="L92" s="571"/>
      <c r="M92" s="571"/>
      <c r="N92" s="571"/>
      <c r="O92" s="559"/>
      <c r="P92" s="571"/>
      <c r="Q92" s="571"/>
      <c r="R92" s="571"/>
      <c r="S92" s="572"/>
      <c r="T92" s="486"/>
      <c r="U92" s="584">
        <v>49</v>
      </c>
      <c r="V92" s="1194"/>
      <c r="W92" s="1195"/>
      <c r="X92" s="1195"/>
      <c r="Y92" s="1195"/>
      <c r="Z92" s="1195"/>
      <c r="AA92" s="1196"/>
      <c r="AB92" s="1212" t="s">
        <v>243</v>
      </c>
      <c r="AC92" s="1213"/>
      <c r="AD92" s="1197" t="s">
        <v>243</v>
      </c>
      <c r="AE92" s="1198"/>
      <c r="AF92" s="1198"/>
      <c r="AG92" s="1199"/>
      <c r="AH92" s="486"/>
      <c r="AI92" s="486"/>
      <c r="AJ92" s="486"/>
      <c r="AK92" s="486"/>
      <c r="AL92" s="486"/>
      <c r="AM92" s="486"/>
      <c r="AN92" s="486"/>
      <c r="AO92" s="486"/>
      <c r="AP92" s="486"/>
      <c r="AQ92" s="486"/>
      <c r="AR92" s="486"/>
      <c r="AS92" s="486"/>
    </row>
    <row r="93" spans="1:45" ht="18" customHeight="1" x14ac:dyDescent="0.15">
      <c r="A93" s="486"/>
      <c r="B93" s="486"/>
      <c r="C93" s="1177" t="s">
        <v>986</v>
      </c>
      <c r="D93" s="540" t="s">
        <v>987</v>
      </c>
      <c r="E93" s="561"/>
      <c r="F93" s="561"/>
      <c r="G93" s="561"/>
      <c r="H93" s="561"/>
      <c r="I93" s="564"/>
      <c r="J93" s="564"/>
      <c r="K93" s="564"/>
      <c r="L93" s="564"/>
      <c r="M93" s="564"/>
      <c r="N93" s="564"/>
      <c r="O93" s="561"/>
      <c r="P93" s="564"/>
      <c r="Q93" s="564"/>
      <c r="R93" s="564"/>
      <c r="S93" s="565"/>
      <c r="T93" s="486"/>
      <c r="U93" s="585">
        <v>50</v>
      </c>
      <c r="V93" s="1194"/>
      <c r="W93" s="1195"/>
      <c r="X93" s="1195"/>
      <c r="Y93" s="1195"/>
      <c r="Z93" s="1195"/>
      <c r="AA93" s="1196"/>
      <c r="AB93" s="1212" t="s">
        <v>243</v>
      </c>
      <c r="AC93" s="1213"/>
      <c r="AD93" s="1197" t="s">
        <v>243</v>
      </c>
      <c r="AE93" s="1198"/>
      <c r="AF93" s="1198"/>
      <c r="AG93" s="1199"/>
      <c r="AH93" s="486"/>
      <c r="AI93" s="486"/>
      <c r="AJ93" s="486"/>
      <c r="AK93" s="486"/>
      <c r="AL93" s="486"/>
      <c r="AM93" s="486"/>
      <c r="AN93" s="486"/>
      <c r="AO93" s="486"/>
      <c r="AP93" s="486"/>
      <c r="AQ93" s="486"/>
      <c r="AR93" s="486"/>
      <c r="AS93" s="486"/>
    </row>
    <row r="94" spans="1:45" ht="18" customHeight="1" x14ac:dyDescent="0.15">
      <c r="A94" s="486"/>
      <c r="B94" s="486"/>
      <c r="C94" s="1180"/>
      <c r="D94" s="544"/>
      <c r="E94" s="564"/>
      <c r="F94" s="561"/>
      <c r="G94" s="561"/>
      <c r="H94" s="561"/>
      <c r="I94" s="564"/>
      <c r="J94" s="564"/>
      <c r="K94" s="564"/>
      <c r="L94" s="564"/>
      <c r="M94" s="564"/>
      <c r="N94" s="564"/>
      <c r="O94" s="561"/>
      <c r="P94" s="564"/>
      <c r="Q94" s="564"/>
      <c r="R94" s="564"/>
      <c r="S94" s="565"/>
      <c r="T94" s="486"/>
      <c r="U94" s="585">
        <v>51</v>
      </c>
      <c r="V94" s="1194"/>
      <c r="W94" s="1195"/>
      <c r="X94" s="1195"/>
      <c r="Y94" s="1195"/>
      <c r="Z94" s="1195"/>
      <c r="AA94" s="1196"/>
      <c r="AB94" s="1212" t="s">
        <v>243</v>
      </c>
      <c r="AC94" s="1213"/>
      <c r="AD94" s="1197" t="s">
        <v>243</v>
      </c>
      <c r="AE94" s="1198"/>
      <c r="AF94" s="1198"/>
      <c r="AG94" s="1199"/>
      <c r="AH94" s="486"/>
      <c r="AI94" s="486"/>
      <c r="AJ94" s="486"/>
      <c r="AK94" s="486"/>
      <c r="AL94" s="486"/>
      <c r="AM94" s="486"/>
      <c r="AN94" s="486"/>
      <c r="AO94" s="486"/>
      <c r="AP94" s="486"/>
      <c r="AQ94" s="486"/>
      <c r="AR94" s="486"/>
      <c r="AS94" s="486"/>
    </row>
    <row r="95" spans="1:45" ht="18" customHeight="1" x14ac:dyDescent="0.15">
      <c r="A95" s="486"/>
      <c r="B95" s="486"/>
      <c r="C95" s="1177" t="s">
        <v>988</v>
      </c>
      <c r="D95" s="545" t="s">
        <v>989</v>
      </c>
      <c r="E95" s="567"/>
      <c r="F95" s="567"/>
      <c r="G95" s="567"/>
      <c r="H95" s="567"/>
      <c r="I95" s="568"/>
      <c r="J95" s="568"/>
      <c r="K95" s="568"/>
      <c r="L95" s="568"/>
      <c r="M95" s="568"/>
      <c r="N95" s="568"/>
      <c r="O95" s="567"/>
      <c r="P95" s="568"/>
      <c r="Q95" s="568"/>
      <c r="R95" s="568"/>
      <c r="S95" s="569"/>
      <c r="T95" s="486"/>
      <c r="U95" s="584">
        <v>52</v>
      </c>
      <c r="V95" s="1194"/>
      <c r="W95" s="1195"/>
      <c r="X95" s="1195"/>
      <c r="Y95" s="1195"/>
      <c r="Z95" s="1195"/>
      <c r="AA95" s="1196"/>
      <c r="AB95" s="1212" t="s">
        <v>243</v>
      </c>
      <c r="AC95" s="1213"/>
      <c r="AD95" s="1197" t="s">
        <v>243</v>
      </c>
      <c r="AE95" s="1198"/>
      <c r="AF95" s="1198"/>
      <c r="AG95" s="1199"/>
      <c r="AH95" s="486"/>
      <c r="AI95" s="486"/>
      <c r="AJ95" s="486"/>
      <c r="AK95" s="486"/>
      <c r="AL95" s="486"/>
      <c r="AM95" s="486"/>
      <c r="AN95" s="486"/>
      <c r="AO95" s="486"/>
      <c r="AP95" s="486"/>
      <c r="AQ95" s="486"/>
      <c r="AR95" s="486"/>
      <c r="AS95" s="486"/>
    </row>
    <row r="96" spans="1:45" ht="18" customHeight="1" thickBot="1" x14ac:dyDescent="0.2">
      <c r="A96" s="486"/>
      <c r="B96" s="486"/>
      <c r="C96" s="1178"/>
      <c r="D96" s="581"/>
      <c r="E96" s="574"/>
      <c r="F96" s="575"/>
      <c r="G96" s="575"/>
      <c r="H96" s="575"/>
      <c r="I96" s="574"/>
      <c r="J96" s="574"/>
      <c r="K96" s="574"/>
      <c r="L96" s="574"/>
      <c r="M96" s="574"/>
      <c r="N96" s="574"/>
      <c r="O96" s="575"/>
      <c r="P96" s="574"/>
      <c r="Q96" s="574"/>
      <c r="R96" s="574"/>
      <c r="S96" s="576"/>
      <c r="T96" s="527"/>
      <c r="U96" s="585">
        <v>53</v>
      </c>
      <c r="V96" s="1194"/>
      <c r="W96" s="1195"/>
      <c r="X96" s="1195"/>
      <c r="Y96" s="1195"/>
      <c r="Z96" s="1195"/>
      <c r="AA96" s="1196"/>
      <c r="AB96" s="1212" t="s">
        <v>243</v>
      </c>
      <c r="AC96" s="1213"/>
      <c r="AD96" s="1197" t="s">
        <v>243</v>
      </c>
      <c r="AE96" s="1198"/>
      <c r="AF96" s="1198"/>
      <c r="AG96" s="1199"/>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194"/>
      <c r="W97" s="1195"/>
      <c r="X97" s="1195"/>
      <c r="Y97" s="1195"/>
      <c r="Z97" s="1195"/>
      <c r="AA97" s="1196"/>
      <c r="AB97" s="1212" t="s">
        <v>243</v>
      </c>
      <c r="AC97" s="1213"/>
      <c r="AD97" s="1197" t="s">
        <v>243</v>
      </c>
      <c r="AE97" s="1198"/>
      <c r="AF97" s="1198"/>
      <c r="AG97" s="1199"/>
      <c r="AH97" s="486"/>
      <c r="AI97" s="486"/>
      <c r="AJ97" s="486"/>
      <c r="AK97" s="486"/>
      <c r="AL97" s="486"/>
      <c r="AM97" s="486"/>
      <c r="AN97" s="486"/>
      <c r="AO97" s="486"/>
      <c r="AP97" s="486"/>
      <c r="AQ97" s="486"/>
      <c r="AR97" s="486"/>
      <c r="AS97" s="486"/>
    </row>
    <row r="98" spans="1:45" ht="18" customHeight="1" x14ac:dyDescent="0.15">
      <c r="A98" s="486"/>
      <c r="B98" s="486"/>
      <c r="C98" s="1179" t="s">
        <v>990</v>
      </c>
      <c r="D98" s="532" t="s">
        <v>991</v>
      </c>
      <c r="E98" s="555"/>
      <c r="F98" s="555"/>
      <c r="G98" s="555"/>
      <c r="H98" s="555"/>
      <c r="I98" s="579"/>
      <c r="J98" s="579"/>
      <c r="K98" s="579"/>
      <c r="L98" s="579"/>
      <c r="M98" s="579"/>
      <c r="N98" s="579"/>
      <c r="O98" s="555"/>
      <c r="P98" s="579"/>
      <c r="Q98" s="579"/>
      <c r="R98" s="579"/>
      <c r="S98" s="580"/>
      <c r="T98" s="486"/>
      <c r="U98" s="584">
        <v>55</v>
      </c>
      <c r="V98" s="1194"/>
      <c r="W98" s="1195"/>
      <c r="X98" s="1195"/>
      <c r="Y98" s="1195"/>
      <c r="Z98" s="1195"/>
      <c r="AA98" s="1196"/>
      <c r="AB98" s="1212" t="s">
        <v>243</v>
      </c>
      <c r="AC98" s="1213"/>
      <c r="AD98" s="1197" t="s">
        <v>243</v>
      </c>
      <c r="AE98" s="1198"/>
      <c r="AF98" s="1198"/>
      <c r="AG98" s="1199"/>
      <c r="AH98" s="486"/>
      <c r="AI98" s="486"/>
      <c r="AJ98" s="486"/>
      <c r="AK98" s="486"/>
      <c r="AL98" s="486"/>
      <c r="AM98" s="486"/>
      <c r="AN98" s="486"/>
      <c r="AO98" s="486"/>
      <c r="AP98" s="486"/>
      <c r="AQ98" s="486"/>
      <c r="AR98" s="486"/>
      <c r="AS98" s="486"/>
    </row>
    <row r="99" spans="1:45" ht="18" customHeight="1" x14ac:dyDescent="0.15">
      <c r="A99" s="486"/>
      <c r="B99" s="486"/>
      <c r="C99" s="1180"/>
      <c r="D99" s="544"/>
      <c r="E99" s="561"/>
      <c r="F99" s="561"/>
      <c r="G99" s="561"/>
      <c r="H99" s="561"/>
      <c r="I99" s="564"/>
      <c r="J99" s="564"/>
      <c r="K99" s="564"/>
      <c r="L99" s="564"/>
      <c r="M99" s="564"/>
      <c r="N99" s="564"/>
      <c r="O99" s="561"/>
      <c r="P99" s="564"/>
      <c r="Q99" s="564"/>
      <c r="R99" s="564"/>
      <c r="S99" s="565"/>
      <c r="T99" s="486"/>
      <c r="U99" s="585">
        <v>56</v>
      </c>
      <c r="V99" s="1194"/>
      <c r="W99" s="1195"/>
      <c r="X99" s="1195"/>
      <c r="Y99" s="1195"/>
      <c r="Z99" s="1195"/>
      <c r="AA99" s="1196"/>
      <c r="AB99" s="1212" t="s">
        <v>243</v>
      </c>
      <c r="AC99" s="1213"/>
      <c r="AD99" s="1197" t="s">
        <v>243</v>
      </c>
      <c r="AE99" s="1198"/>
      <c r="AF99" s="1198"/>
      <c r="AG99" s="1199"/>
      <c r="AH99" s="486"/>
      <c r="AI99" s="486"/>
      <c r="AJ99" s="486"/>
      <c r="AK99" s="486"/>
      <c r="AL99" s="486"/>
      <c r="AM99" s="486"/>
      <c r="AN99" s="486"/>
      <c r="AO99" s="486"/>
      <c r="AP99" s="486"/>
      <c r="AQ99" s="486"/>
      <c r="AR99" s="486"/>
      <c r="AS99" s="486"/>
    </row>
    <row r="100" spans="1:45" ht="18" customHeight="1" x14ac:dyDescent="0.15">
      <c r="A100" s="486"/>
      <c r="B100" s="486"/>
      <c r="C100" s="1177" t="s">
        <v>992</v>
      </c>
      <c r="D100" s="545" t="s">
        <v>993</v>
      </c>
      <c r="E100" s="567"/>
      <c r="F100" s="567"/>
      <c r="G100" s="567"/>
      <c r="H100" s="567"/>
      <c r="I100" s="568"/>
      <c r="J100" s="568"/>
      <c r="K100" s="568"/>
      <c r="L100" s="568"/>
      <c r="M100" s="568"/>
      <c r="N100" s="568"/>
      <c r="O100" s="567"/>
      <c r="P100" s="568"/>
      <c r="Q100" s="568"/>
      <c r="R100" s="568"/>
      <c r="S100" s="569"/>
      <c r="T100" s="486"/>
      <c r="U100" s="585">
        <v>57</v>
      </c>
      <c r="V100" s="1194"/>
      <c r="W100" s="1195"/>
      <c r="X100" s="1195"/>
      <c r="Y100" s="1195"/>
      <c r="Z100" s="1195"/>
      <c r="AA100" s="1196"/>
      <c r="AB100" s="1212" t="s">
        <v>243</v>
      </c>
      <c r="AC100" s="1213"/>
      <c r="AD100" s="1197" t="s">
        <v>243</v>
      </c>
      <c r="AE100" s="1198"/>
      <c r="AF100" s="1198"/>
      <c r="AG100" s="1199"/>
      <c r="AH100" s="486"/>
      <c r="AI100" s="486"/>
      <c r="AJ100" s="486"/>
      <c r="AK100" s="486"/>
      <c r="AL100" s="486"/>
      <c r="AM100" s="486"/>
      <c r="AN100" s="486"/>
      <c r="AO100" s="486"/>
      <c r="AP100" s="486"/>
      <c r="AQ100" s="486"/>
      <c r="AR100" s="486"/>
      <c r="AS100" s="486"/>
    </row>
    <row r="101" spans="1:45" ht="18" customHeight="1" x14ac:dyDescent="0.15">
      <c r="A101" s="486"/>
      <c r="B101" s="486"/>
      <c r="C101" s="1180"/>
      <c r="D101" s="536"/>
      <c r="E101" s="559"/>
      <c r="F101" s="559"/>
      <c r="G101" s="559"/>
      <c r="H101" s="559"/>
      <c r="I101" s="571"/>
      <c r="J101" s="571"/>
      <c r="K101" s="571"/>
      <c r="L101" s="571"/>
      <c r="M101" s="571"/>
      <c r="N101" s="571"/>
      <c r="O101" s="559"/>
      <c r="P101" s="571"/>
      <c r="Q101" s="571"/>
      <c r="R101" s="571"/>
      <c r="S101" s="572"/>
      <c r="T101" s="486"/>
      <c r="U101" s="584">
        <v>58</v>
      </c>
      <c r="V101" s="1194"/>
      <c r="W101" s="1195"/>
      <c r="X101" s="1195"/>
      <c r="Y101" s="1195"/>
      <c r="Z101" s="1195"/>
      <c r="AA101" s="1196"/>
      <c r="AB101" s="1212" t="s">
        <v>243</v>
      </c>
      <c r="AC101" s="1213"/>
      <c r="AD101" s="1197" t="s">
        <v>243</v>
      </c>
      <c r="AE101" s="1198"/>
      <c r="AF101" s="1198"/>
      <c r="AG101" s="1199"/>
      <c r="AH101" s="486"/>
      <c r="AI101" s="486"/>
      <c r="AJ101" s="486"/>
      <c r="AK101" s="486"/>
      <c r="AL101" s="486"/>
      <c r="AM101" s="486"/>
      <c r="AN101" s="486"/>
      <c r="AO101" s="486"/>
      <c r="AP101" s="486"/>
      <c r="AQ101" s="486"/>
      <c r="AR101" s="486"/>
      <c r="AS101" s="486"/>
    </row>
    <row r="102" spans="1:45" ht="18" customHeight="1" x14ac:dyDescent="0.15">
      <c r="A102" s="486"/>
      <c r="B102" s="486"/>
      <c r="C102" s="1177" t="s">
        <v>994</v>
      </c>
      <c r="D102" s="540" t="s">
        <v>995</v>
      </c>
      <c r="E102" s="561"/>
      <c r="F102" s="561"/>
      <c r="G102" s="561"/>
      <c r="H102" s="561"/>
      <c r="I102" s="564"/>
      <c r="J102" s="564"/>
      <c r="K102" s="564"/>
      <c r="L102" s="564"/>
      <c r="M102" s="564"/>
      <c r="N102" s="564"/>
      <c r="O102" s="561"/>
      <c r="P102" s="564"/>
      <c r="Q102" s="564"/>
      <c r="R102" s="564"/>
      <c r="S102" s="565"/>
      <c r="T102" s="486"/>
      <c r="U102" s="585">
        <v>59</v>
      </c>
      <c r="V102" s="1194"/>
      <c r="W102" s="1195"/>
      <c r="X102" s="1195"/>
      <c r="Y102" s="1195"/>
      <c r="Z102" s="1195"/>
      <c r="AA102" s="1196"/>
      <c r="AB102" s="1212" t="s">
        <v>243</v>
      </c>
      <c r="AC102" s="1213"/>
      <c r="AD102" s="1197" t="s">
        <v>243</v>
      </c>
      <c r="AE102" s="1198"/>
      <c r="AF102" s="1198"/>
      <c r="AG102" s="1199"/>
      <c r="AH102" s="486"/>
      <c r="AI102" s="486"/>
      <c r="AJ102" s="486"/>
      <c r="AK102" s="486"/>
      <c r="AL102" s="486"/>
      <c r="AM102" s="486"/>
      <c r="AN102" s="486"/>
      <c r="AO102" s="486"/>
      <c r="AP102" s="486"/>
      <c r="AQ102" s="486"/>
      <c r="AR102" s="486"/>
      <c r="AS102" s="486"/>
    </row>
    <row r="103" spans="1:45" ht="18" customHeight="1" x14ac:dyDescent="0.15">
      <c r="A103" s="486"/>
      <c r="B103" s="486"/>
      <c r="C103" s="1180"/>
      <c r="D103" s="544"/>
      <c r="E103" s="561"/>
      <c r="F103" s="561"/>
      <c r="G103" s="561"/>
      <c r="H103" s="561"/>
      <c r="I103" s="564"/>
      <c r="J103" s="564"/>
      <c r="K103" s="564"/>
      <c r="L103" s="564"/>
      <c r="M103" s="564"/>
      <c r="N103" s="564"/>
      <c r="O103" s="561"/>
      <c r="P103" s="564"/>
      <c r="Q103" s="564"/>
      <c r="R103" s="564"/>
      <c r="S103" s="565"/>
      <c r="T103" s="486"/>
      <c r="U103" s="585">
        <v>60</v>
      </c>
      <c r="V103" s="1194"/>
      <c r="W103" s="1195"/>
      <c r="X103" s="1195"/>
      <c r="Y103" s="1195"/>
      <c r="Z103" s="1195"/>
      <c r="AA103" s="1196"/>
      <c r="AB103" s="1212" t="s">
        <v>243</v>
      </c>
      <c r="AC103" s="1213"/>
      <c r="AD103" s="1197" t="s">
        <v>243</v>
      </c>
      <c r="AE103" s="1198"/>
      <c r="AF103" s="1198"/>
      <c r="AG103" s="1199"/>
      <c r="AH103" s="486"/>
      <c r="AI103" s="486"/>
      <c r="AJ103" s="486"/>
      <c r="AK103" s="486"/>
      <c r="AL103" s="486"/>
      <c r="AM103" s="486"/>
      <c r="AN103" s="486"/>
      <c r="AO103" s="486"/>
      <c r="AP103" s="486"/>
      <c r="AQ103" s="486"/>
      <c r="AR103" s="486"/>
      <c r="AS103" s="486"/>
    </row>
    <row r="104" spans="1:45" ht="18" customHeight="1" x14ac:dyDescent="0.15">
      <c r="A104" s="486"/>
      <c r="B104" s="486"/>
      <c r="C104" s="1177" t="s">
        <v>996</v>
      </c>
      <c r="D104" s="545" t="s">
        <v>997</v>
      </c>
      <c r="E104" s="567"/>
      <c r="F104" s="567"/>
      <c r="G104" s="567"/>
      <c r="H104" s="567"/>
      <c r="I104" s="568"/>
      <c r="J104" s="568"/>
      <c r="K104" s="568"/>
      <c r="L104" s="568"/>
      <c r="M104" s="568"/>
      <c r="N104" s="568"/>
      <c r="O104" s="567"/>
      <c r="P104" s="568"/>
      <c r="Q104" s="568"/>
      <c r="R104" s="568"/>
      <c r="S104" s="569"/>
      <c r="T104" s="486"/>
      <c r="U104" s="584">
        <v>61</v>
      </c>
      <c r="V104" s="1194"/>
      <c r="W104" s="1195"/>
      <c r="X104" s="1195"/>
      <c r="Y104" s="1195"/>
      <c r="Z104" s="1195"/>
      <c r="AA104" s="1196"/>
      <c r="AB104" s="1212" t="s">
        <v>243</v>
      </c>
      <c r="AC104" s="1213"/>
      <c r="AD104" s="1197" t="s">
        <v>243</v>
      </c>
      <c r="AE104" s="1198"/>
      <c r="AF104" s="1198"/>
      <c r="AG104" s="1199"/>
      <c r="AH104" s="486"/>
      <c r="AI104" s="486"/>
      <c r="AJ104" s="486"/>
      <c r="AK104" s="486"/>
      <c r="AL104" s="486"/>
      <c r="AM104" s="486"/>
      <c r="AN104" s="486"/>
      <c r="AO104" s="486"/>
      <c r="AP104" s="486"/>
      <c r="AQ104" s="486"/>
      <c r="AR104" s="486"/>
      <c r="AS104" s="486"/>
    </row>
    <row r="105" spans="1:45" ht="18" customHeight="1" x14ac:dyDescent="0.15">
      <c r="A105" s="486"/>
      <c r="B105" s="486"/>
      <c r="C105" s="1180"/>
      <c r="D105" s="536"/>
      <c r="E105" s="559"/>
      <c r="F105" s="559"/>
      <c r="G105" s="559"/>
      <c r="H105" s="559"/>
      <c r="I105" s="571"/>
      <c r="J105" s="571"/>
      <c r="K105" s="571"/>
      <c r="L105" s="571"/>
      <c r="M105" s="571"/>
      <c r="N105" s="571"/>
      <c r="O105" s="559"/>
      <c r="P105" s="571"/>
      <c r="Q105" s="571"/>
      <c r="R105" s="571"/>
      <c r="S105" s="572"/>
      <c r="T105" s="486"/>
      <c r="U105" s="585">
        <v>62</v>
      </c>
      <c r="V105" s="1194"/>
      <c r="W105" s="1195"/>
      <c r="X105" s="1195"/>
      <c r="Y105" s="1195"/>
      <c r="Z105" s="1195"/>
      <c r="AA105" s="1196"/>
      <c r="AB105" s="1212" t="s">
        <v>243</v>
      </c>
      <c r="AC105" s="1213"/>
      <c r="AD105" s="1197" t="s">
        <v>243</v>
      </c>
      <c r="AE105" s="1198"/>
      <c r="AF105" s="1198"/>
      <c r="AG105" s="1199"/>
      <c r="AH105" s="486"/>
      <c r="AI105" s="486"/>
      <c r="AJ105" s="486"/>
      <c r="AK105" s="486"/>
      <c r="AL105" s="486"/>
      <c r="AM105" s="486"/>
      <c r="AN105" s="486"/>
      <c r="AO105" s="486"/>
      <c r="AP105" s="486"/>
      <c r="AQ105" s="486"/>
      <c r="AR105" s="486"/>
      <c r="AS105" s="486"/>
    </row>
    <row r="106" spans="1:45" ht="18" customHeight="1" x14ac:dyDescent="0.15">
      <c r="A106" s="486"/>
      <c r="B106" s="486"/>
      <c r="C106" s="1177" t="s">
        <v>998</v>
      </c>
      <c r="D106" s="540" t="s">
        <v>999</v>
      </c>
      <c r="E106" s="561"/>
      <c r="F106" s="561"/>
      <c r="G106" s="561"/>
      <c r="H106" s="561"/>
      <c r="I106" s="564"/>
      <c r="J106" s="564"/>
      <c r="K106" s="564"/>
      <c r="L106" s="564"/>
      <c r="M106" s="564"/>
      <c r="N106" s="564"/>
      <c r="O106" s="561"/>
      <c r="P106" s="564"/>
      <c r="Q106" s="564"/>
      <c r="R106" s="564"/>
      <c r="S106" s="565"/>
      <c r="T106" s="486"/>
      <c r="U106" s="585">
        <v>63</v>
      </c>
      <c r="V106" s="1194"/>
      <c r="W106" s="1195"/>
      <c r="X106" s="1195"/>
      <c r="Y106" s="1195"/>
      <c r="Z106" s="1195"/>
      <c r="AA106" s="1196"/>
      <c r="AB106" s="1212" t="s">
        <v>243</v>
      </c>
      <c r="AC106" s="1213"/>
      <c r="AD106" s="1197" t="s">
        <v>243</v>
      </c>
      <c r="AE106" s="1198"/>
      <c r="AF106" s="1198"/>
      <c r="AG106" s="1199"/>
      <c r="AH106" s="486"/>
      <c r="AI106" s="486"/>
      <c r="AJ106" s="486"/>
      <c r="AK106" s="486"/>
      <c r="AL106" s="486"/>
      <c r="AM106" s="486"/>
      <c r="AN106" s="486"/>
      <c r="AO106" s="486"/>
      <c r="AP106" s="486"/>
      <c r="AQ106" s="486"/>
      <c r="AR106" s="486"/>
      <c r="AS106" s="486"/>
    </row>
    <row r="107" spans="1:45" ht="18" customHeight="1" thickBot="1" x14ac:dyDescent="0.2">
      <c r="A107" s="486"/>
      <c r="B107" s="486"/>
      <c r="C107" s="1178"/>
      <c r="D107" s="573"/>
      <c r="E107" s="575"/>
      <c r="F107" s="575"/>
      <c r="G107" s="575"/>
      <c r="H107" s="575"/>
      <c r="I107" s="574"/>
      <c r="J107" s="574"/>
      <c r="K107" s="574"/>
      <c r="L107" s="574"/>
      <c r="M107" s="574"/>
      <c r="N107" s="574"/>
      <c r="O107" s="575"/>
      <c r="P107" s="574"/>
      <c r="Q107" s="574"/>
      <c r="R107" s="574"/>
      <c r="S107" s="576"/>
      <c r="T107" s="486"/>
      <c r="U107" s="586">
        <v>64</v>
      </c>
      <c r="V107" s="1214"/>
      <c r="W107" s="1215"/>
      <c r="X107" s="1215"/>
      <c r="Y107" s="1215"/>
      <c r="Z107" s="1215"/>
      <c r="AA107" s="1216"/>
      <c r="AB107" s="1217" t="s">
        <v>243</v>
      </c>
      <c r="AC107" s="1218"/>
      <c r="AD107" s="1219" t="s">
        <v>243</v>
      </c>
      <c r="AE107" s="1220"/>
      <c r="AF107" s="1220"/>
      <c r="AG107" s="1221"/>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3" t="s">
        <v>636</v>
      </c>
      <c r="C3" s="1223"/>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4" t="s">
        <v>640</v>
      </c>
      <c r="C5" s="804"/>
      <c r="D5" s="804"/>
      <c r="E5" s="804"/>
      <c r="F5" s="804"/>
      <c r="G5" s="1224" t="s">
        <v>641</v>
      </c>
      <c r="H5" s="1224"/>
      <c r="I5" s="433" t="s">
        <v>642</v>
      </c>
      <c r="J5" s="434" t="s">
        <v>643</v>
      </c>
      <c r="K5" s="422"/>
      <c r="L5" s="804" t="s">
        <v>640</v>
      </c>
      <c r="M5" s="804"/>
      <c r="N5" s="804"/>
      <c r="O5" s="804"/>
      <c r="P5" s="804"/>
      <c r="Q5" s="1224" t="s">
        <v>641</v>
      </c>
      <c r="R5" s="1224"/>
      <c r="S5" s="433" t="s">
        <v>642</v>
      </c>
      <c r="T5" s="434" t="s">
        <v>643</v>
      </c>
      <c r="U5" s="422"/>
    </row>
    <row r="6" spans="1:21" x14ac:dyDescent="0.15">
      <c r="A6" s="422"/>
      <c r="B6" s="829"/>
      <c r="C6" s="829"/>
      <c r="D6" s="829"/>
      <c r="E6" s="829"/>
      <c r="F6" s="829"/>
      <c r="G6" s="827" t="s">
        <v>18</v>
      </c>
      <c r="H6" s="827"/>
      <c r="I6" s="827" t="s">
        <v>288</v>
      </c>
      <c r="J6" s="1222" t="s">
        <v>243</v>
      </c>
      <c r="K6" s="422"/>
      <c r="L6" s="829"/>
      <c r="M6" s="829"/>
      <c r="N6" s="829"/>
      <c r="O6" s="829"/>
      <c r="P6" s="829"/>
      <c r="Q6" s="827" t="s">
        <v>18</v>
      </c>
      <c r="R6" s="827"/>
      <c r="S6" s="827" t="s">
        <v>288</v>
      </c>
      <c r="T6" s="1222" t="s">
        <v>243</v>
      </c>
      <c r="U6" s="422"/>
    </row>
    <row r="7" spans="1:21" x14ac:dyDescent="0.15">
      <c r="A7" s="422"/>
      <c r="B7" s="829"/>
      <c r="C7" s="829"/>
      <c r="D7" s="829"/>
      <c r="E7" s="829"/>
      <c r="F7" s="829"/>
      <c r="G7" s="827"/>
      <c r="H7" s="827"/>
      <c r="I7" s="827"/>
      <c r="J7" s="1222"/>
      <c r="K7" s="422"/>
      <c r="L7" s="829"/>
      <c r="M7" s="829"/>
      <c r="N7" s="829"/>
      <c r="O7" s="829"/>
      <c r="P7" s="829"/>
      <c r="Q7" s="827"/>
      <c r="R7" s="827"/>
      <c r="S7" s="827"/>
      <c r="T7" s="1222"/>
      <c r="U7" s="422"/>
    </row>
    <row r="8" spans="1:21" x14ac:dyDescent="0.15">
      <c r="A8" s="422"/>
      <c r="B8" s="829"/>
      <c r="C8" s="829"/>
      <c r="D8" s="829"/>
      <c r="E8" s="829"/>
      <c r="F8" s="829"/>
      <c r="G8" s="827"/>
      <c r="H8" s="827"/>
      <c r="I8" s="827"/>
      <c r="J8" s="1222"/>
      <c r="K8" s="422"/>
      <c r="L8" s="829"/>
      <c r="M8" s="829"/>
      <c r="N8" s="829"/>
      <c r="O8" s="829"/>
      <c r="P8" s="829"/>
      <c r="Q8" s="827"/>
      <c r="R8" s="827"/>
      <c r="S8" s="827"/>
      <c r="T8" s="1222"/>
      <c r="U8" s="422"/>
    </row>
    <row r="9" spans="1:21" x14ac:dyDescent="0.15">
      <c r="A9" s="422"/>
      <c r="B9" s="811" t="s">
        <v>644</v>
      </c>
      <c r="C9" s="811"/>
      <c r="D9" s="811"/>
      <c r="E9" s="811"/>
      <c r="F9" s="811"/>
      <c r="G9" s="811"/>
      <c r="H9" s="811"/>
      <c r="I9" s="811"/>
      <c r="J9" s="811"/>
      <c r="K9" s="422"/>
      <c r="L9" s="811" t="s">
        <v>644</v>
      </c>
      <c r="M9" s="811"/>
      <c r="N9" s="811"/>
      <c r="O9" s="811"/>
      <c r="P9" s="811"/>
      <c r="Q9" s="811"/>
      <c r="R9" s="811"/>
      <c r="S9" s="811"/>
      <c r="T9" s="811"/>
      <c r="U9" s="422"/>
    </row>
    <row r="10" spans="1:21" ht="12.6" thickBot="1" x14ac:dyDescent="0.2">
      <c r="A10" s="422"/>
      <c r="B10" s="1225"/>
      <c r="C10" s="1225"/>
      <c r="D10" s="1225"/>
      <c r="E10" s="1225"/>
      <c r="F10" s="1225"/>
      <c r="G10" s="1225"/>
      <c r="H10" s="1225"/>
      <c r="I10" s="1225"/>
      <c r="J10" s="1225"/>
      <c r="K10" s="422"/>
      <c r="L10" s="1225"/>
      <c r="M10" s="1225"/>
      <c r="N10" s="1225"/>
      <c r="O10" s="1225"/>
      <c r="P10" s="1225"/>
      <c r="Q10" s="1225"/>
      <c r="R10" s="1225"/>
      <c r="S10" s="1225"/>
      <c r="T10" s="1225"/>
      <c r="U10" s="422"/>
    </row>
    <row r="11" spans="1:21" ht="12.6" thickBot="1" x14ac:dyDescent="0.2">
      <c r="A11" s="422"/>
      <c r="B11" s="1225"/>
      <c r="C11" s="1225"/>
      <c r="D11" s="1225"/>
      <c r="E11" s="1225"/>
      <c r="F11" s="1225"/>
      <c r="G11" s="1225"/>
      <c r="H11" s="1225"/>
      <c r="I11" s="1225"/>
      <c r="J11" s="1225"/>
      <c r="K11" s="422"/>
      <c r="L11" s="1225"/>
      <c r="M11" s="1225"/>
      <c r="N11" s="1225"/>
      <c r="O11" s="1225"/>
      <c r="P11" s="1225"/>
      <c r="Q11" s="1225"/>
      <c r="R11" s="1225"/>
      <c r="S11" s="1225"/>
      <c r="T11" s="1225"/>
      <c r="U11" s="422"/>
    </row>
    <row r="12" spans="1:21" ht="12.6" thickBot="1" x14ac:dyDescent="0.2">
      <c r="A12" s="422"/>
      <c r="B12" s="1225"/>
      <c r="C12" s="1225"/>
      <c r="D12" s="1225"/>
      <c r="E12" s="1225"/>
      <c r="F12" s="1225"/>
      <c r="G12" s="1225"/>
      <c r="H12" s="1225"/>
      <c r="I12" s="1225"/>
      <c r="J12" s="1225"/>
      <c r="K12" s="422"/>
      <c r="L12" s="1225"/>
      <c r="M12" s="1225"/>
      <c r="N12" s="1225"/>
      <c r="O12" s="1225"/>
      <c r="P12" s="1225"/>
      <c r="Q12" s="1225"/>
      <c r="R12" s="1225"/>
      <c r="S12" s="1225"/>
      <c r="T12" s="1225"/>
      <c r="U12" s="422"/>
    </row>
    <row r="13" spans="1:21" ht="12.6" thickBot="1" x14ac:dyDescent="0.2">
      <c r="A13" s="422"/>
      <c r="B13" s="1225"/>
      <c r="C13" s="1225"/>
      <c r="D13" s="1225"/>
      <c r="E13" s="1225"/>
      <c r="F13" s="1225"/>
      <c r="G13" s="1225"/>
      <c r="H13" s="1225"/>
      <c r="I13" s="1225"/>
      <c r="J13" s="1225"/>
      <c r="K13" s="422"/>
      <c r="L13" s="1225"/>
      <c r="M13" s="1225"/>
      <c r="N13" s="1225"/>
      <c r="O13" s="1225"/>
      <c r="P13" s="1225"/>
      <c r="Q13" s="1225"/>
      <c r="R13" s="1225"/>
      <c r="S13" s="1225"/>
      <c r="T13" s="1225"/>
      <c r="U13" s="422"/>
    </row>
    <row r="14" spans="1:21" ht="12.6" thickBot="1" x14ac:dyDescent="0.2">
      <c r="A14" s="422"/>
      <c r="B14" s="1225"/>
      <c r="C14" s="1225"/>
      <c r="D14" s="1225"/>
      <c r="E14" s="1225"/>
      <c r="F14" s="1225"/>
      <c r="G14" s="1225"/>
      <c r="H14" s="1225"/>
      <c r="I14" s="1225"/>
      <c r="J14" s="1225"/>
      <c r="K14" s="422"/>
      <c r="L14" s="1225"/>
      <c r="M14" s="1225"/>
      <c r="N14" s="1225"/>
      <c r="O14" s="1225"/>
      <c r="P14" s="1225"/>
      <c r="Q14" s="1225"/>
      <c r="R14" s="1225"/>
      <c r="S14" s="1225"/>
      <c r="T14" s="1225"/>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4" t="s">
        <v>640</v>
      </c>
      <c r="C16" s="804"/>
      <c r="D16" s="804"/>
      <c r="E16" s="804"/>
      <c r="F16" s="804"/>
      <c r="G16" s="1224" t="s">
        <v>641</v>
      </c>
      <c r="H16" s="1224"/>
      <c r="I16" s="433" t="s">
        <v>642</v>
      </c>
      <c r="J16" s="434" t="s">
        <v>643</v>
      </c>
      <c r="K16" s="422"/>
      <c r="L16" s="804" t="s">
        <v>640</v>
      </c>
      <c r="M16" s="804"/>
      <c r="N16" s="804"/>
      <c r="O16" s="804"/>
      <c r="P16" s="804"/>
      <c r="Q16" s="1224" t="s">
        <v>641</v>
      </c>
      <c r="R16" s="1224"/>
      <c r="S16" s="433" t="s">
        <v>642</v>
      </c>
      <c r="T16" s="434" t="s">
        <v>643</v>
      </c>
      <c r="U16" s="422"/>
    </row>
    <row r="17" spans="1:21" x14ac:dyDescent="0.15">
      <c r="A17" s="422"/>
      <c r="B17" s="829"/>
      <c r="C17" s="829"/>
      <c r="D17" s="829"/>
      <c r="E17" s="829"/>
      <c r="F17" s="829"/>
      <c r="G17" s="827" t="s">
        <v>18</v>
      </c>
      <c r="H17" s="827"/>
      <c r="I17" s="827" t="s">
        <v>288</v>
      </c>
      <c r="J17" s="1222" t="s">
        <v>243</v>
      </c>
      <c r="K17" s="422"/>
      <c r="L17" s="829"/>
      <c r="M17" s="829"/>
      <c r="N17" s="829"/>
      <c r="O17" s="829"/>
      <c r="P17" s="829"/>
      <c r="Q17" s="827" t="s">
        <v>18</v>
      </c>
      <c r="R17" s="827"/>
      <c r="S17" s="827" t="s">
        <v>288</v>
      </c>
      <c r="T17" s="1222" t="s">
        <v>243</v>
      </c>
      <c r="U17" s="422"/>
    </row>
    <row r="18" spans="1:21" x14ac:dyDescent="0.15">
      <c r="A18" s="422"/>
      <c r="B18" s="829"/>
      <c r="C18" s="829"/>
      <c r="D18" s="829"/>
      <c r="E18" s="829"/>
      <c r="F18" s="829"/>
      <c r="G18" s="827"/>
      <c r="H18" s="827"/>
      <c r="I18" s="827"/>
      <c r="J18" s="1222"/>
      <c r="K18" s="422"/>
      <c r="L18" s="829"/>
      <c r="M18" s="829"/>
      <c r="N18" s="829"/>
      <c r="O18" s="829"/>
      <c r="P18" s="829"/>
      <c r="Q18" s="827"/>
      <c r="R18" s="827"/>
      <c r="S18" s="827"/>
      <c r="T18" s="1222"/>
      <c r="U18" s="422"/>
    </row>
    <row r="19" spans="1:21" x14ac:dyDescent="0.15">
      <c r="A19" s="422"/>
      <c r="B19" s="829"/>
      <c r="C19" s="829"/>
      <c r="D19" s="829"/>
      <c r="E19" s="829"/>
      <c r="F19" s="829"/>
      <c r="G19" s="827"/>
      <c r="H19" s="827"/>
      <c r="I19" s="827"/>
      <c r="J19" s="1222"/>
      <c r="K19" s="422"/>
      <c r="L19" s="829"/>
      <c r="M19" s="829"/>
      <c r="N19" s="829"/>
      <c r="O19" s="829"/>
      <c r="P19" s="829"/>
      <c r="Q19" s="827"/>
      <c r="R19" s="827"/>
      <c r="S19" s="827"/>
      <c r="T19" s="1222"/>
      <c r="U19" s="422"/>
    </row>
    <row r="20" spans="1:21" x14ac:dyDescent="0.15">
      <c r="A20" s="422"/>
      <c r="B20" s="811" t="s">
        <v>644</v>
      </c>
      <c r="C20" s="811"/>
      <c r="D20" s="811"/>
      <c r="E20" s="811"/>
      <c r="F20" s="811"/>
      <c r="G20" s="811"/>
      <c r="H20" s="811"/>
      <c r="I20" s="811"/>
      <c r="J20" s="811"/>
      <c r="K20" s="422"/>
      <c r="L20" s="811" t="s">
        <v>644</v>
      </c>
      <c r="M20" s="811"/>
      <c r="N20" s="811"/>
      <c r="O20" s="811"/>
      <c r="P20" s="811"/>
      <c r="Q20" s="811"/>
      <c r="R20" s="811"/>
      <c r="S20" s="811"/>
      <c r="T20" s="811"/>
      <c r="U20" s="422"/>
    </row>
    <row r="21" spans="1:21" ht="12.6" thickBot="1" x14ac:dyDescent="0.2">
      <c r="A21" s="422"/>
      <c r="B21" s="1225"/>
      <c r="C21" s="1225"/>
      <c r="D21" s="1225"/>
      <c r="E21" s="1225"/>
      <c r="F21" s="1225"/>
      <c r="G21" s="1225"/>
      <c r="H21" s="1225"/>
      <c r="I21" s="1225"/>
      <c r="J21" s="1225"/>
      <c r="K21" s="422"/>
      <c r="L21" s="1225"/>
      <c r="M21" s="1225"/>
      <c r="N21" s="1225"/>
      <c r="O21" s="1225"/>
      <c r="P21" s="1225"/>
      <c r="Q21" s="1225"/>
      <c r="R21" s="1225"/>
      <c r="S21" s="1225"/>
      <c r="T21" s="1225"/>
      <c r="U21" s="422"/>
    </row>
    <row r="22" spans="1:21" ht="12.6" thickBot="1" x14ac:dyDescent="0.2">
      <c r="A22" s="422"/>
      <c r="B22" s="1225"/>
      <c r="C22" s="1225"/>
      <c r="D22" s="1225"/>
      <c r="E22" s="1225"/>
      <c r="F22" s="1225"/>
      <c r="G22" s="1225"/>
      <c r="H22" s="1225"/>
      <c r="I22" s="1225"/>
      <c r="J22" s="1225"/>
      <c r="K22" s="422"/>
      <c r="L22" s="1225"/>
      <c r="M22" s="1225"/>
      <c r="N22" s="1225"/>
      <c r="O22" s="1225"/>
      <c r="P22" s="1225"/>
      <c r="Q22" s="1225"/>
      <c r="R22" s="1225"/>
      <c r="S22" s="1225"/>
      <c r="T22" s="1225"/>
      <c r="U22" s="422"/>
    </row>
    <row r="23" spans="1:21" ht="12.6" thickBot="1" x14ac:dyDescent="0.2">
      <c r="A23" s="422"/>
      <c r="B23" s="1225"/>
      <c r="C23" s="1225"/>
      <c r="D23" s="1225"/>
      <c r="E23" s="1225"/>
      <c r="F23" s="1225"/>
      <c r="G23" s="1225"/>
      <c r="H23" s="1225"/>
      <c r="I23" s="1225"/>
      <c r="J23" s="1225"/>
      <c r="K23" s="422"/>
      <c r="L23" s="1225"/>
      <c r="M23" s="1225"/>
      <c r="N23" s="1225"/>
      <c r="O23" s="1225"/>
      <c r="P23" s="1225"/>
      <c r="Q23" s="1225"/>
      <c r="R23" s="1225"/>
      <c r="S23" s="1225"/>
      <c r="T23" s="1225"/>
      <c r="U23" s="422"/>
    </row>
    <row r="24" spans="1:21" ht="12.6" thickBot="1" x14ac:dyDescent="0.2">
      <c r="A24" s="422"/>
      <c r="B24" s="1225"/>
      <c r="C24" s="1225"/>
      <c r="D24" s="1225"/>
      <c r="E24" s="1225"/>
      <c r="F24" s="1225"/>
      <c r="G24" s="1225"/>
      <c r="H24" s="1225"/>
      <c r="I24" s="1225"/>
      <c r="J24" s="1225"/>
      <c r="K24" s="422"/>
      <c r="L24" s="1225"/>
      <c r="M24" s="1225"/>
      <c r="N24" s="1225"/>
      <c r="O24" s="1225"/>
      <c r="P24" s="1225"/>
      <c r="Q24" s="1225"/>
      <c r="R24" s="1225"/>
      <c r="S24" s="1225"/>
      <c r="T24" s="1225"/>
      <c r="U24" s="422"/>
    </row>
    <row r="25" spans="1:21" ht="12.6" thickBot="1" x14ac:dyDescent="0.2">
      <c r="A25" s="422"/>
      <c r="B25" s="1225"/>
      <c r="C25" s="1225"/>
      <c r="D25" s="1225"/>
      <c r="E25" s="1225"/>
      <c r="F25" s="1225"/>
      <c r="G25" s="1225"/>
      <c r="H25" s="1225"/>
      <c r="I25" s="1225"/>
      <c r="J25" s="1225"/>
      <c r="K25" s="422"/>
      <c r="L25" s="1225"/>
      <c r="M25" s="1225"/>
      <c r="N25" s="1225"/>
      <c r="O25" s="1225"/>
      <c r="P25" s="1225"/>
      <c r="Q25" s="1225"/>
      <c r="R25" s="1225"/>
      <c r="S25" s="1225"/>
      <c r="T25" s="1225"/>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4" t="s">
        <v>640</v>
      </c>
      <c r="C27" s="804"/>
      <c r="D27" s="804"/>
      <c r="E27" s="804"/>
      <c r="F27" s="804"/>
      <c r="G27" s="1224" t="s">
        <v>641</v>
      </c>
      <c r="H27" s="1224"/>
      <c r="I27" s="433" t="s">
        <v>642</v>
      </c>
      <c r="J27" s="434" t="s">
        <v>643</v>
      </c>
      <c r="K27" s="422"/>
      <c r="L27" s="804" t="s">
        <v>640</v>
      </c>
      <c r="M27" s="804"/>
      <c r="N27" s="804"/>
      <c r="O27" s="804"/>
      <c r="P27" s="804"/>
      <c r="Q27" s="1224" t="s">
        <v>641</v>
      </c>
      <c r="R27" s="1224"/>
      <c r="S27" s="433" t="s">
        <v>642</v>
      </c>
      <c r="T27" s="434" t="s">
        <v>643</v>
      </c>
      <c r="U27" s="422"/>
    </row>
    <row r="28" spans="1:21" x14ac:dyDescent="0.15">
      <c r="A28" s="422"/>
      <c r="B28" s="829"/>
      <c r="C28" s="829"/>
      <c r="D28" s="829"/>
      <c r="E28" s="829"/>
      <c r="F28" s="829"/>
      <c r="G28" s="827" t="s">
        <v>18</v>
      </c>
      <c r="H28" s="827"/>
      <c r="I28" s="827" t="s">
        <v>288</v>
      </c>
      <c r="J28" s="1222" t="s">
        <v>243</v>
      </c>
      <c r="K28" s="422"/>
      <c r="L28" s="829"/>
      <c r="M28" s="829"/>
      <c r="N28" s="829"/>
      <c r="O28" s="829"/>
      <c r="P28" s="829"/>
      <c r="Q28" s="827" t="s">
        <v>18</v>
      </c>
      <c r="R28" s="827"/>
      <c r="S28" s="827" t="s">
        <v>288</v>
      </c>
      <c r="T28" s="1222" t="s">
        <v>243</v>
      </c>
      <c r="U28" s="422"/>
    </row>
    <row r="29" spans="1:21" x14ac:dyDescent="0.15">
      <c r="A29" s="422"/>
      <c r="B29" s="829"/>
      <c r="C29" s="829"/>
      <c r="D29" s="829"/>
      <c r="E29" s="829"/>
      <c r="F29" s="829"/>
      <c r="G29" s="827"/>
      <c r="H29" s="827"/>
      <c r="I29" s="827"/>
      <c r="J29" s="1222"/>
      <c r="K29" s="422"/>
      <c r="L29" s="829"/>
      <c r="M29" s="829"/>
      <c r="N29" s="829"/>
      <c r="O29" s="829"/>
      <c r="P29" s="829"/>
      <c r="Q29" s="827"/>
      <c r="R29" s="827"/>
      <c r="S29" s="827"/>
      <c r="T29" s="1222"/>
      <c r="U29" s="422"/>
    </row>
    <row r="30" spans="1:21" x14ac:dyDescent="0.15">
      <c r="A30" s="422"/>
      <c r="B30" s="829"/>
      <c r="C30" s="829"/>
      <c r="D30" s="829"/>
      <c r="E30" s="829"/>
      <c r="F30" s="829"/>
      <c r="G30" s="827"/>
      <c r="H30" s="827"/>
      <c r="I30" s="827"/>
      <c r="J30" s="1222"/>
      <c r="K30" s="422"/>
      <c r="L30" s="829"/>
      <c r="M30" s="829"/>
      <c r="N30" s="829"/>
      <c r="O30" s="829"/>
      <c r="P30" s="829"/>
      <c r="Q30" s="827"/>
      <c r="R30" s="827"/>
      <c r="S30" s="827"/>
      <c r="T30" s="1222"/>
      <c r="U30" s="422"/>
    </row>
    <row r="31" spans="1:21" x14ac:dyDescent="0.15">
      <c r="A31" s="422"/>
      <c r="B31" s="811" t="s">
        <v>644</v>
      </c>
      <c r="C31" s="811"/>
      <c r="D31" s="811"/>
      <c r="E31" s="811"/>
      <c r="F31" s="811"/>
      <c r="G31" s="811"/>
      <c r="H31" s="811"/>
      <c r="I31" s="811"/>
      <c r="J31" s="811"/>
      <c r="K31" s="422"/>
      <c r="L31" s="811" t="s">
        <v>644</v>
      </c>
      <c r="M31" s="811"/>
      <c r="N31" s="811"/>
      <c r="O31" s="811"/>
      <c r="P31" s="811"/>
      <c r="Q31" s="811"/>
      <c r="R31" s="811"/>
      <c r="S31" s="811"/>
      <c r="T31" s="811"/>
      <c r="U31" s="422"/>
    </row>
    <row r="32" spans="1:21" ht="12.6" thickBot="1" x14ac:dyDescent="0.2">
      <c r="A32" s="422"/>
      <c r="B32" s="1225"/>
      <c r="C32" s="1225"/>
      <c r="D32" s="1225"/>
      <c r="E32" s="1225"/>
      <c r="F32" s="1225"/>
      <c r="G32" s="1225"/>
      <c r="H32" s="1225"/>
      <c r="I32" s="1225"/>
      <c r="J32" s="1225"/>
      <c r="K32" s="422"/>
      <c r="L32" s="1225"/>
      <c r="M32" s="1225"/>
      <c r="N32" s="1225"/>
      <c r="O32" s="1225"/>
      <c r="P32" s="1225"/>
      <c r="Q32" s="1225"/>
      <c r="R32" s="1225"/>
      <c r="S32" s="1225"/>
      <c r="T32" s="1225"/>
      <c r="U32" s="422"/>
    </row>
    <row r="33" spans="1:21" ht="12.6" thickBot="1" x14ac:dyDescent="0.2">
      <c r="A33" s="422"/>
      <c r="B33" s="1225"/>
      <c r="C33" s="1225"/>
      <c r="D33" s="1225"/>
      <c r="E33" s="1225"/>
      <c r="F33" s="1225"/>
      <c r="G33" s="1225"/>
      <c r="H33" s="1225"/>
      <c r="I33" s="1225"/>
      <c r="J33" s="1225"/>
      <c r="K33" s="422"/>
      <c r="L33" s="1225"/>
      <c r="M33" s="1225"/>
      <c r="N33" s="1225"/>
      <c r="O33" s="1225"/>
      <c r="P33" s="1225"/>
      <c r="Q33" s="1225"/>
      <c r="R33" s="1225"/>
      <c r="S33" s="1225"/>
      <c r="T33" s="1225"/>
      <c r="U33" s="422"/>
    </row>
    <row r="34" spans="1:21" ht="12.6" thickBot="1" x14ac:dyDescent="0.2">
      <c r="A34" s="422"/>
      <c r="B34" s="1225"/>
      <c r="C34" s="1225"/>
      <c r="D34" s="1225"/>
      <c r="E34" s="1225"/>
      <c r="F34" s="1225"/>
      <c r="G34" s="1225"/>
      <c r="H34" s="1225"/>
      <c r="I34" s="1225"/>
      <c r="J34" s="1225"/>
      <c r="K34" s="422"/>
      <c r="L34" s="1225"/>
      <c r="M34" s="1225"/>
      <c r="N34" s="1225"/>
      <c r="O34" s="1225"/>
      <c r="P34" s="1225"/>
      <c r="Q34" s="1225"/>
      <c r="R34" s="1225"/>
      <c r="S34" s="1225"/>
      <c r="T34" s="1225"/>
      <c r="U34" s="422"/>
    </row>
    <row r="35" spans="1:21" ht="12.6" thickBot="1" x14ac:dyDescent="0.2">
      <c r="A35" s="422"/>
      <c r="B35" s="1225"/>
      <c r="C35" s="1225"/>
      <c r="D35" s="1225"/>
      <c r="E35" s="1225"/>
      <c r="F35" s="1225"/>
      <c r="G35" s="1225"/>
      <c r="H35" s="1225"/>
      <c r="I35" s="1225"/>
      <c r="J35" s="1225"/>
      <c r="K35" s="422"/>
      <c r="L35" s="1225"/>
      <c r="M35" s="1225"/>
      <c r="N35" s="1225"/>
      <c r="O35" s="1225"/>
      <c r="P35" s="1225"/>
      <c r="Q35" s="1225"/>
      <c r="R35" s="1225"/>
      <c r="S35" s="1225"/>
      <c r="T35" s="1225"/>
      <c r="U35" s="422"/>
    </row>
    <row r="36" spans="1:21" ht="12.6" thickBot="1" x14ac:dyDescent="0.2">
      <c r="A36" s="422"/>
      <c r="B36" s="1225"/>
      <c r="C36" s="1225"/>
      <c r="D36" s="1225"/>
      <c r="E36" s="1225"/>
      <c r="F36" s="1225"/>
      <c r="G36" s="1225"/>
      <c r="H36" s="1225"/>
      <c r="I36" s="1225"/>
      <c r="J36" s="1225"/>
      <c r="K36" s="422"/>
      <c r="L36" s="1225"/>
      <c r="M36" s="1225"/>
      <c r="N36" s="1225"/>
      <c r="O36" s="1225"/>
      <c r="P36" s="1225"/>
      <c r="Q36" s="1225"/>
      <c r="R36" s="1225"/>
      <c r="S36" s="1225"/>
      <c r="T36" s="1225"/>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4" t="s">
        <v>640</v>
      </c>
      <c r="C38" s="804"/>
      <c r="D38" s="804"/>
      <c r="E38" s="804"/>
      <c r="F38" s="804"/>
      <c r="G38" s="1224" t="s">
        <v>641</v>
      </c>
      <c r="H38" s="1224"/>
      <c r="I38" s="433" t="s">
        <v>642</v>
      </c>
      <c r="J38" s="434" t="s">
        <v>643</v>
      </c>
      <c r="K38" s="422"/>
      <c r="L38" s="804" t="s">
        <v>640</v>
      </c>
      <c r="M38" s="804"/>
      <c r="N38" s="804"/>
      <c r="O38" s="804"/>
      <c r="P38" s="804"/>
      <c r="Q38" s="1224" t="s">
        <v>641</v>
      </c>
      <c r="R38" s="1224"/>
      <c r="S38" s="433" t="s">
        <v>642</v>
      </c>
      <c r="T38" s="434" t="s">
        <v>643</v>
      </c>
      <c r="U38" s="422"/>
    </row>
    <row r="39" spans="1:21" x14ac:dyDescent="0.15">
      <c r="A39" s="422"/>
      <c r="B39" s="829"/>
      <c r="C39" s="829"/>
      <c r="D39" s="829"/>
      <c r="E39" s="829"/>
      <c r="F39" s="829"/>
      <c r="G39" s="827" t="s">
        <v>18</v>
      </c>
      <c r="H39" s="827"/>
      <c r="I39" s="827" t="s">
        <v>288</v>
      </c>
      <c r="J39" s="1222" t="s">
        <v>243</v>
      </c>
      <c r="K39" s="422"/>
      <c r="L39" s="829"/>
      <c r="M39" s="829"/>
      <c r="N39" s="829"/>
      <c r="O39" s="829"/>
      <c r="P39" s="829"/>
      <c r="Q39" s="827" t="s">
        <v>18</v>
      </c>
      <c r="R39" s="827"/>
      <c r="S39" s="827" t="s">
        <v>288</v>
      </c>
      <c r="T39" s="1222" t="s">
        <v>243</v>
      </c>
      <c r="U39" s="422"/>
    </row>
    <row r="40" spans="1:21" x14ac:dyDescent="0.15">
      <c r="A40" s="422"/>
      <c r="B40" s="829"/>
      <c r="C40" s="829"/>
      <c r="D40" s="829"/>
      <c r="E40" s="829"/>
      <c r="F40" s="829"/>
      <c r="G40" s="827"/>
      <c r="H40" s="827"/>
      <c r="I40" s="827"/>
      <c r="J40" s="1222"/>
      <c r="K40" s="422"/>
      <c r="L40" s="829"/>
      <c r="M40" s="829"/>
      <c r="N40" s="829"/>
      <c r="O40" s="829"/>
      <c r="P40" s="829"/>
      <c r="Q40" s="827"/>
      <c r="R40" s="827"/>
      <c r="S40" s="827"/>
      <c r="T40" s="1222"/>
      <c r="U40" s="422"/>
    </row>
    <row r="41" spans="1:21" x14ac:dyDescent="0.15">
      <c r="A41" s="422"/>
      <c r="B41" s="829"/>
      <c r="C41" s="829"/>
      <c r="D41" s="829"/>
      <c r="E41" s="829"/>
      <c r="F41" s="829"/>
      <c r="G41" s="827"/>
      <c r="H41" s="827"/>
      <c r="I41" s="827"/>
      <c r="J41" s="1222"/>
      <c r="K41" s="422"/>
      <c r="L41" s="829"/>
      <c r="M41" s="829"/>
      <c r="N41" s="829"/>
      <c r="O41" s="829"/>
      <c r="P41" s="829"/>
      <c r="Q41" s="827"/>
      <c r="R41" s="827"/>
      <c r="S41" s="827"/>
      <c r="T41" s="1222"/>
      <c r="U41" s="422"/>
    </row>
    <row r="42" spans="1:21" x14ac:dyDescent="0.15">
      <c r="A42" s="422"/>
      <c r="B42" s="811" t="s">
        <v>644</v>
      </c>
      <c r="C42" s="811"/>
      <c r="D42" s="811"/>
      <c r="E42" s="811"/>
      <c r="F42" s="811"/>
      <c r="G42" s="811"/>
      <c r="H42" s="811"/>
      <c r="I42" s="811"/>
      <c r="J42" s="811"/>
      <c r="K42" s="422"/>
      <c r="L42" s="811" t="s">
        <v>644</v>
      </c>
      <c r="M42" s="811"/>
      <c r="N42" s="811"/>
      <c r="O42" s="811"/>
      <c r="P42" s="811"/>
      <c r="Q42" s="811"/>
      <c r="R42" s="811"/>
      <c r="S42" s="811"/>
      <c r="T42" s="811"/>
      <c r="U42" s="422"/>
    </row>
    <row r="43" spans="1:21" ht="12.6" thickBot="1" x14ac:dyDescent="0.2">
      <c r="A43" s="422"/>
      <c r="B43" s="1225"/>
      <c r="C43" s="1225"/>
      <c r="D43" s="1225"/>
      <c r="E43" s="1225"/>
      <c r="F43" s="1225"/>
      <c r="G43" s="1225"/>
      <c r="H43" s="1225"/>
      <c r="I43" s="1225"/>
      <c r="J43" s="1225"/>
      <c r="K43" s="422"/>
      <c r="L43" s="1225"/>
      <c r="M43" s="1225"/>
      <c r="N43" s="1225"/>
      <c r="O43" s="1225"/>
      <c r="P43" s="1225"/>
      <c r="Q43" s="1225"/>
      <c r="R43" s="1225"/>
      <c r="S43" s="1225"/>
      <c r="T43" s="1225"/>
      <c r="U43" s="422"/>
    </row>
    <row r="44" spans="1:21" ht="12.6" thickBot="1" x14ac:dyDescent="0.2">
      <c r="A44" s="422"/>
      <c r="B44" s="1225"/>
      <c r="C44" s="1225"/>
      <c r="D44" s="1225"/>
      <c r="E44" s="1225"/>
      <c r="F44" s="1225"/>
      <c r="G44" s="1225"/>
      <c r="H44" s="1225"/>
      <c r="I44" s="1225"/>
      <c r="J44" s="1225"/>
      <c r="K44" s="422"/>
      <c r="L44" s="1225"/>
      <c r="M44" s="1225"/>
      <c r="N44" s="1225"/>
      <c r="O44" s="1225"/>
      <c r="P44" s="1225"/>
      <c r="Q44" s="1225"/>
      <c r="R44" s="1225"/>
      <c r="S44" s="1225"/>
      <c r="T44" s="1225"/>
      <c r="U44" s="422"/>
    </row>
    <row r="45" spans="1:21" ht="12.6" thickBot="1" x14ac:dyDescent="0.2">
      <c r="A45" s="422"/>
      <c r="B45" s="1225"/>
      <c r="C45" s="1225"/>
      <c r="D45" s="1225"/>
      <c r="E45" s="1225"/>
      <c r="F45" s="1225"/>
      <c r="G45" s="1225"/>
      <c r="H45" s="1225"/>
      <c r="I45" s="1225"/>
      <c r="J45" s="1225"/>
      <c r="K45" s="422"/>
      <c r="L45" s="1225"/>
      <c r="M45" s="1225"/>
      <c r="N45" s="1225"/>
      <c r="O45" s="1225"/>
      <c r="P45" s="1225"/>
      <c r="Q45" s="1225"/>
      <c r="R45" s="1225"/>
      <c r="S45" s="1225"/>
      <c r="T45" s="1225"/>
      <c r="U45" s="422"/>
    </row>
    <row r="46" spans="1:21" ht="12.6" thickBot="1" x14ac:dyDescent="0.2">
      <c r="A46" s="422"/>
      <c r="B46" s="1225"/>
      <c r="C46" s="1225"/>
      <c r="D46" s="1225"/>
      <c r="E46" s="1225"/>
      <c r="F46" s="1225"/>
      <c r="G46" s="1225"/>
      <c r="H46" s="1225"/>
      <c r="I46" s="1225"/>
      <c r="J46" s="1225"/>
      <c r="K46" s="422"/>
      <c r="L46" s="1225"/>
      <c r="M46" s="1225"/>
      <c r="N46" s="1225"/>
      <c r="O46" s="1225"/>
      <c r="P46" s="1225"/>
      <c r="Q46" s="1225"/>
      <c r="R46" s="1225"/>
      <c r="S46" s="1225"/>
      <c r="T46" s="1225"/>
      <c r="U46" s="422"/>
    </row>
    <row r="47" spans="1:21" ht="12.6" thickBot="1" x14ac:dyDescent="0.2">
      <c r="A47" s="422"/>
      <c r="B47" s="1225"/>
      <c r="C47" s="1225"/>
      <c r="D47" s="1225"/>
      <c r="E47" s="1225"/>
      <c r="F47" s="1225"/>
      <c r="G47" s="1225"/>
      <c r="H47" s="1225"/>
      <c r="I47" s="1225"/>
      <c r="J47" s="1225"/>
      <c r="K47" s="422"/>
      <c r="L47" s="1225"/>
      <c r="M47" s="1225"/>
      <c r="N47" s="1225"/>
      <c r="O47" s="1225"/>
      <c r="P47" s="1225"/>
      <c r="Q47" s="1225"/>
      <c r="R47" s="1225"/>
      <c r="S47" s="1225"/>
      <c r="T47" s="1225"/>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4" t="s">
        <v>640</v>
      </c>
      <c r="C49" s="804"/>
      <c r="D49" s="804"/>
      <c r="E49" s="804"/>
      <c r="F49" s="804"/>
      <c r="G49" s="1224" t="s">
        <v>641</v>
      </c>
      <c r="H49" s="1224"/>
      <c r="I49" s="433" t="s">
        <v>642</v>
      </c>
      <c r="J49" s="434" t="s">
        <v>643</v>
      </c>
      <c r="K49" s="422"/>
      <c r="L49" s="804" t="s">
        <v>640</v>
      </c>
      <c r="M49" s="804"/>
      <c r="N49" s="804"/>
      <c r="O49" s="804"/>
      <c r="P49" s="804"/>
      <c r="Q49" s="1224" t="s">
        <v>641</v>
      </c>
      <c r="R49" s="1224"/>
      <c r="S49" s="433" t="s">
        <v>642</v>
      </c>
      <c r="T49" s="434" t="s">
        <v>643</v>
      </c>
      <c r="U49" s="422"/>
    </row>
    <row r="50" spans="1:21" x14ac:dyDescent="0.15">
      <c r="A50" s="422"/>
      <c r="B50" s="829"/>
      <c r="C50" s="829"/>
      <c r="D50" s="829"/>
      <c r="E50" s="829"/>
      <c r="F50" s="829"/>
      <c r="G50" s="827" t="s">
        <v>18</v>
      </c>
      <c r="H50" s="827"/>
      <c r="I50" s="827" t="s">
        <v>288</v>
      </c>
      <c r="J50" s="1222" t="s">
        <v>243</v>
      </c>
      <c r="K50" s="422"/>
      <c r="L50" s="829"/>
      <c r="M50" s="829"/>
      <c r="N50" s="829"/>
      <c r="O50" s="829"/>
      <c r="P50" s="829"/>
      <c r="Q50" s="827" t="s">
        <v>18</v>
      </c>
      <c r="R50" s="827"/>
      <c r="S50" s="827" t="s">
        <v>288</v>
      </c>
      <c r="T50" s="1222" t="s">
        <v>243</v>
      </c>
      <c r="U50" s="422"/>
    </row>
    <row r="51" spans="1:21" x14ac:dyDescent="0.15">
      <c r="A51" s="422"/>
      <c r="B51" s="829"/>
      <c r="C51" s="829"/>
      <c r="D51" s="829"/>
      <c r="E51" s="829"/>
      <c r="F51" s="829"/>
      <c r="G51" s="827"/>
      <c r="H51" s="827"/>
      <c r="I51" s="827"/>
      <c r="J51" s="1222"/>
      <c r="K51" s="422"/>
      <c r="L51" s="829"/>
      <c r="M51" s="829"/>
      <c r="N51" s="829"/>
      <c r="O51" s="829"/>
      <c r="P51" s="829"/>
      <c r="Q51" s="827"/>
      <c r="R51" s="827"/>
      <c r="S51" s="827"/>
      <c r="T51" s="1222"/>
      <c r="U51" s="422"/>
    </row>
    <row r="52" spans="1:21" x14ac:dyDescent="0.15">
      <c r="A52" s="422"/>
      <c r="B52" s="829"/>
      <c r="C52" s="829"/>
      <c r="D52" s="829"/>
      <c r="E52" s="829"/>
      <c r="F52" s="829"/>
      <c r="G52" s="827"/>
      <c r="H52" s="827"/>
      <c r="I52" s="827"/>
      <c r="J52" s="1222"/>
      <c r="K52" s="422"/>
      <c r="L52" s="829"/>
      <c r="M52" s="829"/>
      <c r="N52" s="829"/>
      <c r="O52" s="829"/>
      <c r="P52" s="829"/>
      <c r="Q52" s="827"/>
      <c r="R52" s="827"/>
      <c r="S52" s="827"/>
      <c r="T52" s="1222"/>
      <c r="U52" s="422"/>
    </row>
    <row r="53" spans="1:21" x14ac:dyDescent="0.15">
      <c r="A53" s="422"/>
      <c r="B53" s="811" t="s">
        <v>644</v>
      </c>
      <c r="C53" s="811"/>
      <c r="D53" s="811"/>
      <c r="E53" s="811"/>
      <c r="F53" s="811"/>
      <c r="G53" s="811"/>
      <c r="H53" s="811"/>
      <c r="I53" s="811"/>
      <c r="J53" s="811"/>
      <c r="K53" s="422"/>
      <c r="L53" s="811" t="s">
        <v>644</v>
      </c>
      <c r="M53" s="811"/>
      <c r="N53" s="811"/>
      <c r="O53" s="811"/>
      <c r="P53" s="811"/>
      <c r="Q53" s="811"/>
      <c r="R53" s="811"/>
      <c r="S53" s="811"/>
      <c r="T53" s="811"/>
      <c r="U53" s="422"/>
    </row>
    <row r="54" spans="1:21" ht="12.6" thickBot="1" x14ac:dyDescent="0.2">
      <c r="A54" s="422"/>
      <c r="B54" s="1225"/>
      <c r="C54" s="1225"/>
      <c r="D54" s="1225"/>
      <c r="E54" s="1225"/>
      <c r="F54" s="1225"/>
      <c r="G54" s="1225"/>
      <c r="H54" s="1225"/>
      <c r="I54" s="1225"/>
      <c r="J54" s="1225"/>
      <c r="K54" s="422"/>
      <c r="L54" s="1225"/>
      <c r="M54" s="1225"/>
      <c r="N54" s="1225"/>
      <c r="O54" s="1225"/>
      <c r="P54" s="1225"/>
      <c r="Q54" s="1225"/>
      <c r="R54" s="1225"/>
      <c r="S54" s="1225"/>
      <c r="T54" s="1225"/>
      <c r="U54" s="422"/>
    </row>
    <row r="55" spans="1:21" ht="12.6" thickBot="1" x14ac:dyDescent="0.2">
      <c r="A55" s="422"/>
      <c r="B55" s="1225"/>
      <c r="C55" s="1225"/>
      <c r="D55" s="1225"/>
      <c r="E55" s="1225"/>
      <c r="F55" s="1225"/>
      <c r="G55" s="1225"/>
      <c r="H55" s="1225"/>
      <c r="I55" s="1225"/>
      <c r="J55" s="1225"/>
      <c r="K55" s="422"/>
      <c r="L55" s="1225"/>
      <c r="M55" s="1225"/>
      <c r="N55" s="1225"/>
      <c r="O55" s="1225"/>
      <c r="P55" s="1225"/>
      <c r="Q55" s="1225"/>
      <c r="R55" s="1225"/>
      <c r="S55" s="1225"/>
      <c r="T55" s="1225"/>
      <c r="U55" s="422"/>
    </row>
    <row r="56" spans="1:21" ht="12.6" thickBot="1" x14ac:dyDescent="0.2">
      <c r="A56" s="422"/>
      <c r="B56" s="1225"/>
      <c r="C56" s="1225"/>
      <c r="D56" s="1225"/>
      <c r="E56" s="1225"/>
      <c r="F56" s="1225"/>
      <c r="G56" s="1225"/>
      <c r="H56" s="1225"/>
      <c r="I56" s="1225"/>
      <c r="J56" s="1225"/>
      <c r="K56" s="422"/>
      <c r="L56" s="1225"/>
      <c r="M56" s="1225"/>
      <c r="N56" s="1225"/>
      <c r="O56" s="1225"/>
      <c r="P56" s="1225"/>
      <c r="Q56" s="1225"/>
      <c r="R56" s="1225"/>
      <c r="S56" s="1225"/>
      <c r="T56" s="1225"/>
      <c r="U56" s="422"/>
    </row>
    <row r="57" spans="1:21" ht="12.6" thickBot="1" x14ac:dyDescent="0.2">
      <c r="A57" s="422"/>
      <c r="B57" s="1225"/>
      <c r="C57" s="1225"/>
      <c r="D57" s="1225"/>
      <c r="E57" s="1225"/>
      <c r="F57" s="1225"/>
      <c r="G57" s="1225"/>
      <c r="H57" s="1225"/>
      <c r="I57" s="1225"/>
      <c r="J57" s="1225"/>
      <c r="K57" s="422"/>
      <c r="L57" s="1225"/>
      <c r="M57" s="1225"/>
      <c r="N57" s="1225"/>
      <c r="O57" s="1225"/>
      <c r="P57" s="1225"/>
      <c r="Q57" s="1225"/>
      <c r="R57" s="1225"/>
      <c r="S57" s="1225"/>
      <c r="T57" s="1225"/>
      <c r="U57" s="422"/>
    </row>
    <row r="58" spans="1:21" ht="12.6" thickBot="1" x14ac:dyDescent="0.2">
      <c r="A58" s="422"/>
      <c r="B58" s="1225"/>
      <c r="C58" s="1225"/>
      <c r="D58" s="1225"/>
      <c r="E58" s="1225"/>
      <c r="F58" s="1225"/>
      <c r="G58" s="1225"/>
      <c r="H58" s="1225"/>
      <c r="I58" s="1225"/>
      <c r="J58" s="1225"/>
      <c r="K58" s="422"/>
      <c r="L58" s="1225"/>
      <c r="M58" s="1225"/>
      <c r="N58" s="1225"/>
      <c r="O58" s="1225"/>
      <c r="P58" s="1225"/>
      <c r="Q58" s="1225"/>
      <c r="R58" s="1225"/>
      <c r="S58" s="1225"/>
      <c r="T58" s="1225"/>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6"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3" t="s">
        <v>636</v>
      </c>
      <c r="C3" s="1223"/>
      <c r="D3" s="422"/>
      <c r="E3" s="422"/>
      <c r="F3" s="422"/>
      <c r="G3" s="422"/>
      <c r="H3" s="422"/>
      <c r="I3" s="422"/>
      <c r="J3" s="422"/>
      <c r="K3" s="422"/>
      <c r="L3" s="422"/>
      <c r="M3" s="422"/>
      <c r="N3" s="422"/>
      <c r="O3" s="422"/>
      <c r="P3" s="422"/>
      <c r="Q3" s="422"/>
      <c r="R3" s="422"/>
      <c r="S3" s="422"/>
      <c r="T3" s="422"/>
      <c r="U3" s="422"/>
    </row>
    <row r="4" spans="1:21" ht="12.6"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4" x14ac:dyDescent="0.15">
      <c r="A5" s="422"/>
      <c r="B5" s="804" t="s">
        <v>640</v>
      </c>
      <c r="C5" s="804"/>
      <c r="D5" s="804"/>
      <c r="E5" s="804"/>
      <c r="F5" s="804"/>
      <c r="G5" s="1224" t="s">
        <v>641</v>
      </c>
      <c r="H5" s="1224"/>
      <c r="I5" s="433" t="s">
        <v>642</v>
      </c>
      <c r="J5" s="434" t="s">
        <v>643</v>
      </c>
      <c r="K5" s="422"/>
      <c r="L5" s="804" t="s">
        <v>640</v>
      </c>
      <c r="M5" s="804"/>
      <c r="N5" s="804"/>
      <c r="O5" s="804"/>
      <c r="P5" s="804"/>
      <c r="Q5" s="1224" t="s">
        <v>641</v>
      </c>
      <c r="R5" s="1224"/>
      <c r="S5" s="433" t="s">
        <v>642</v>
      </c>
      <c r="T5" s="434" t="s">
        <v>643</v>
      </c>
      <c r="U5" s="422"/>
    </row>
    <row r="6" spans="1:21" x14ac:dyDescent="0.15">
      <c r="A6" s="422"/>
      <c r="B6" s="829"/>
      <c r="C6" s="829"/>
      <c r="D6" s="829"/>
      <c r="E6" s="829"/>
      <c r="F6" s="829"/>
      <c r="G6" s="827" t="s">
        <v>18</v>
      </c>
      <c r="H6" s="827"/>
      <c r="I6" s="827" t="s">
        <v>288</v>
      </c>
      <c r="J6" s="1222" t="s">
        <v>243</v>
      </c>
      <c r="K6" s="422"/>
      <c r="L6" s="829"/>
      <c r="M6" s="829"/>
      <c r="N6" s="829"/>
      <c r="O6" s="829"/>
      <c r="P6" s="829"/>
      <c r="Q6" s="827" t="s">
        <v>18</v>
      </c>
      <c r="R6" s="827"/>
      <c r="S6" s="827" t="s">
        <v>288</v>
      </c>
      <c r="T6" s="1222" t="s">
        <v>243</v>
      </c>
      <c r="U6" s="422"/>
    </row>
    <row r="7" spans="1:21" x14ac:dyDescent="0.15">
      <c r="A7" s="422"/>
      <c r="B7" s="829"/>
      <c r="C7" s="829"/>
      <c r="D7" s="829"/>
      <c r="E7" s="829"/>
      <c r="F7" s="829"/>
      <c r="G7" s="827"/>
      <c r="H7" s="827"/>
      <c r="I7" s="827"/>
      <c r="J7" s="1222"/>
      <c r="K7" s="422"/>
      <c r="L7" s="829"/>
      <c r="M7" s="829"/>
      <c r="N7" s="829"/>
      <c r="O7" s="829"/>
      <c r="P7" s="829"/>
      <c r="Q7" s="827"/>
      <c r="R7" s="827"/>
      <c r="S7" s="827"/>
      <c r="T7" s="1222"/>
      <c r="U7" s="422"/>
    </row>
    <row r="8" spans="1:21" x14ac:dyDescent="0.15">
      <c r="A8" s="422"/>
      <c r="B8" s="829"/>
      <c r="C8" s="829"/>
      <c r="D8" s="829"/>
      <c r="E8" s="829"/>
      <c r="F8" s="829"/>
      <c r="G8" s="827"/>
      <c r="H8" s="827"/>
      <c r="I8" s="827"/>
      <c r="J8" s="1222"/>
      <c r="K8" s="422"/>
      <c r="L8" s="829"/>
      <c r="M8" s="829"/>
      <c r="N8" s="829"/>
      <c r="O8" s="829"/>
      <c r="P8" s="829"/>
      <c r="Q8" s="827"/>
      <c r="R8" s="827"/>
      <c r="S8" s="827"/>
      <c r="T8" s="1222"/>
      <c r="U8" s="422"/>
    </row>
    <row r="9" spans="1:21" x14ac:dyDescent="0.15">
      <c r="A9" s="422"/>
      <c r="B9" s="811" t="s">
        <v>644</v>
      </c>
      <c r="C9" s="811"/>
      <c r="D9" s="811"/>
      <c r="E9" s="811"/>
      <c r="F9" s="811"/>
      <c r="G9" s="811"/>
      <c r="H9" s="811"/>
      <c r="I9" s="811"/>
      <c r="J9" s="811"/>
      <c r="K9" s="422"/>
      <c r="L9" s="811" t="s">
        <v>644</v>
      </c>
      <c r="M9" s="811"/>
      <c r="N9" s="811"/>
      <c r="O9" s="811"/>
      <c r="P9" s="811"/>
      <c r="Q9" s="811"/>
      <c r="R9" s="811"/>
      <c r="S9" s="811"/>
      <c r="T9" s="811"/>
      <c r="U9" s="422"/>
    </row>
    <row r="10" spans="1:21" ht="12.6" thickBot="1" x14ac:dyDescent="0.2">
      <c r="A10" s="422"/>
      <c r="B10" s="1225"/>
      <c r="C10" s="1225"/>
      <c r="D10" s="1225"/>
      <c r="E10" s="1225"/>
      <c r="F10" s="1225"/>
      <c r="G10" s="1225"/>
      <c r="H10" s="1225"/>
      <c r="I10" s="1225"/>
      <c r="J10" s="1225"/>
      <c r="K10" s="422"/>
      <c r="L10" s="1225"/>
      <c r="M10" s="1225"/>
      <c r="N10" s="1225"/>
      <c r="O10" s="1225"/>
      <c r="P10" s="1225"/>
      <c r="Q10" s="1225"/>
      <c r="R10" s="1225"/>
      <c r="S10" s="1225"/>
      <c r="T10" s="1225"/>
      <c r="U10" s="422"/>
    </row>
    <row r="11" spans="1:21" ht="12.6" thickBot="1" x14ac:dyDescent="0.2">
      <c r="A11" s="422"/>
      <c r="B11" s="1225"/>
      <c r="C11" s="1225"/>
      <c r="D11" s="1225"/>
      <c r="E11" s="1225"/>
      <c r="F11" s="1225"/>
      <c r="G11" s="1225"/>
      <c r="H11" s="1225"/>
      <c r="I11" s="1225"/>
      <c r="J11" s="1225"/>
      <c r="K11" s="422"/>
      <c r="L11" s="1225"/>
      <c r="M11" s="1225"/>
      <c r="N11" s="1225"/>
      <c r="O11" s="1225"/>
      <c r="P11" s="1225"/>
      <c r="Q11" s="1225"/>
      <c r="R11" s="1225"/>
      <c r="S11" s="1225"/>
      <c r="T11" s="1225"/>
      <c r="U11" s="422"/>
    </row>
    <row r="12" spans="1:21" ht="12.6" thickBot="1" x14ac:dyDescent="0.2">
      <c r="A12" s="422"/>
      <c r="B12" s="1225"/>
      <c r="C12" s="1225"/>
      <c r="D12" s="1225"/>
      <c r="E12" s="1225"/>
      <c r="F12" s="1225"/>
      <c r="G12" s="1225"/>
      <c r="H12" s="1225"/>
      <c r="I12" s="1225"/>
      <c r="J12" s="1225"/>
      <c r="K12" s="422"/>
      <c r="L12" s="1225"/>
      <c r="M12" s="1225"/>
      <c r="N12" s="1225"/>
      <c r="O12" s="1225"/>
      <c r="P12" s="1225"/>
      <c r="Q12" s="1225"/>
      <c r="R12" s="1225"/>
      <c r="S12" s="1225"/>
      <c r="T12" s="1225"/>
      <c r="U12" s="422"/>
    </row>
    <row r="13" spans="1:21" ht="12.6" thickBot="1" x14ac:dyDescent="0.2">
      <c r="A13" s="422"/>
      <c r="B13" s="1225"/>
      <c r="C13" s="1225"/>
      <c r="D13" s="1225"/>
      <c r="E13" s="1225"/>
      <c r="F13" s="1225"/>
      <c r="G13" s="1225"/>
      <c r="H13" s="1225"/>
      <c r="I13" s="1225"/>
      <c r="J13" s="1225"/>
      <c r="K13" s="422"/>
      <c r="L13" s="1225"/>
      <c r="M13" s="1225"/>
      <c r="N13" s="1225"/>
      <c r="O13" s="1225"/>
      <c r="P13" s="1225"/>
      <c r="Q13" s="1225"/>
      <c r="R13" s="1225"/>
      <c r="S13" s="1225"/>
      <c r="T13" s="1225"/>
      <c r="U13" s="422"/>
    </row>
    <row r="14" spans="1:21" ht="12.6" thickBot="1" x14ac:dyDescent="0.2">
      <c r="A14" s="422"/>
      <c r="B14" s="1225"/>
      <c r="C14" s="1225"/>
      <c r="D14" s="1225"/>
      <c r="E14" s="1225"/>
      <c r="F14" s="1225"/>
      <c r="G14" s="1225"/>
      <c r="H14" s="1225"/>
      <c r="I14" s="1225"/>
      <c r="J14" s="1225"/>
      <c r="K14" s="422"/>
      <c r="L14" s="1225"/>
      <c r="M14" s="1225"/>
      <c r="N14" s="1225"/>
      <c r="O14" s="1225"/>
      <c r="P14" s="1225"/>
      <c r="Q14" s="1225"/>
      <c r="R14" s="1225"/>
      <c r="S14" s="1225"/>
      <c r="T14" s="1225"/>
      <c r="U14" s="422"/>
    </row>
    <row r="15" spans="1:21" ht="12.6"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4" x14ac:dyDescent="0.15">
      <c r="A16" s="422"/>
      <c r="B16" s="804" t="s">
        <v>640</v>
      </c>
      <c r="C16" s="804"/>
      <c r="D16" s="804"/>
      <c r="E16" s="804"/>
      <c r="F16" s="804"/>
      <c r="G16" s="1224" t="s">
        <v>641</v>
      </c>
      <c r="H16" s="1224"/>
      <c r="I16" s="433" t="s">
        <v>642</v>
      </c>
      <c r="J16" s="434" t="s">
        <v>643</v>
      </c>
      <c r="K16" s="422"/>
      <c r="L16" s="804" t="s">
        <v>640</v>
      </c>
      <c r="M16" s="804"/>
      <c r="N16" s="804"/>
      <c r="O16" s="804"/>
      <c r="P16" s="804"/>
      <c r="Q16" s="1224" t="s">
        <v>641</v>
      </c>
      <c r="R16" s="1224"/>
      <c r="S16" s="433" t="s">
        <v>642</v>
      </c>
      <c r="T16" s="434" t="s">
        <v>643</v>
      </c>
      <c r="U16" s="422"/>
    </row>
    <row r="17" spans="1:21" x14ac:dyDescent="0.15">
      <c r="A17" s="422"/>
      <c r="B17" s="829"/>
      <c r="C17" s="829"/>
      <c r="D17" s="829"/>
      <c r="E17" s="829"/>
      <c r="F17" s="829"/>
      <c r="G17" s="827" t="s">
        <v>18</v>
      </c>
      <c r="H17" s="827"/>
      <c r="I17" s="827" t="s">
        <v>288</v>
      </c>
      <c r="J17" s="1222" t="s">
        <v>243</v>
      </c>
      <c r="K17" s="422"/>
      <c r="L17" s="829"/>
      <c r="M17" s="829"/>
      <c r="N17" s="829"/>
      <c r="O17" s="829"/>
      <c r="P17" s="829"/>
      <c r="Q17" s="827" t="s">
        <v>18</v>
      </c>
      <c r="R17" s="827"/>
      <c r="S17" s="827" t="s">
        <v>288</v>
      </c>
      <c r="T17" s="1222" t="s">
        <v>243</v>
      </c>
      <c r="U17" s="422"/>
    </row>
    <row r="18" spans="1:21" x14ac:dyDescent="0.15">
      <c r="A18" s="422"/>
      <c r="B18" s="829"/>
      <c r="C18" s="829"/>
      <c r="D18" s="829"/>
      <c r="E18" s="829"/>
      <c r="F18" s="829"/>
      <c r="G18" s="827"/>
      <c r="H18" s="827"/>
      <c r="I18" s="827"/>
      <c r="J18" s="1222"/>
      <c r="K18" s="422"/>
      <c r="L18" s="829"/>
      <c r="M18" s="829"/>
      <c r="N18" s="829"/>
      <c r="O18" s="829"/>
      <c r="P18" s="829"/>
      <c r="Q18" s="827"/>
      <c r="R18" s="827"/>
      <c r="S18" s="827"/>
      <c r="T18" s="1222"/>
      <c r="U18" s="422"/>
    </row>
    <row r="19" spans="1:21" x14ac:dyDescent="0.15">
      <c r="A19" s="422"/>
      <c r="B19" s="829"/>
      <c r="C19" s="829"/>
      <c r="D19" s="829"/>
      <c r="E19" s="829"/>
      <c r="F19" s="829"/>
      <c r="G19" s="827"/>
      <c r="H19" s="827"/>
      <c r="I19" s="827"/>
      <c r="J19" s="1222"/>
      <c r="K19" s="422"/>
      <c r="L19" s="829"/>
      <c r="M19" s="829"/>
      <c r="N19" s="829"/>
      <c r="O19" s="829"/>
      <c r="P19" s="829"/>
      <c r="Q19" s="827"/>
      <c r="R19" s="827"/>
      <c r="S19" s="827"/>
      <c r="T19" s="1222"/>
      <c r="U19" s="422"/>
    </row>
    <row r="20" spans="1:21" x14ac:dyDescent="0.15">
      <c r="A20" s="422"/>
      <c r="B20" s="811" t="s">
        <v>644</v>
      </c>
      <c r="C20" s="811"/>
      <c r="D20" s="811"/>
      <c r="E20" s="811"/>
      <c r="F20" s="811"/>
      <c r="G20" s="811"/>
      <c r="H20" s="811"/>
      <c r="I20" s="811"/>
      <c r="J20" s="811"/>
      <c r="K20" s="422"/>
      <c r="L20" s="811" t="s">
        <v>644</v>
      </c>
      <c r="M20" s="811"/>
      <c r="N20" s="811"/>
      <c r="O20" s="811"/>
      <c r="P20" s="811"/>
      <c r="Q20" s="811"/>
      <c r="R20" s="811"/>
      <c r="S20" s="811"/>
      <c r="T20" s="811"/>
      <c r="U20" s="422"/>
    </row>
    <row r="21" spans="1:21" ht="12.6" thickBot="1" x14ac:dyDescent="0.2">
      <c r="A21" s="422"/>
      <c r="B21" s="1225"/>
      <c r="C21" s="1225"/>
      <c r="D21" s="1225"/>
      <c r="E21" s="1225"/>
      <c r="F21" s="1225"/>
      <c r="G21" s="1225"/>
      <c r="H21" s="1225"/>
      <c r="I21" s="1225"/>
      <c r="J21" s="1225"/>
      <c r="K21" s="422"/>
      <c r="L21" s="1225"/>
      <c r="M21" s="1225"/>
      <c r="N21" s="1225"/>
      <c r="O21" s="1225"/>
      <c r="P21" s="1225"/>
      <c r="Q21" s="1225"/>
      <c r="R21" s="1225"/>
      <c r="S21" s="1225"/>
      <c r="T21" s="1225"/>
      <c r="U21" s="422"/>
    </row>
    <row r="22" spans="1:21" ht="12.6" thickBot="1" x14ac:dyDescent="0.2">
      <c r="A22" s="422"/>
      <c r="B22" s="1225"/>
      <c r="C22" s="1225"/>
      <c r="D22" s="1225"/>
      <c r="E22" s="1225"/>
      <c r="F22" s="1225"/>
      <c r="G22" s="1225"/>
      <c r="H22" s="1225"/>
      <c r="I22" s="1225"/>
      <c r="J22" s="1225"/>
      <c r="K22" s="422"/>
      <c r="L22" s="1225"/>
      <c r="M22" s="1225"/>
      <c r="N22" s="1225"/>
      <c r="O22" s="1225"/>
      <c r="P22" s="1225"/>
      <c r="Q22" s="1225"/>
      <c r="R22" s="1225"/>
      <c r="S22" s="1225"/>
      <c r="T22" s="1225"/>
      <c r="U22" s="422"/>
    </row>
    <row r="23" spans="1:21" ht="12.6" thickBot="1" x14ac:dyDescent="0.2">
      <c r="A23" s="422"/>
      <c r="B23" s="1225"/>
      <c r="C23" s="1225"/>
      <c r="D23" s="1225"/>
      <c r="E23" s="1225"/>
      <c r="F23" s="1225"/>
      <c r="G23" s="1225"/>
      <c r="H23" s="1225"/>
      <c r="I23" s="1225"/>
      <c r="J23" s="1225"/>
      <c r="K23" s="422"/>
      <c r="L23" s="1225"/>
      <c r="M23" s="1225"/>
      <c r="N23" s="1225"/>
      <c r="O23" s="1225"/>
      <c r="P23" s="1225"/>
      <c r="Q23" s="1225"/>
      <c r="R23" s="1225"/>
      <c r="S23" s="1225"/>
      <c r="T23" s="1225"/>
      <c r="U23" s="422"/>
    </row>
    <row r="24" spans="1:21" ht="12.6" thickBot="1" x14ac:dyDescent="0.2">
      <c r="A24" s="422"/>
      <c r="B24" s="1225"/>
      <c r="C24" s="1225"/>
      <c r="D24" s="1225"/>
      <c r="E24" s="1225"/>
      <c r="F24" s="1225"/>
      <c r="G24" s="1225"/>
      <c r="H24" s="1225"/>
      <c r="I24" s="1225"/>
      <c r="J24" s="1225"/>
      <c r="K24" s="422"/>
      <c r="L24" s="1225"/>
      <c r="M24" s="1225"/>
      <c r="N24" s="1225"/>
      <c r="O24" s="1225"/>
      <c r="P24" s="1225"/>
      <c r="Q24" s="1225"/>
      <c r="R24" s="1225"/>
      <c r="S24" s="1225"/>
      <c r="T24" s="1225"/>
      <c r="U24" s="422"/>
    </row>
    <row r="25" spans="1:21" ht="12.6" thickBot="1" x14ac:dyDescent="0.2">
      <c r="A25" s="422"/>
      <c r="B25" s="1225"/>
      <c r="C25" s="1225"/>
      <c r="D25" s="1225"/>
      <c r="E25" s="1225"/>
      <c r="F25" s="1225"/>
      <c r="G25" s="1225"/>
      <c r="H25" s="1225"/>
      <c r="I25" s="1225"/>
      <c r="J25" s="1225"/>
      <c r="K25" s="422"/>
      <c r="L25" s="1225"/>
      <c r="M25" s="1225"/>
      <c r="N25" s="1225"/>
      <c r="O25" s="1225"/>
      <c r="P25" s="1225"/>
      <c r="Q25" s="1225"/>
      <c r="R25" s="1225"/>
      <c r="S25" s="1225"/>
      <c r="T25" s="1225"/>
      <c r="U25" s="422"/>
    </row>
    <row r="26" spans="1:21" ht="12.6"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4" x14ac:dyDescent="0.15">
      <c r="A27" s="422"/>
      <c r="B27" s="804" t="s">
        <v>640</v>
      </c>
      <c r="C27" s="804"/>
      <c r="D27" s="804"/>
      <c r="E27" s="804"/>
      <c r="F27" s="804"/>
      <c r="G27" s="1224" t="s">
        <v>641</v>
      </c>
      <c r="H27" s="1224"/>
      <c r="I27" s="433" t="s">
        <v>642</v>
      </c>
      <c r="J27" s="434" t="s">
        <v>643</v>
      </c>
      <c r="K27" s="422"/>
      <c r="L27" s="804" t="s">
        <v>640</v>
      </c>
      <c r="M27" s="804"/>
      <c r="N27" s="804"/>
      <c r="O27" s="804"/>
      <c r="P27" s="804"/>
      <c r="Q27" s="1224" t="s">
        <v>641</v>
      </c>
      <c r="R27" s="1224"/>
      <c r="S27" s="433" t="s">
        <v>642</v>
      </c>
      <c r="T27" s="434" t="s">
        <v>643</v>
      </c>
      <c r="U27" s="422"/>
    </row>
    <row r="28" spans="1:21" x14ac:dyDescent="0.15">
      <c r="A28" s="422"/>
      <c r="B28" s="829"/>
      <c r="C28" s="829"/>
      <c r="D28" s="829"/>
      <c r="E28" s="829"/>
      <c r="F28" s="829"/>
      <c r="G28" s="827" t="s">
        <v>18</v>
      </c>
      <c r="H28" s="827"/>
      <c r="I28" s="827" t="s">
        <v>288</v>
      </c>
      <c r="J28" s="1222" t="s">
        <v>243</v>
      </c>
      <c r="K28" s="422"/>
      <c r="L28" s="829"/>
      <c r="M28" s="829"/>
      <c r="N28" s="829"/>
      <c r="O28" s="829"/>
      <c r="P28" s="829"/>
      <c r="Q28" s="827" t="s">
        <v>18</v>
      </c>
      <c r="R28" s="827"/>
      <c r="S28" s="827" t="s">
        <v>288</v>
      </c>
      <c r="T28" s="1222" t="s">
        <v>243</v>
      </c>
      <c r="U28" s="422"/>
    </row>
    <row r="29" spans="1:21" x14ac:dyDescent="0.15">
      <c r="A29" s="422"/>
      <c r="B29" s="829"/>
      <c r="C29" s="829"/>
      <c r="D29" s="829"/>
      <c r="E29" s="829"/>
      <c r="F29" s="829"/>
      <c r="G29" s="827"/>
      <c r="H29" s="827"/>
      <c r="I29" s="827"/>
      <c r="J29" s="1222"/>
      <c r="K29" s="422"/>
      <c r="L29" s="829"/>
      <c r="M29" s="829"/>
      <c r="N29" s="829"/>
      <c r="O29" s="829"/>
      <c r="P29" s="829"/>
      <c r="Q29" s="827"/>
      <c r="R29" s="827"/>
      <c r="S29" s="827"/>
      <c r="T29" s="1222"/>
      <c r="U29" s="422"/>
    </row>
    <row r="30" spans="1:21" x14ac:dyDescent="0.15">
      <c r="A30" s="422"/>
      <c r="B30" s="829"/>
      <c r="C30" s="829"/>
      <c r="D30" s="829"/>
      <c r="E30" s="829"/>
      <c r="F30" s="829"/>
      <c r="G30" s="827"/>
      <c r="H30" s="827"/>
      <c r="I30" s="827"/>
      <c r="J30" s="1222"/>
      <c r="K30" s="422"/>
      <c r="L30" s="829"/>
      <c r="M30" s="829"/>
      <c r="N30" s="829"/>
      <c r="O30" s="829"/>
      <c r="P30" s="829"/>
      <c r="Q30" s="827"/>
      <c r="R30" s="827"/>
      <c r="S30" s="827"/>
      <c r="T30" s="1222"/>
      <c r="U30" s="422"/>
    </row>
    <row r="31" spans="1:21" x14ac:dyDescent="0.15">
      <c r="A31" s="422"/>
      <c r="B31" s="811" t="s">
        <v>644</v>
      </c>
      <c r="C31" s="811"/>
      <c r="D31" s="811"/>
      <c r="E31" s="811"/>
      <c r="F31" s="811"/>
      <c r="G31" s="811"/>
      <c r="H31" s="811"/>
      <c r="I31" s="811"/>
      <c r="J31" s="811"/>
      <c r="K31" s="422"/>
      <c r="L31" s="811" t="s">
        <v>644</v>
      </c>
      <c r="M31" s="811"/>
      <c r="N31" s="811"/>
      <c r="O31" s="811"/>
      <c r="P31" s="811"/>
      <c r="Q31" s="811"/>
      <c r="R31" s="811"/>
      <c r="S31" s="811"/>
      <c r="T31" s="811"/>
      <c r="U31" s="422"/>
    </row>
    <row r="32" spans="1:21" ht="12.6" thickBot="1" x14ac:dyDescent="0.2">
      <c r="A32" s="422"/>
      <c r="B32" s="1225"/>
      <c r="C32" s="1225"/>
      <c r="D32" s="1225"/>
      <c r="E32" s="1225"/>
      <c r="F32" s="1225"/>
      <c r="G32" s="1225"/>
      <c r="H32" s="1225"/>
      <c r="I32" s="1225"/>
      <c r="J32" s="1225"/>
      <c r="K32" s="422"/>
      <c r="L32" s="1225"/>
      <c r="M32" s="1225"/>
      <c r="N32" s="1225"/>
      <c r="O32" s="1225"/>
      <c r="P32" s="1225"/>
      <c r="Q32" s="1225"/>
      <c r="R32" s="1225"/>
      <c r="S32" s="1225"/>
      <c r="T32" s="1225"/>
      <c r="U32" s="422"/>
    </row>
    <row r="33" spans="1:21" ht="12.6" thickBot="1" x14ac:dyDescent="0.2">
      <c r="A33" s="422"/>
      <c r="B33" s="1225"/>
      <c r="C33" s="1225"/>
      <c r="D33" s="1225"/>
      <c r="E33" s="1225"/>
      <c r="F33" s="1225"/>
      <c r="G33" s="1225"/>
      <c r="H33" s="1225"/>
      <c r="I33" s="1225"/>
      <c r="J33" s="1225"/>
      <c r="K33" s="422"/>
      <c r="L33" s="1225"/>
      <c r="M33" s="1225"/>
      <c r="N33" s="1225"/>
      <c r="O33" s="1225"/>
      <c r="P33" s="1225"/>
      <c r="Q33" s="1225"/>
      <c r="R33" s="1225"/>
      <c r="S33" s="1225"/>
      <c r="T33" s="1225"/>
      <c r="U33" s="422"/>
    </row>
    <row r="34" spans="1:21" ht="12.6" thickBot="1" x14ac:dyDescent="0.2">
      <c r="A34" s="422"/>
      <c r="B34" s="1225"/>
      <c r="C34" s="1225"/>
      <c r="D34" s="1225"/>
      <c r="E34" s="1225"/>
      <c r="F34" s="1225"/>
      <c r="G34" s="1225"/>
      <c r="H34" s="1225"/>
      <c r="I34" s="1225"/>
      <c r="J34" s="1225"/>
      <c r="K34" s="422"/>
      <c r="L34" s="1225"/>
      <c r="M34" s="1225"/>
      <c r="N34" s="1225"/>
      <c r="O34" s="1225"/>
      <c r="P34" s="1225"/>
      <c r="Q34" s="1225"/>
      <c r="R34" s="1225"/>
      <c r="S34" s="1225"/>
      <c r="T34" s="1225"/>
      <c r="U34" s="422"/>
    </row>
    <row r="35" spans="1:21" ht="12.6" thickBot="1" x14ac:dyDescent="0.2">
      <c r="A35" s="422"/>
      <c r="B35" s="1225"/>
      <c r="C35" s="1225"/>
      <c r="D35" s="1225"/>
      <c r="E35" s="1225"/>
      <c r="F35" s="1225"/>
      <c r="G35" s="1225"/>
      <c r="H35" s="1225"/>
      <c r="I35" s="1225"/>
      <c r="J35" s="1225"/>
      <c r="K35" s="422"/>
      <c r="L35" s="1225"/>
      <c r="M35" s="1225"/>
      <c r="N35" s="1225"/>
      <c r="O35" s="1225"/>
      <c r="P35" s="1225"/>
      <c r="Q35" s="1225"/>
      <c r="R35" s="1225"/>
      <c r="S35" s="1225"/>
      <c r="T35" s="1225"/>
      <c r="U35" s="422"/>
    </row>
    <row r="36" spans="1:21" ht="12.6" thickBot="1" x14ac:dyDescent="0.2">
      <c r="A36" s="422"/>
      <c r="B36" s="1225"/>
      <c r="C36" s="1225"/>
      <c r="D36" s="1225"/>
      <c r="E36" s="1225"/>
      <c r="F36" s="1225"/>
      <c r="G36" s="1225"/>
      <c r="H36" s="1225"/>
      <c r="I36" s="1225"/>
      <c r="J36" s="1225"/>
      <c r="K36" s="422"/>
      <c r="L36" s="1225"/>
      <c r="M36" s="1225"/>
      <c r="N36" s="1225"/>
      <c r="O36" s="1225"/>
      <c r="P36" s="1225"/>
      <c r="Q36" s="1225"/>
      <c r="R36" s="1225"/>
      <c r="S36" s="1225"/>
      <c r="T36" s="1225"/>
      <c r="U36" s="422"/>
    </row>
    <row r="37" spans="1:21" ht="12.6"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4" x14ac:dyDescent="0.15">
      <c r="A38" s="422"/>
      <c r="B38" s="804" t="s">
        <v>640</v>
      </c>
      <c r="C38" s="804"/>
      <c r="D38" s="804"/>
      <c r="E38" s="804"/>
      <c r="F38" s="804"/>
      <c r="G38" s="1224" t="s">
        <v>641</v>
      </c>
      <c r="H38" s="1224"/>
      <c r="I38" s="433" t="s">
        <v>642</v>
      </c>
      <c r="J38" s="434" t="s">
        <v>643</v>
      </c>
      <c r="K38" s="422"/>
      <c r="L38" s="804" t="s">
        <v>640</v>
      </c>
      <c r="M38" s="804"/>
      <c r="N38" s="804"/>
      <c r="O38" s="804"/>
      <c r="P38" s="804"/>
      <c r="Q38" s="1224" t="s">
        <v>641</v>
      </c>
      <c r="R38" s="1224"/>
      <c r="S38" s="433" t="s">
        <v>642</v>
      </c>
      <c r="T38" s="434" t="s">
        <v>643</v>
      </c>
      <c r="U38" s="422"/>
    </row>
    <row r="39" spans="1:21" x14ac:dyDescent="0.15">
      <c r="A39" s="422"/>
      <c r="B39" s="829"/>
      <c r="C39" s="829"/>
      <c r="D39" s="829"/>
      <c r="E39" s="829"/>
      <c r="F39" s="829"/>
      <c r="G39" s="827" t="s">
        <v>18</v>
      </c>
      <c r="H39" s="827"/>
      <c r="I39" s="827" t="s">
        <v>288</v>
      </c>
      <c r="J39" s="1222" t="s">
        <v>243</v>
      </c>
      <c r="K39" s="422"/>
      <c r="L39" s="829"/>
      <c r="M39" s="829"/>
      <c r="N39" s="829"/>
      <c r="O39" s="829"/>
      <c r="P39" s="829"/>
      <c r="Q39" s="827" t="s">
        <v>18</v>
      </c>
      <c r="R39" s="827"/>
      <c r="S39" s="827" t="s">
        <v>288</v>
      </c>
      <c r="T39" s="1222" t="s">
        <v>243</v>
      </c>
      <c r="U39" s="422"/>
    </row>
    <row r="40" spans="1:21" x14ac:dyDescent="0.15">
      <c r="A40" s="422"/>
      <c r="B40" s="829"/>
      <c r="C40" s="829"/>
      <c r="D40" s="829"/>
      <c r="E40" s="829"/>
      <c r="F40" s="829"/>
      <c r="G40" s="827"/>
      <c r="H40" s="827"/>
      <c r="I40" s="827"/>
      <c r="J40" s="1222"/>
      <c r="K40" s="422"/>
      <c r="L40" s="829"/>
      <c r="M40" s="829"/>
      <c r="N40" s="829"/>
      <c r="O40" s="829"/>
      <c r="P40" s="829"/>
      <c r="Q40" s="827"/>
      <c r="R40" s="827"/>
      <c r="S40" s="827"/>
      <c r="T40" s="1222"/>
      <c r="U40" s="422"/>
    </row>
    <row r="41" spans="1:21" x14ac:dyDescent="0.15">
      <c r="A41" s="422"/>
      <c r="B41" s="829"/>
      <c r="C41" s="829"/>
      <c r="D41" s="829"/>
      <c r="E41" s="829"/>
      <c r="F41" s="829"/>
      <c r="G41" s="827"/>
      <c r="H41" s="827"/>
      <c r="I41" s="827"/>
      <c r="J41" s="1222"/>
      <c r="K41" s="422"/>
      <c r="L41" s="829"/>
      <c r="M41" s="829"/>
      <c r="N41" s="829"/>
      <c r="O41" s="829"/>
      <c r="P41" s="829"/>
      <c r="Q41" s="827"/>
      <c r="R41" s="827"/>
      <c r="S41" s="827"/>
      <c r="T41" s="1222"/>
      <c r="U41" s="422"/>
    </row>
    <row r="42" spans="1:21" x14ac:dyDescent="0.15">
      <c r="A42" s="422"/>
      <c r="B42" s="811" t="s">
        <v>644</v>
      </c>
      <c r="C42" s="811"/>
      <c r="D42" s="811"/>
      <c r="E42" s="811"/>
      <c r="F42" s="811"/>
      <c r="G42" s="811"/>
      <c r="H42" s="811"/>
      <c r="I42" s="811"/>
      <c r="J42" s="811"/>
      <c r="K42" s="422"/>
      <c r="L42" s="811" t="s">
        <v>644</v>
      </c>
      <c r="M42" s="811"/>
      <c r="N42" s="811"/>
      <c r="O42" s="811"/>
      <c r="P42" s="811"/>
      <c r="Q42" s="811"/>
      <c r="R42" s="811"/>
      <c r="S42" s="811"/>
      <c r="T42" s="811"/>
      <c r="U42" s="422"/>
    </row>
    <row r="43" spans="1:21" ht="12.6" thickBot="1" x14ac:dyDescent="0.2">
      <c r="A43" s="422"/>
      <c r="B43" s="1225"/>
      <c r="C43" s="1225"/>
      <c r="D43" s="1225"/>
      <c r="E43" s="1225"/>
      <c r="F43" s="1225"/>
      <c r="G43" s="1225"/>
      <c r="H43" s="1225"/>
      <c r="I43" s="1225"/>
      <c r="J43" s="1225"/>
      <c r="K43" s="422"/>
      <c r="L43" s="1225"/>
      <c r="M43" s="1225"/>
      <c r="N43" s="1225"/>
      <c r="O43" s="1225"/>
      <c r="P43" s="1225"/>
      <c r="Q43" s="1225"/>
      <c r="R43" s="1225"/>
      <c r="S43" s="1225"/>
      <c r="T43" s="1225"/>
      <c r="U43" s="422"/>
    </row>
    <row r="44" spans="1:21" ht="12.6" thickBot="1" x14ac:dyDescent="0.2">
      <c r="A44" s="422"/>
      <c r="B44" s="1225"/>
      <c r="C44" s="1225"/>
      <c r="D44" s="1225"/>
      <c r="E44" s="1225"/>
      <c r="F44" s="1225"/>
      <c r="G44" s="1225"/>
      <c r="H44" s="1225"/>
      <c r="I44" s="1225"/>
      <c r="J44" s="1225"/>
      <c r="K44" s="422"/>
      <c r="L44" s="1225"/>
      <c r="M44" s="1225"/>
      <c r="N44" s="1225"/>
      <c r="O44" s="1225"/>
      <c r="P44" s="1225"/>
      <c r="Q44" s="1225"/>
      <c r="R44" s="1225"/>
      <c r="S44" s="1225"/>
      <c r="T44" s="1225"/>
      <c r="U44" s="422"/>
    </row>
    <row r="45" spans="1:21" ht="12.6" thickBot="1" x14ac:dyDescent="0.2">
      <c r="A45" s="422"/>
      <c r="B45" s="1225"/>
      <c r="C45" s="1225"/>
      <c r="D45" s="1225"/>
      <c r="E45" s="1225"/>
      <c r="F45" s="1225"/>
      <c r="G45" s="1225"/>
      <c r="H45" s="1225"/>
      <c r="I45" s="1225"/>
      <c r="J45" s="1225"/>
      <c r="K45" s="422"/>
      <c r="L45" s="1225"/>
      <c r="M45" s="1225"/>
      <c r="N45" s="1225"/>
      <c r="O45" s="1225"/>
      <c r="P45" s="1225"/>
      <c r="Q45" s="1225"/>
      <c r="R45" s="1225"/>
      <c r="S45" s="1225"/>
      <c r="T45" s="1225"/>
      <c r="U45" s="422"/>
    </row>
    <row r="46" spans="1:21" ht="12.6" thickBot="1" x14ac:dyDescent="0.2">
      <c r="A46" s="422"/>
      <c r="B46" s="1225"/>
      <c r="C46" s="1225"/>
      <c r="D46" s="1225"/>
      <c r="E46" s="1225"/>
      <c r="F46" s="1225"/>
      <c r="G46" s="1225"/>
      <c r="H46" s="1225"/>
      <c r="I46" s="1225"/>
      <c r="J46" s="1225"/>
      <c r="K46" s="422"/>
      <c r="L46" s="1225"/>
      <c r="M46" s="1225"/>
      <c r="N46" s="1225"/>
      <c r="O46" s="1225"/>
      <c r="P46" s="1225"/>
      <c r="Q46" s="1225"/>
      <c r="R46" s="1225"/>
      <c r="S46" s="1225"/>
      <c r="T46" s="1225"/>
      <c r="U46" s="422"/>
    </row>
    <row r="47" spans="1:21" ht="12.6" thickBot="1" x14ac:dyDescent="0.2">
      <c r="A47" s="422"/>
      <c r="B47" s="1225"/>
      <c r="C47" s="1225"/>
      <c r="D47" s="1225"/>
      <c r="E47" s="1225"/>
      <c r="F47" s="1225"/>
      <c r="G47" s="1225"/>
      <c r="H47" s="1225"/>
      <c r="I47" s="1225"/>
      <c r="J47" s="1225"/>
      <c r="K47" s="422"/>
      <c r="L47" s="1225"/>
      <c r="M47" s="1225"/>
      <c r="N47" s="1225"/>
      <c r="O47" s="1225"/>
      <c r="P47" s="1225"/>
      <c r="Q47" s="1225"/>
      <c r="R47" s="1225"/>
      <c r="S47" s="1225"/>
      <c r="T47" s="1225"/>
      <c r="U47" s="422"/>
    </row>
    <row r="48" spans="1:21" ht="12.6"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4" x14ac:dyDescent="0.15">
      <c r="A49" s="422"/>
      <c r="B49" s="804" t="s">
        <v>640</v>
      </c>
      <c r="C49" s="804"/>
      <c r="D49" s="804"/>
      <c r="E49" s="804"/>
      <c r="F49" s="804"/>
      <c r="G49" s="1224" t="s">
        <v>641</v>
      </c>
      <c r="H49" s="1224"/>
      <c r="I49" s="433" t="s">
        <v>642</v>
      </c>
      <c r="J49" s="434" t="s">
        <v>643</v>
      </c>
      <c r="K49" s="422"/>
      <c r="L49" s="804" t="s">
        <v>640</v>
      </c>
      <c r="M49" s="804"/>
      <c r="N49" s="804"/>
      <c r="O49" s="804"/>
      <c r="P49" s="804"/>
      <c r="Q49" s="1224" t="s">
        <v>641</v>
      </c>
      <c r="R49" s="1224"/>
      <c r="S49" s="433" t="s">
        <v>642</v>
      </c>
      <c r="T49" s="434" t="s">
        <v>643</v>
      </c>
      <c r="U49" s="422"/>
    </row>
    <row r="50" spans="1:21" x14ac:dyDescent="0.15">
      <c r="A50" s="422"/>
      <c r="B50" s="829"/>
      <c r="C50" s="829"/>
      <c r="D50" s="829"/>
      <c r="E50" s="829"/>
      <c r="F50" s="829"/>
      <c r="G50" s="827" t="s">
        <v>18</v>
      </c>
      <c r="H50" s="827"/>
      <c r="I50" s="827" t="s">
        <v>288</v>
      </c>
      <c r="J50" s="1222" t="s">
        <v>243</v>
      </c>
      <c r="K50" s="422"/>
      <c r="L50" s="829"/>
      <c r="M50" s="829"/>
      <c r="N50" s="829"/>
      <c r="O50" s="829"/>
      <c r="P50" s="829"/>
      <c r="Q50" s="827" t="s">
        <v>18</v>
      </c>
      <c r="R50" s="827"/>
      <c r="S50" s="827" t="s">
        <v>288</v>
      </c>
      <c r="T50" s="1222" t="s">
        <v>243</v>
      </c>
      <c r="U50" s="422"/>
    </row>
    <row r="51" spans="1:21" x14ac:dyDescent="0.15">
      <c r="A51" s="422"/>
      <c r="B51" s="829"/>
      <c r="C51" s="829"/>
      <c r="D51" s="829"/>
      <c r="E51" s="829"/>
      <c r="F51" s="829"/>
      <c r="G51" s="827"/>
      <c r="H51" s="827"/>
      <c r="I51" s="827"/>
      <c r="J51" s="1222"/>
      <c r="K51" s="422"/>
      <c r="L51" s="829"/>
      <c r="M51" s="829"/>
      <c r="N51" s="829"/>
      <c r="O51" s="829"/>
      <c r="P51" s="829"/>
      <c r="Q51" s="827"/>
      <c r="R51" s="827"/>
      <c r="S51" s="827"/>
      <c r="T51" s="1222"/>
      <c r="U51" s="422"/>
    </row>
    <row r="52" spans="1:21" x14ac:dyDescent="0.15">
      <c r="A52" s="422"/>
      <c r="B52" s="829"/>
      <c r="C52" s="829"/>
      <c r="D52" s="829"/>
      <c r="E52" s="829"/>
      <c r="F52" s="829"/>
      <c r="G52" s="827"/>
      <c r="H52" s="827"/>
      <c r="I52" s="827"/>
      <c r="J52" s="1222"/>
      <c r="K52" s="422"/>
      <c r="L52" s="829"/>
      <c r="M52" s="829"/>
      <c r="N52" s="829"/>
      <c r="O52" s="829"/>
      <c r="P52" s="829"/>
      <c r="Q52" s="827"/>
      <c r="R52" s="827"/>
      <c r="S52" s="827"/>
      <c r="T52" s="1222"/>
      <c r="U52" s="422"/>
    </row>
    <row r="53" spans="1:21" x14ac:dyDescent="0.15">
      <c r="A53" s="422"/>
      <c r="B53" s="811" t="s">
        <v>644</v>
      </c>
      <c r="C53" s="811"/>
      <c r="D53" s="811"/>
      <c r="E53" s="811"/>
      <c r="F53" s="811"/>
      <c r="G53" s="811"/>
      <c r="H53" s="811"/>
      <c r="I53" s="811"/>
      <c r="J53" s="811"/>
      <c r="K53" s="422"/>
      <c r="L53" s="811" t="s">
        <v>644</v>
      </c>
      <c r="M53" s="811"/>
      <c r="N53" s="811"/>
      <c r="O53" s="811"/>
      <c r="P53" s="811"/>
      <c r="Q53" s="811"/>
      <c r="R53" s="811"/>
      <c r="S53" s="811"/>
      <c r="T53" s="811"/>
      <c r="U53" s="422"/>
    </row>
    <row r="54" spans="1:21" ht="12.6" thickBot="1" x14ac:dyDescent="0.2">
      <c r="A54" s="422"/>
      <c r="B54" s="1225"/>
      <c r="C54" s="1225"/>
      <c r="D54" s="1225"/>
      <c r="E54" s="1225"/>
      <c r="F54" s="1225"/>
      <c r="G54" s="1225"/>
      <c r="H54" s="1225"/>
      <c r="I54" s="1225"/>
      <c r="J54" s="1225"/>
      <c r="K54" s="422"/>
      <c r="L54" s="1225"/>
      <c r="M54" s="1225"/>
      <c r="N54" s="1225"/>
      <c r="O54" s="1225"/>
      <c r="P54" s="1225"/>
      <c r="Q54" s="1225"/>
      <c r="R54" s="1225"/>
      <c r="S54" s="1225"/>
      <c r="T54" s="1225"/>
      <c r="U54" s="422"/>
    </row>
    <row r="55" spans="1:21" ht="12.6" thickBot="1" x14ac:dyDescent="0.2">
      <c r="A55" s="422"/>
      <c r="B55" s="1225"/>
      <c r="C55" s="1225"/>
      <c r="D55" s="1225"/>
      <c r="E55" s="1225"/>
      <c r="F55" s="1225"/>
      <c r="G55" s="1225"/>
      <c r="H55" s="1225"/>
      <c r="I55" s="1225"/>
      <c r="J55" s="1225"/>
      <c r="K55" s="422"/>
      <c r="L55" s="1225"/>
      <c r="M55" s="1225"/>
      <c r="N55" s="1225"/>
      <c r="O55" s="1225"/>
      <c r="P55" s="1225"/>
      <c r="Q55" s="1225"/>
      <c r="R55" s="1225"/>
      <c r="S55" s="1225"/>
      <c r="T55" s="1225"/>
      <c r="U55" s="422"/>
    </row>
    <row r="56" spans="1:21" ht="12.6" thickBot="1" x14ac:dyDescent="0.2">
      <c r="A56" s="422"/>
      <c r="B56" s="1225"/>
      <c r="C56" s="1225"/>
      <c r="D56" s="1225"/>
      <c r="E56" s="1225"/>
      <c r="F56" s="1225"/>
      <c r="G56" s="1225"/>
      <c r="H56" s="1225"/>
      <c r="I56" s="1225"/>
      <c r="J56" s="1225"/>
      <c r="K56" s="422"/>
      <c r="L56" s="1225"/>
      <c r="M56" s="1225"/>
      <c r="N56" s="1225"/>
      <c r="O56" s="1225"/>
      <c r="P56" s="1225"/>
      <c r="Q56" s="1225"/>
      <c r="R56" s="1225"/>
      <c r="S56" s="1225"/>
      <c r="T56" s="1225"/>
      <c r="U56" s="422"/>
    </row>
    <row r="57" spans="1:21" ht="12.6" thickBot="1" x14ac:dyDescent="0.2">
      <c r="A57" s="422"/>
      <c r="B57" s="1225"/>
      <c r="C57" s="1225"/>
      <c r="D57" s="1225"/>
      <c r="E57" s="1225"/>
      <c r="F57" s="1225"/>
      <c r="G57" s="1225"/>
      <c r="H57" s="1225"/>
      <c r="I57" s="1225"/>
      <c r="J57" s="1225"/>
      <c r="K57" s="422"/>
      <c r="L57" s="1225"/>
      <c r="M57" s="1225"/>
      <c r="N57" s="1225"/>
      <c r="O57" s="1225"/>
      <c r="P57" s="1225"/>
      <c r="Q57" s="1225"/>
      <c r="R57" s="1225"/>
      <c r="S57" s="1225"/>
      <c r="T57" s="1225"/>
      <c r="U57" s="422"/>
    </row>
    <row r="58" spans="1:21" ht="12.6" thickBot="1" x14ac:dyDescent="0.2">
      <c r="A58" s="422"/>
      <c r="B58" s="1225"/>
      <c r="C58" s="1225"/>
      <c r="D58" s="1225"/>
      <c r="E58" s="1225"/>
      <c r="F58" s="1225"/>
      <c r="G58" s="1225"/>
      <c r="H58" s="1225"/>
      <c r="I58" s="1225"/>
      <c r="J58" s="1225"/>
      <c r="K58" s="422"/>
      <c r="L58" s="1225"/>
      <c r="M58" s="1225"/>
      <c r="N58" s="1225"/>
      <c r="O58" s="1225"/>
      <c r="P58" s="1225"/>
      <c r="Q58" s="1225"/>
      <c r="R58" s="1225"/>
      <c r="S58" s="1225"/>
      <c r="T58" s="1225"/>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2025-08-26T13:08:21Z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